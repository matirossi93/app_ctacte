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" sheetId="1" r:id="rId5"/>
    <sheet state="visible" name="FEBRERO" sheetId="2" r:id="rId6"/>
    <sheet state="visible" name="MARZO" sheetId="3" r:id="rId7"/>
    <sheet state="visible" name="ABRIL" sheetId="4" r:id="rId8"/>
    <sheet state="visible" name="MAYO" sheetId="5" r:id="rId9"/>
    <sheet state="visible" name="JUNIO" sheetId="6" r:id="rId10"/>
    <sheet state="visible" name="JULIO" sheetId="7" r:id="rId11"/>
    <sheet state="visible" name="vendedores" sheetId="8" r:id="rId12"/>
    <sheet state="visible" name="Hoja4" sheetId="9" r:id="rId13"/>
    <sheet state="visible" name="ARTICULO" sheetId="10" r:id="rId14"/>
    <sheet state="visible" name="RESUMENES 25" sheetId="11" r:id="rId15"/>
  </sheets>
  <definedNames>
    <definedName hidden="1" localSheetId="1" name="_xlnm._FilterDatabase">FEBRERO!$A$2:$K$218</definedName>
  </definedNames>
  <calcPr/>
</workbook>
</file>

<file path=xl/sharedStrings.xml><?xml version="1.0" encoding="utf-8"?>
<sst xmlns="http://schemas.openxmlformats.org/spreadsheetml/2006/main" count="5022" uniqueCount="1817">
  <si>
    <t>FALTANTE DE MERCADERIA ENERO 2026</t>
  </si>
  <si>
    <t>FECHA</t>
  </si>
  <si>
    <t>CLIENTE</t>
  </si>
  <si>
    <t>VENDEDOR</t>
  </si>
  <si>
    <t>COD-ART</t>
  </si>
  <si>
    <t>ARTICULO</t>
  </si>
  <si>
    <t xml:space="preserve">MOTIVO </t>
  </si>
  <si>
    <t>CANTIDAD</t>
  </si>
  <si>
    <t>PRECIO</t>
  </si>
  <si>
    <t>TOTAL</t>
  </si>
  <si>
    <t>FORRAJERIA HUELLITAS</t>
  </si>
  <si>
    <t>JULIO</t>
  </si>
  <si>
    <t>M.C DEPOSITO</t>
  </si>
  <si>
    <t>DEVOLUCION</t>
  </si>
  <si>
    <t>RENGEL FERNANDO</t>
  </si>
  <si>
    <t>BRIAN</t>
  </si>
  <si>
    <t>SALAZAR MARIELA</t>
  </si>
  <si>
    <t>SEBASTIAN</t>
  </si>
  <si>
    <t>MEJIAS NESTOR</t>
  </si>
  <si>
    <t>MARCELO</t>
  </si>
  <si>
    <t>ARRIOLA ANA</t>
  </si>
  <si>
    <t>SIN DINERO</t>
  </si>
  <si>
    <t>MARQUEZ CAROLINA</t>
  </si>
  <si>
    <t>PEREZ MARCOS</t>
  </si>
  <si>
    <t>FORIGLIO FRANCO</t>
  </si>
  <si>
    <t>TALAMAZZI FABIO</t>
  </si>
  <si>
    <t>BALBOA ROQUE</t>
  </si>
  <si>
    <t>HERRERA SILVIO</t>
  </si>
  <si>
    <t>ARRIETA ARIEL</t>
  </si>
  <si>
    <t>ALDERETE PATRICIA</t>
  </si>
  <si>
    <t>BUSTOS CESAR</t>
  </si>
  <si>
    <t>FALTO</t>
  </si>
  <si>
    <t>BUSTOS MARIA</t>
  </si>
  <si>
    <t>GONZALES FACIUNDO</t>
  </si>
  <si>
    <t>LA ESTANCIA</t>
  </si>
  <si>
    <t>DARWICH MARIELA</t>
  </si>
  <si>
    <t>DAVILA ANGEL</t>
  </si>
  <si>
    <t>GUERRA JUAN</t>
  </si>
  <si>
    <t>HERNANDEZ EMILSE</t>
  </si>
  <si>
    <t xml:space="preserve">MAYORISTA REYES </t>
  </si>
  <si>
    <t>SUPER DEYUV</t>
  </si>
  <si>
    <t>FILGUEIRAS MARIA</t>
  </si>
  <si>
    <t xml:space="preserve">AMADO GRACIELA </t>
  </si>
  <si>
    <t xml:space="preserve">ARON JORGE </t>
  </si>
  <si>
    <t>VEGAS DAVID</t>
  </si>
  <si>
    <t xml:space="preserve">VARGAS CINTIA </t>
  </si>
  <si>
    <t>CORDOBA CARLOS</t>
  </si>
  <si>
    <t>CABRERA OLGA</t>
  </si>
  <si>
    <t>ESCOBAR YOHANA</t>
  </si>
  <si>
    <t xml:space="preserve">IBAÑEZ NAHUEL </t>
  </si>
  <si>
    <t>BUSTOS JAVIER</t>
  </si>
  <si>
    <t>GABRIEL ANGEL</t>
  </si>
  <si>
    <t>GOMEZ FABIAN</t>
  </si>
  <si>
    <t>ALBORNOZ PALMIRA</t>
  </si>
  <si>
    <t xml:space="preserve">MERCADO OSVALDO </t>
  </si>
  <si>
    <t>NUESTRO CAMPO</t>
  </si>
  <si>
    <t>SING AMAR</t>
  </si>
  <si>
    <t>NARCHER PAMELA</t>
  </si>
  <si>
    <t>DIAZ ALFREDO</t>
  </si>
  <si>
    <t>JUAREZ FEDERICO</t>
  </si>
  <si>
    <t>JUAREZ MARIA</t>
  </si>
  <si>
    <t>DANUN JUAN</t>
  </si>
  <si>
    <t>RIVAS JUAN</t>
  </si>
  <si>
    <t>OVIEDO PABLO</t>
  </si>
  <si>
    <t>GIMENEZ CECILIA</t>
  </si>
  <si>
    <t>BRUNO MAYRA</t>
  </si>
  <si>
    <t xml:space="preserve">RESUMEN </t>
  </si>
  <si>
    <t>M.C VENDEDOR</t>
  </si>
  <si>
    <t>CERRADO</t>
  </si>
  <si>
    <t>ERROR SISTEMA</t>
  </si>
  <si>
    <t>RESUMEN POR VENDEDOR</t>
  </si>
  <si>
    <t>FALTANTE DE MERCADERIA FEBRERO 2026</t>
  </si>
  <si>
    <t>FORRAJERIA SUPER LIMPIO</t>
  </si>
  <si>
    <t xml:space="preserve">DEVOLUCION </t>
  </si>
  <si>
    <t>M.C. DEPOSITO</t>
  </si>
  <si>
    <t xml:space="preserve">CORDOBA MARCELO </t>
  </si>
  <si>
    <t>FALCO DIEGO</t>
  </si>
  <si>
    <t xml:space="preserve">SARAVIA LAURA </t>
  </si>
  <si>
    <t xml:space="preserve">ARON DAVID </t>
  </si>
  <si>
    <t>ARON JORGE</t>
  </si>
  <si>
    <t xml:space="preserve">ESCOBAR YOHANA </t>
  </si>
  <si>
    <t>CORREA GUSTAVO</t>
  </si>
  <si>
    <t>GONZALES MARIA CRISTINA</t>
  </si>
  <si>
    <t>PAZ VANESA</t>
  </si>
  <si>
    <t>ALVAREZ MATIAS</t>
  </si>
  <si>
    <t>ROMANO SERGIO</t>
  </si>
  <si>
    <t xml:space="preserve">VILLALBA IRIS </t>
  </si>
  <si>
    <t xml:space="preserve">FRIAS NOELIA </t>
  </si>
  <si>
    <t>ROSALES ANGELES</t>
  </si>
  <si>
    <t>ROMANO DEBORA</t>
  </si>
  <si>
    <t>BRITO BRAHIAN</t>
  </si>
  <si>
    <t xml:space="preserve">JUAREZ FEDERICO </t>
  </si>
  <si>
    <t>M.C. VENDEDOR</t>
  </si>
  <si>
    <t>MEDINA CARLOS</t>
  </si>
  <si>
    <t>IZQUIERDO CARLOS</t>
  </si>
  <si>
    <t>LOBO IGNACIO</t>
  </si>
  <si>
    <t>AUTOSERVICIO JAIME</t>
  </si>
  <si>
    <t>ESPINOZA CARLOS</t>
  </si>
  <si>
    <t xml:space="preserve">EL ESCOBERO </t>
  </si>
  <si>
    <t xml:space="preserve">HERRERA SILVIO </t>
  </si>
  <si>
    <t xml:space="preserve">JACOBO ALVARO </t>
  </si>
  <si>
    <t>DORDOBA DAVID</t>
  </si>
  <si>
    <t xml:space="preserve">FIOL MARIA </t>
  </si>
  <si>
    <t>FIGUEREDO LIDIA</t>
  </si>
  <si>
    <t>GUANCA JUAN</t>
  </si>
  <si>
    <t>LUNA DIANA</t>
  </si>
  <si>
    <t xml:space="preserve">AUAD MARIANA </t>
  </si>
  <si>
    <t xml:space="preserve">MEJIAS NESTOR </t>
  </si>
  <si>
    <t>ZOTTOLI FRANCO</t>
  </si>
  <si>
    <t xml:space="preserve">EL ESTABLO </t>
  </si>
  <si>
    <t>CHIA KARINA</t>
  </si>
  <si>
    <t>CORDOBA EDUARDO</t>
  </si>
  <si>
    <t>SAN BENITO</t>
  </si>
  <si>
    <t>GALVAN ADRIAN</t>
  </si>
  <si>
    <t>SUPER HERRERA MAXI</t>
  </si>
  <si>
    <t>ANDRADES</t>
  </si>
  <si>
    <t>BUSTOS SEBASTIAN</t>
  </si>
  <si>
    <t xml:space="preserve">BUSTOS LUIS </t>
  </si>
  <si>
    <t xml:space="preserve">BUSTOS MARIA </t>
  </si>
  <si>
    <t xml:space="preserve">BUSTOS ROBERTO </t>
  </si>
  <si>
    <t>PEREYRA MIRTA</t>
  </si>
  <si>
    <t xml:space="preserve">DAVILA ANGEL </t>
  </si>
  <si>
    <t>GRAMAJO MARCELA</t>
  </si>
  <si>
    <t xml:space="preserve">LOGARZO JOSE </t>
  </si>
  <si>
    <t>MINISERVICE LAURA</t>
  </si>
  <si>
    <t xml:space="preserve">VAQUERA FEDERICO </t>
  </si>
  <si>
    <t xml:space="preserve">VARELA BENITO </t>
  </si>
  <si>
    <t>BEJAS MATIAS</t>
  </si>
  <si>
    <t>EL CEIBAL</t>
  </si>
  <si>
    <t>FORRAJERIA ORDOÑEZ</t>
  </si>
  <si>
    <t>DESPENSA SAMUEL</t>
  </si>
  <si>
    <t>ERAZO VICTOR</t>
  </si>
  <si>
    <t xml:space="preserve">AUAT MARCOS </t>
  </si>
  <si>
    <t xml:space="preserve">EL JATIB </t>
  </si>
  <si>
    <t>TOLVA SAS</t>
  </si>
  <si>
    <t>BRANDAN MARIA LAURA</t>
  </si>
  <si>
    <t>DIAZ ARIEL</t>
  </si>
  <si>
    <t>GALLO NATALIA</t>
  </si>
  <si>
    <t>OBEID MAXI</t>
  </si>
  <si>
    <t>ALVARADO JULIO</t>
  </si>
  <si>
    <t>LUCERO DANIEL</t>
  </si>
  <si>
    <t>MONTENORT</t>
  </si>
  <si>
    <t>GONZALES GONZALO</t>
  </si>
  <si>
    <t xml:space="preserve">RUIZ MARIA </t>
  </si>
  <si>
    <t>SILMAN HECTOR</t>
  </si>
  <si>
    <t>AHUMADA DAVID</t>
  </si>
  <si>
    <t>LESCANO LUISA</t>
  </si>
  <si>
    <t>AGUDO BRIAN</t>
  </si>
  <si>
    <t>ROCHA SILVIA</t>
  </si>
  <si>
    <t xml:space="preserve">DIAZ GISELLE </t>
  </si>
  <si>
    <t>POTOLICCHIO JUAN</t>
  </si>
  <si>
    <t>IBRAHIM ZULEMA</t>
  </si>
  <si>
    <t>ALDERETE PATRICIA SUC II</t>
  </si>
  <si>
    <t>GUERRA JAVIER</t>
  </si>
  <si>
    <t xml:space="preserve">SOTO SERGIO </t>
  </si>
  <si>
    <t xml:space="preserve">SUPER ABASTO </t>
  </si>
  <si>
    <t xml:space="preserve">BUSTOS CESAR </t>
  </si>
  <si>
    <t>BUSTOS DENISSE</t>
  </si>
  <si>
    <t xml:space="preserve">GONZALES FACUNDO </t>
  </si>
  <si>
    <t>GUZMAN MATIAS</t>
  </si>
  <si>
    <t>ARRIOLA MARIANA</t>
  </si>
  <si>
    <t>ALTA CORDOBA</t>
  </si>
  <si>
    <t>FALTANTE DE MERCADERIA MARZO 2026</t>
  </si>
  <si>
    <t>MARTINEZ SANTIAGO</t>
  </si>
  <si>
    <t>LEGUINA MAXIMILIANO</t>
  </si>
  <si>
    <t>LOPEZ DANIEL</t>
  </si>
  <si>
    <t>NUTRIMUNDO</t>
  </si>
  <si>
    <t>LIZARRAGA PABLO</t>
  </si>
  <si>
    <t>SUPPA VICTORIO</t>
  </si>
  <si>
    <t xml:space="preserve">ALBORNOZ PALMIRA </t>
  </si>
  <si>
    <t>NAVARRO ANDREA</t>
  </si>
  <si>
    <t>DIAZ ROSA</t>
  </si>
  <si>
    <t>ARRIETA YAQUELIN</t>
  </si>
  <si>
    <t>RIVAS LUIS</t>
  </si>
  <si>
    <t>FORRAJERIA LOS MELLIS</t>
  </si>
  <si>
    <t>MAZZONE MARIA</t>
  </si>
  <si>
    <t>MANTARAS AGUSTIN</t>
  </si>
  <si>
    <t>MANZUR CARLOS</t>
  </si>
  <si>
    <t>SEARA GONZALO</t>
  </si>
  <si>
    <t>CAJCHAYA RUFINO</t>
  </si>
  <si>
    <t>OCAMPO SILVIA</t>
  </si>
  <si>
    <t>LOPEZ RAMON</t>
  </si>
  <si>
    <t>BEJAS DIEGO</t>
  </si>
  <si>
    <t>MARTINEZ JOSE</t>
  </si>
  <si>
    <t>FIOL MARIA</t>
  </si>
  <si>
    <t>FORRAJERIA SAN CAYETANO</t>
  </si>
  <si>
    <t xml:space="preserve">COCO FORRAJERIA </t>
  </si>
  <si>
    <t>HARO TRINIDAD</t>
  </si>
  <si>
    <t>ONDRY ALBERTO TAFI</t>
  </si>
  <si>
    <t>GOMEZ ANGEL</t>
  </si>
  <si>
    <t>ARANDA RAFAELA</t>
  </si>
  <si>
    <t>BACA PABLO</t>
  </si>
  <si>
    <t>BUSTOS LUIS</t>
  </si>
  <si>
    <t>DECIMA DIEGO</t>
  </si>
  <si>
    <t>IBAÑEZ NANCY</t>
  </si>
  <si>
    <t>LAZARTE ROCHA MAYRA</t>
  </si>
  <si>
    <t xml:space="preserve">DIAZ LUIS FERNANDO </t>
  </si>
  <si>
    <t>NEYRA NICOLAS</t>
  </si>
  <si>
    <t>SIR VICTOR</t>
  </si>
  <si>
    <t>URUEÑA JUAN CARLOS</t>
  </si>
  <si>
    <t xml:space="preserve">AUTOSERVICIO JAIME </t>
  </si>
  <si>
    <t xml:space="preserve">MONTERO FERNANDO </t>
  </si>
  <si>
    <t>CORDOBA MARCELO</t>
  </si>
  <si>
    <t xml:space="preserve">HERRERA MAXI </t>
  </si>
  <si>
    <t xml:space="preserve"> </t>
  </si>
  <si>
    <t>FALTANTE DE MERCADERIA ABRIL 2026</t>
  </si>
  <si>
    <t>APARICIO EDUARDO</t>
  </si>
  <si>
    <t>SIN STOCK</t>
  </si>
  <si>
    <t xml:space="preserve">GABRIEL ANGEL </t>
  </si>
  <si>
    <t>GHAMALYS</t>
  </si>
  <si>
    <t xml:space="preserve">GOMEZ OSVALDO </t>
  </si>
  <si>
    <t>EL CEBILAR</t>
  </si>
  <si>
    <t>MONTERO FERNANDO</t>
  </si>
  <si>
    <t>SANCHEZ TELLO</t>
  </si>
  <si>
    <t>FORRAJERIA SAN JOSE</t>
  </si>
  <si>
    <t>IBAÑEZ NANCY ROXANA</t>
  </si>
  <si>
    <t>AUN NICOLAS</t>
  </si>
  <si>
    <t>ARON DAVID</t>
  </si>
  <si>
    <t>GARZON ELSA</t>
  </si>
  <si>
    <t>GIMENEZ ROMINA</t>
  </si>
  <si>
    <t xml:space="preserve">BRITO BRHIAN </t>
  </si>
  <si>
    <t xml:space="preserve">RUIZ ANDREA </t>
  </si>
  <si>
    <t>SUPER ASIS</t>
  </si>
  <si>
    <t>FIGUEROA ENZO</t>
  </si>
  <si>
    <t>JACOBO ALVARO</t>
  </si>
  <si>
    <t>MAYORISTA REYES</t>
  </si>
  <si>
    <t>AMADO GRACIELA</t>
  </si>
  <si>
    <t>SEMILLERIA LUCKY</t>
  </si>
  <si>
    <t xml:space="preserve">NUTRIMUNDO </t>
  </si>
  <si>
    <t>AVILA SERGIO</t>
  </si>
  <si>
    <t>LOPEZ JAVIER</t>
  </si>
  <si>
    <t>AUAD MARIANA</t>
  </si>
  <si>
    <t>FORRAJERIA SAN FRANCISCO</t>
  </si>
  <si>
    <t>ESPECHE CARLOS</t>
  </si>
  <si>
    <t>MANSILLA NORMA</t>
  </si>
  <si>
    <t>VALLEJO AGUSTINA</t>
  </si>
  <si>
    <t>SORAIDE JOSE MARIA</t>
  </si>
  <si>
    <t>FORRAJERIA LANZY</t>
  </si>
  <si>
    <t>FALTANTE DE MERCADERIA MAYO 2026</t>
  </si>
  <si>
    <t>ELVIO</t>
  </si>
  <si>
    <t>FORRAJERIA CHOC</t>
  </si>
  <si>
    <t>MARTIN FACUNDO</t>
  </si>
  <si>
    <t>BRANDAN FEDERICO</t>
  </si>
  <si>
    <t>IBAÑEZ NAHUEL</t>
  </si>
  <si>
    <t>SORIA ALBERO</t>
  </si>
  <si>
    <t>SUSANA</t>
  </si>
  <si>
    <t>FERNANDEZ DANIEL</t>
  </si>
  <si>
    <t>GRAMAJO MARIA CONSTANZA</t>
  </si>
  <si>
    <t>MANTARAS MARIANO</t>
  </si>
  <si>
    <t>VAQUERA FEDERICO</t>
  </si>
  <si>
    <t>GONZALEZ FACUNDO</t>
  </si>
  <si>
    <t xml:space="preserve">IBAÑEZ NANCY </t>
  </si>
  <si>
    <t>NAVARRO ROSA</t>
  </si>
  <si>
    <t xml:space="preserve">RUIZ NADIA </t>
  </si>
  <si>
    <t>AVILA DOLORES</t>
  </si>
  <si>
    <t>ASTORGA JOAQUIN</t>
  </si>
  <si>
    <t>MONSTES LILIANA</t>
  </si>
  <si>
    <t>FRIAS NOELIA</t>
  </si>
  <si>
    <t xml:space="preserve">BRITO BRAHIAN </t>
  </si>
  <si>
    <t xml:space="preserve">GOMEZ ANGEL </t>
  </si>
  <si>
    <t>GONZALES JUAN DAVID</t>
  </si>
  <si>
    <t>SOTO SERGIO</t>
  </si>
  <si>
    <t>DANDE MARIA</t>
  </si>
  <si>
    <t>BUSTOS ROBERTO</t>
  </si>
  <si>
    <t>ERROR ADM.</t>
  </si>
  <si>
    <t>BERRIZBEITIA DIEGO</t>
  </si>
  <si>
    <t>RAMIREZ MATIAS</t>
  </si>
  <si>
    <t>HERRERA MAXI</t>
  </si>
  <si>
    <t>MARQUEZ CARO</t>
  </si>
  <si>
    <t>RAMOS FATIMA</t>
  </si>
  <si>
    <t xml:space="preserve">SAN BENITO </t>
  </si>
  <si>
    <t xml:space="preserve">MERCADO OSVALO </t>
  </si>
  <si>
    <t>LAVAQUE NIEVES</t>
  </si>
  <si>
    <t>MEDINA DORA</t>
  </si>
  <si>
    <t>ISA CRISTIAN</t>
  </si>
  <si>
    <t>CORDOBA DAVID</t>
  </si>
  <si>
    <t>SUPER SAN JOSE</t>
  </si>
  <si>
    <t>ESPINOZA ALEXIS</t>
  </si>
  <si>
    <t>PALAVECINO VIVIANA</t>
  </si>
  <si>
    <t>AUTOSERVICIO ANDRADA</t>
  </si>
  <si>
    <t xml:space="preserve">SUPER ASIS </t>
  </si>
  <si>
    <t>HASAN CAMILO</t>
  </si>
  <si>
    <t>mal cargado $1,014,210</t>
  </si>
  <si>
    <t>CHEQUEAR FORMULA DESDE AQUÍ</t>
  </si>
  <si>
    <t xml:space="preserve">  </t>
  </si>
  <si>
    <t>M.C. DEPOSITO S.</t>
  </si>
  <si>
    <t>M.C. DEPOSITO E.</t>
  </si>
  <si>
    <t>FALTANTE DE MERCADERIA JUNIO 2026</t>
  </si>
  <si>
    <t>BUSTOS GRACIELA</t>
  </si>
  <si>
    <t>ANTA MARGARITA</t>
  </si>
  <si>
    <t>ANDOAIN AMALIA</t>
  </si>
  <si>
    <t>LANGELLA ANTONIO</t>
  </si>
  <si>
    <t xml:space="preserve">JUAREZ ANGEL </t>
  </si>
  <si>
    <t xml:space="preserve">HERNANDEZ EMILSE </t>
  </si>
  <si>
    <t>BELTRAN NORBERTO</t>
  </si>
  <si>
    <t>GOMERIA EL RUBIO</t>
  </si>
  <si>
    <t xml:space="preserve">LESCANO LUISA </t>
  </si>
  <si>
    <t>OTTONELLI LUCAS</t>
  </si>
  <si>
    <t>COCO FORRAJERIA</t>
  </si>
  <si>
    <t>EL GAUCHO</t>
  </si>
  <si>
    <t xml:space="preserve">CORDOBA DARIO </t>
  </si>
  <si>
    <t xml:space="preserve">CHIA KARINA </t>
  </si>
  <si>
    <t xml:space="preserve">SUPPA VICTORIO </t>
  </si>
  <si>
    <t>GONZALEZ MARIA CRISTINA</t>
  </si>
  <si>
    <t>ISLA VERDE</t>
  </si>
  <si>
    <t>EL BAGUAL</t>
  </si>
  <si>
    <t xml:space="preserve">SALAS MARIA CELESTE </t>
  </si>
  <si>
    <t>HERRERA ZULMA</t>
  </si>
  <si>
    <t>ROMANO CARLOS</t>
  </si>
  <si>
    <t xml:space="preserve">OBEID LAUTARO </t>
  </si>
  <si>
    <t xml:space="preserve">RENGEL FERNANDO </t>
  </si>
  <si>
    <t xml:space="preserve">SANCHEZ TELLO </t>
  </si>
  <si>
    <t xml:space="preserve">ARRIETA YAQUELIN </t>
  </si>
  <si>
    <t>SOTELO GUSTAVO</t>
  </si>
  <si>
    <t>LOGISTICA</t>
  </si>
  <si>
    <t>ESQUENDEFE JOAQUIN</t>
  </si>
  <si>
    <t>ESTRADA VICTOR</t>
  </si>
  <si>
    <t xml:space="preserve">LOBO IGNACIO </t>
  </si>
  <si>
    <t>SORIA MARCELO</t>
  </si>
  <si>
    <t>BERNARDO</t>
  </si>
  <si>
    <t>SANTILLAN FERNANDO</t>
  </si>
  <si>
    <t xml:space="preserve">ALVARADO JULIO </t>
  </si>
  <si>
    <t xml:space="preserve">DANDE MARIA </t>
  </si>
  <si>
    <t>ROSEDO GUILLERMO</t>
  </si>
  <si>
    <t xml:space="preserve">MARTIN FACUNDO </t>
  </si>
  <si>
    <t>EXACT CRIADORES CACHORRO X15</t>
  </si>
  <si>
    <t>$ 16,913.00</t>
  </si>
  <si>
    <t>$ 50,739.00</t>
  </si>
  <si>
    <t>RESUMEN</t>
  </si>
  <si>
    <t>$ 241,086.00</t>
  </si>
  <si>
    <t>$ 53,860.00</t>
  </si>
  <si>
    <t>$ 1,418,612.00</t>
  </si>
  <si>
    <t>$ 1,025,712.00</t>
  </si>
  <si>
    <t>$ 2,167,797.00</t>
  </si>
  <si>
    <t>$ 1,085,951.00</t>
  </si>
  <si>
    <t>$ 895,640.00</t>
  </si>
  <si>
    <t>$ 6,888,658.00</t>
  </si>
  <si>
    <t>$ 160,232.00</t>
  </si>
  <si>
    <t>$ -</t>
  </si>
  <si>
    <t>$ 1,251,474.00</t>
  </si>
  <si>
    <t>$ 303,796.00</t>
  </si>
  <si>
    <t>-</t>
  </si>
  <si>
    <t>$ 680,389.00</t>
  </si>
  <si>
    <t>$ 759,793.00</t>
  </si>
  <si>
    <t>$ 3,155,684.00</t>
  </si>
  <si>
    <t>$ 65,608.00</t>
  </si>
  <si>
    <t>$ 20,925.00</t>
  </si>
  <si>
    <t>$ 5,365.00</t>
  </si>
  <si>
    <t>$ 257,272.00</t>
  </si>
  <si>
    <t>$ 433,443.00</t>
  </si>
  <si>
    <t>$ 326,158.00</t>
  </si>
  <si>
    <t>$ 1,108,771.00</t>
  </si>
  <si>
    <t>$ 19,879.00</t>
  </si>
  <si>
    <t>$ 119,985.00</t>
  </si>
  <si>
    <t>$ 238,872.00</t>
  </si>
  <si>
    <t>$ 378,736.00</t>
  </si>
  <si>
    <t>$ 15,246.00</t>
  </si>
  <si>
    <t>$ 13,056.00</t>
  </si>
  <si>
    <t>$ 161,773.00</t>
  </si>
  <si>
    <t>$ 344,659.00</t>
  </si>
  <si>
    <t>$ 815,093.00</t>
  </si>
  <si>
    <t>$ 1,349,827.00</t>
  </si>
  <si>
    <t>FALTANTE DE MERCADERIA JULIO 2026</t>
  </si>
  <si>
    <t>MOTIVO</t>
  </si>
  <si>
    <t>URUEÑA FRANCISCO</t>
  </si>
  <si>
    <t>CABALLO PREMIUM X 30 KG</t>
  </si>
  <si>
    <t>$ 14,514.00</t>
  </si>
  <si>
    <t>$ 435,420.00</t>
  </si>
  <si>
    <t>POLENTA</t>
  </si>
  <si>
    <t>$ 739.00</t>
  </si>
  <si>
    <t>$ 36,950.00</t>
  </si>
  <si>
    <t>PONEDORA POSTURA X 40 KG</t>
  </si>
  <si>
    <t>$ 18,571.00</t>
  </si>
  <si>
    <t>$ 55,713.00</t>
  </si>
  <si>
    <t>TIERNITO CARNE x 21 KG</t>
  </si>
  <si>
    <t>$ 35,345.00</t>
  </si>
  <si>
    <t>$ 176,725.00</t>
  </si>
  <si>
    <t>GIRASOL GRANDE</t>
  </si>
  <si>
    <t>$ 1,787.00</t>
  </si>
  <si>
    <t>$ 35,740.00</t>
  </si>
  <si>
    <t>EXACT PREMIUM ADULTO X 18K</t>
  </si>
  <si>
    <t>$ 26,652.00</t>
  </si>
  <si>
    <t>$ 79,956.00</t>
  </si>
  <si>
    <t>PAJARO 4 mm x 25 Kg - GANAVE</t>
  </si>
  <si>
    <t>$ 49,620.00</t>
  </si>
  <si>
    <t>COMPLETE PERRO ADULTO RAZA MED Y GDE X 20KG</t>
  </si>
  <si>
    <t>$ 54,536.00</t>
  </si>
  <si>
    <t>MAIZ QUEBRADO FINO X 30 KG</t>
  </si>
  <si>
    <t>$ 12,130.00</t>
  </si>
  <si>
    <t>$ 36,390.00</t>
  </si>
  <si>
    <t>MAIZ QUEBRADO MEDIANO X 30 KG</t>
  </si>
  <si>
    <t>$ 121,300.00</t>
  </si>
  <si>
    <t>BICARBONATO</t>
  </si>
  <si>
    <t>$ 3,450.00</t>
  </si>
  <si>
    <t>$ 17,250.00</t>
  </si>
  <si>
    <t>MEZCLA FINA ESPECIAL (CARDENAL)</t>
  </si>
  <si>
    <t>$ 744.00</t>
  </si>
  <si>
    <t>$ 22,320.00</t>
  </si>
  <si>
    <t>AVENA INSTANTANEA</t>
  </si>
  <si>
    <t>$ 1,572.00</t>
  </si>
  <si>
    <t>$ 7,860.00</t>
  </si>
  <si>
    <t>CEREAL CON AZUCAR x 2.5 Kg</t>
  </si>
  <si>
    <t>$ 9,971.00</t>
  </si>
  <si>
    <t>$ 39,884.00</t>
  </si>
  <si>
    <t>MOHAMED ZULEMA</t>
  </si>
  <si>
    <t>COMPLETE CACHORRO RAZA MED Y GDE X 20KG</t>
  </si>
  <si>
    <t>$ 48,101.00</t>
  </si>
  <si>
    <t>MIRANDA MERCEDES</t>
  </si>
  <si>
    <t>MEZCLA GALLO PREMIUM</t>
  </si>
  <si>
    <t>$ 813.90</t>
  </si>
  <si>
    <t>$ 162,780.00</t>
  </si>
  <si>
    <t>MANI CON CASCARA KING X KG</t>
  </si>
  <si>
    <t>$ 3,624.00</t>
  </si>
  <si>
    <t>BRITO FRANCO</t>
  </si>
  <si>
    <t>MAIZ MOLIDO BLANCO</t>
  </si>
  <si>
    <t>$ 1,485.00</t>
  </si>
  <si>
    <t>$ 14,850.00</t>
  </si>
  <si>
    <t>POROTO ALUBIA</t>
  </si>
  <si>
    <t>$ 1,920.00</t>
  </si>
  <si>
    <t>$ 19,200.00</t>
  </si>
  <si>
    <t>COMINO COMUN</t>
  </si>
  <si>
    <t>$ 4,028.00</t>
  </si>
  <si>
    <t>$ 20,140.00</t>
  </si>
  <si>
    <t>AZUCAR IMPALPABLE</t>
  </si>
  <si>
    <t>$ 2,493.00</t>
  </si>
  <si>
    <t>$ 12,465.00</t>
  </si>
  <si>
    <t>COCO RALLADO</t>
  </si>
  <si>
    <t>$ 9,000.00</t>
  </si>
  <si>
    <t>$ 45,000.00</t>
  </si>
  <si>
    <t>MEZCLA P/PAJARO</t>
  </si>
  <si>
    <t>$ 1,224.00</t>
  </si>
  <si>
    <t>$ 73,440.00</t>
  </si>
  <si>
    <t>$ 33,578.00</t>
  </si>
  <si>
    <t>$ 100,734.00</t>
  </si>
  <si>
    <t>GRAN CAMPEON CACHORRO X 10 KG</t>
  </si>
  <si>
    <t>$ 16,755.00</t>
  </si>
  <si>
    <t>$ 50,265.00</t>
  </si>
  <si>
    <t>GRAN CAMPEON AD ROJO Carne y Pollo X 21 KG</t>
  </si>
  <si>
    <t>$ 27,424.00</t>
  </si>
  <si>
    <t>$ 54,848.00</t>
  </si>
  <si>
    <t>AVENA FORRAJERA X KG</t>
  </si>
  <si>
    <t>PIEDRAS SANITARIAS MI NINO 12,5</t>
  </si>
  <si>
    <t>PASAS SIN SEMILLA</t>
  </si>
  <si>
    <t>#N/D</t>
  </si>
  <si>
    <t>$ 1,384,169.0</t>
  </si>
  <si>
    <t>$ 68,975.00</t>
  </si>
  <si>
    <t>$ 511,044.00</t>
  </si>
  <si>
    <t>$ 92,663.00</t>
  </si>
  <si>
    <t>$ 631,531.00</t>
  </si>
  <si>
    <t>$ 1,384,169.00</t>
  </si>
  <si>
    <t>$ 468,751.00</t>
  </si>
  <si>
    <t>$ 1,152,414.00</t>
  </si>
  <si>
    <t>$ 65,351.00</t>
  </si>
  <si>
    <t>$ 166,404.00</t>
  </si>
  <si>
    <t>CAUSALES REBOTES JULIO</t>
  </si>
  <si>
    <t>DARIO</t>
  </si>
  <si>
    <t>CAUSA</t>
  </si>
  <si>
    <t>Total general</t>
  </si>
  <si>
    <t>BRAIAN</t>
  </si>
  <si>
    <t>Etiquetas de fila</t>
  </si>
  <si>
    <t>Suma de TOTAL</t>
  </si>
  <si>
    <t>COD_ARTICU</t>
  </si>
  <si>
    <t>DESCRIPCIO</t>
  </si>
  <si>
    <t>CHUPETE CERDO</t>
  </si>
  <si>
    <t>ANTIBIOTICO X 250 GR</t>
  </si>
  <si>
    <t>ANTIBIOTICO X 500 GR</t>
  </si>
  <si>
    <t>ANTIBIOTICO X KG</t>
  </si>
  <si>
    <t>ANTIVITAMINICO X 50 GR</t>
  </si>
  <si>
    <t>ANTIVITAMINICO X KG</t>
  </si>
  <si>
    <t>BAÐERA PLASTICA N░ 1</t>
  </si>
  <si>
    <t>BAÐERA PLASTICA N░ 2</t>
  </si>
  <si>
    <t>BAÐERA PLASTICA N░ 3</t>
  </si>
  <si>
    <t>BAÐERA PLASTICA N░ 4</t>
  </si>
  <si>
    <t>BASE PLASTICA BEBEDERO</t>
  </si>
  <si>
    <t>BEBEDERO CON ALETA N░ 1</t>
  </si>
  <si>
    <t>BEBEDERO CON ALETA N░ 2</t>
  </si>
  <si>
    <t>BEBEDERO CON ALETA N░ 3</t>
  </si>
  <si>
    <t>BEBEDERO CON GANCHO N░ 1</t>
  </si>
  <si>
    <t>BEBEDERO CON GANCHO N░ 2</t>
  </si>
  <si>
    <t>BEBEDERO CON GANCHO N░ 3</t>
  </si>
  <si>
    <t>BEBEDERO MEDIA CAÐA</t>
  </si>
  <si>
    <t>BEBEDERO PLASTICO X 3 LT</t>
  </si>
  <si>
    <t>BEBEDERO TAPADO</t>
  </si>
  <si>
    <t>BEBEDERO TUBO N░ 1</t>
  </si>
  <si>
    <t>BEBEDERO TUBO N░ 2</t>
  </si>
  <si>
    <t>BEBEDERO TUBO N░ 3</t>
  </si>
  <si>
    <t>BEBEDERO TUBO N░ 4</t>
  </si>
  <si>
    <t>CEDE PASTON AL HUEVO x KG</t>
  </si>
  <si>
    <t>CODORNICES</t>
  </si>
  <si>
    <t>COLOR ROJO POTENCIADO X KG</t>
  </si>
  <si>
    <t>COMEDERO PARA GALLO</t>
  </si>
  <si>
    <t>COMEDERO PLASTICO X 3 LT</t>
  </si>
  <si>
    <t>DISPONIBLE</t>
  </si>
  <si>
    <t>ENROFLOXACINA 1 LTS</t>
  </si>
  <si>
    <t>ENROFLOXACINA 100 CM</t>
  </si>
  <si>
    <t>GUGUI PASTON AL HUEVO X KG</t>
  </si>
  <si>
    <t>JAULA BAUL CHICA</t>
  </si>
  <si>
    <t>JAULA BAUL Grande</t>
  </si>
  <si>
    <t>JAULA CHICA</t>
  </si>
  <si>
    <t>JAULA CHINA MEDIANA</t>
  </si>
  <si>
    <t>JAULA CRIADORA 2D2N4V</t>
  </si>
  <si>
    <t>JAULA CRIADORA 2D2N6V/NIDO EXT</t>
  </si>
  <si>
    <t>JAULA GRANDE</t>
  </si>
  <si>
    <t>JAULA LORERA GRANDE</t>
  </si>
  <si>
    <t>JAULA LORERA MEDIANA</t>
  </si>
  <si>
    <t>JAULA RANCHO CHICA</t>
  </si>
  <si>
    <t>JAULA RANCHO GRANDE</t>
  </si>
  <si>
    <t>JAULA RANCHO MEDIANA</t>
  </si>
  <si>
    <t>JAULA VOLADORA 50X30X30</t>
  </si>
  <si>
    <t>JAULA VOLADORA 75x30x30 c/4</t>
  </si>
  <si>
    <t>JAULIN ALAMBRE N░ 1</t>
  </si>
  <si>
    <t>JAULIN ALAMBRE N░ 2</t>
  </si>
  <si>
    <t>JAULON C/PIE 3 DIVISIONES</t>
  </si>
  <si>
    <t>JAULON C/PIE 5 DIVISIONES</t>
  </si>
  <si>
    <t>LENGUETERO</t>
  </si>
  <si>
    <t>NIDO EXTERNO ALAMBRE</t>
  </si>
  <si>
    <t>NIDO INTERNO PLASTICO</t>
  </si>
  <si>
    <t>OXITETRACICLINA X KG</t>
  </si>
  <si>
    <t>PALITO PARA JAULA N░ 3</t>
  </si>
  <si>
    <t>PEGA PEGA X 60 GR</t>
  </si>
  <si>
    <t>POLLITO CHICO</t>
  </si>
  <si>
    <t>POLLITO MEDIANO</t>
  </si>
  <si>
    <t>POLVO PARA AVES</t>
  </si>
  <si>
    <t>REPUESTO BEBEDERO X 3 LT</t>
  </si>
  <si>
    <t>REPUESTO GOMERA X 10 UD</t>
  </si>
  <si>
    <t>REPUESTO GOMERA X UD</t>
  </si>
  <si>
    <t>SEVIN X GR</t>
  </si>
  <si>
    <t>SEVIN X KG</t>
  </si>
  <si>
    <t>SULFA 50 GR</t>
  </si>
  <si>
    <t>SULFA X 1 KG</t>
  </si>
  <si>
    <t>TRAMPERA MADERA CHICA</t>
  </si>
  <si>
    <t>TRAMPERA YERBERA GRANDE</t>
  </si>
  <si>
    <t>VIRUTA</t>
  </si>
  <si>
    <t>VIRUTA BOLSA CHICA</t>
  </si>
  <si>
    <t>VITAMINA LIQ X 1 LT</t>
  </si>
  <si>
    <t>VITAMINA LIQ X 50 CM</t>
  </si>
  <si>
    <t>VITAMINA POLVO X KG</t>
  </si>
  <si>
    <t>BEBEDERO HAMSTER - PLASTICO</t>
  </si>
  <si>
    <t>BEBEDERO HAMSTER - VIDRIO</t>
  </si>
  <si>
    <t>HAMSTERA c/ BANDEJA - ROLLER</t>
  </si>
  <si>
    <t>JAULA CONEJO MASCOTA</t>
  </si>
  <si>
    <t>RUEDA P/HAMSTERA ALAMBRE</t>
  </si>
  <si>
    <t>ANTICLORO BONAQUA x 80cc</t>
  </si>
  <si>
    <t>AZUL DE METILENO x 50 cc</t>
  </si>
  <si>
    <t>CAÐO CRISTAL PARA AIREACION x mt</t>
  </si>
  <si>
    <t>CONECTOR CRUZ 4 VIAS PARA AIREACION</t>
  </si>
  <si>
    <t>CONECTOR RECTO 1 VIA PARA AIREACION</t>
  </si>
  <si>
    <t>CONECTOR RECTO 1 VIA PARA AIREACION EN L</t>
  </si>
  <si>
    <t>CONECTOR T" 3 VIAS PARA AIREACION"</t>
  </si>
  <si>
    <t>CONO AIREACION PARA PLACAS - PICO CHICO</t>
  </si>
  <si>
    <t>CONO CRISTAL PARA AIREACION GDE</t>
  </si>
  <si>
    <t>LLAVE DE CORTE PARA AIREACION</t>
  </si>
  <si>
    <t>MAC SHULET TROPICAL X 10 GR</t>
  </si>
  <si>
    <t>PIEDRAS MULTICOLORES x 500 GR</t>
  </si>
  <si>
    <t>PLACAS BIOLOGICAS NEW PET</t>
  </si>
  <si>
    <t>PLANTA PLAST. GDE x 1 UN</t>
  </si>
  <si>
    <t>PLANTA PLAST. GDE X 2 UN</t>
  </si>
  <si>
    <t>PLANTA PLAST. MED X 2 UN</t>
  </si>
  <si>
    <t>SHULET AGUA FRIA X 1 KG</t>
  </si>
  <si>
    <t>SHULET AGUA FRIA X 20 GR</t>
  </si>
  <si>
    <t>SHULET AGUA FRIA X 40 GR</t>
  </si>
  <si>
    <t>SHULET AGUA FRIA X 9 GR</t>
  </si>
  <si>
    <t>TERMOMETRO ADHESIVO DIGITAL</t>
  </si>
  <si>
    <t>VITAFISH X 6 GR</t>
  </si>
  <si>
    <t>AHUYENTA PERROS</t>
  </si>
  <si>
    <t>ARNES N░ 6</t>
  </si>
  <si>
    <t>ARNES N░ 7</t>
  </si>
  <si>
    <t>ARNES N░ 8</t>
  </si>
  <si>
    <t>BANDEJA SANITARIA</t>
  </si>
  <si>
    <t>BAÐO ANTIPARASITARIO X 70 ML</t>
  </si>
  <si>
    <t>BAÐO BABS X 120 CC</t>
  </si>
  <si>
    <t>BAÐO BABS X 70 CC</t>
  </si>
  <si>
    <t>BAÐO GLACOXAN x  120 cc</t>
  </si>
  <si>
    <t>BAÐO GLACOXAN x 70 cc</t>
  </si>
  <si>
    <t>BLISTER FINO P/ GATO x 12</t>
  </si>
  <si>
    <t>BLISTER FINO P/ GATO X UD</t>
  </si>
  <si>
    <t>BOSAL</t>
  </si>
  <si>
    <t>BOZAL CHICO</t>
  </si>
  <si>
    <t>BOZAL GRANDE</t>
  </si>
  <si>
    <t>BOZAL MEDIANO</t>
  </si>
  <si>
    <t>BRETEL N║ 1</t>
  </si>
  <si>
    <t>BRETEL N║ 2</t>
  </si>
  <si>
    <t>BRETEL N║ 3</t>
  </si>
  <si>
    <t>BRETEL N║ 4</t>
  </si>
  <si>
    <t>BRETEL N║ 5</t>
  </si>
  <si>
    <t>BRETEL N║ 6</t>
  </si>
  <si>
    <t>BRETEL N║ 7</t>
  </si>
  <si>
    <t>BRETEL REGULABLE REFORZADO</t>
  </si>
  <si>
    <t>CADENA DE VAREO FINA</t>
  </si>
  <si>
    <t>CADENA DE VAREO GRUESA</t>
  </si>
  <si>
    <t>CADENA DE VAREO MEDIANA</t>
  </si>
  <si>
    <t>CARAMELOS PARA PERRO</t>
  </si>
  <si>
    <t>CARDINA PLASTICA CHICA</t>
  </si>
  <si>
    <t>CARDINA PLASTICA GRANDE</t>
  </si>
  <si>
    <t>CARDINA PLASTICA MEDIANA</t>
  </si>
  <si>
    <t>CEPILLO DOBLE CHICO</t>
  </si>
  <si>
    <t>CEPILLO DOBLE GRANDE</t>
  </si>
  <si>
    <t>CEPILLO DOBLE MEDIANO</t>
  </si>
  <si>
    <t>CHAPITA HUESO BLISTER X 7</t>
  </si>
  <si>
    <t>COLLAR AHORQUE CHICO</t>
  </si>
  <si>
    <t>COLLAR AHORQUE GRANDE</t>
  </si>
  <si>
    <t>COLLAR AHORQUE MEDIANO</t>
  </si>
  <si>
    <t>COLLAR ANTIPULGAS CHICO</t>
  </si>
  <si>
    <t>COLLAR ANTIPULGAS GATO</t>
  </si>
  <si>
    <t>COLLAR ANTIPULGAS GRANDE</t>
  </si>
  <si>
    <t>COLLAR ANTIPULGAS MEDIANO</t>
  </si>
  <si>
    <t>COLLAR CUERO N░ 1</t>
  </si>
  <si>
    <t>COLLAR CUERO N░ 2</t>
  </si>
  <si>
    <t>COLLAR CUERO N░ 3</t>
  </si>
  <si>
    <t>COLLAR CUERO N░ 4</t>
  </si>
  <si>
    <t>COLLAR CUERO N░ 5</t>
  </si>
  <si>
    <t>COLLAR CUERO SAN JUAN N║ 1</t>
  </si>
  <si>
    <t>COLLAR CUERO SAN JUAN N║ 2</t>
  </si>
  <si>
    <t>COLLAR CUERO SAN JUAN N║ 3</t>
  </si>
  <si>
    <t>COLLAR CUERO SAN JUAN N║ 4</t>
  </si>
  <si>
    <t>COLLAR CUERO SAN JUAN N║ 5</t>
  </si>
  <si>
    <t>COLLAR CUERO SAN JUAN N║ 7</t>
  </si>
  <si>
    <t>COLLAR CUERO SAN JUAN N║ 8</t>
  </si>
  <si>
    <t>COLLAR N░ 1 ( 29 cm)</t>
  </si>
  <si>
    <t>COLLAR N░ 2 (34 cm)</t>
  </si>
  <si>
    <t>COLLAR N░ 3 ( 38 cm)</t>
  </si>
  <si>
    <t>COLLAR N░ 4 ( 43 cm)</t>
  </si>
  <si>
    <t>COLLAR N░ 5 ( 46 cm)</t>
  </si>
  <si>
    <t>COLLAR N░ 6 ( 52 cm)</t>
  </si>
  <si>
    <t>COLLAR N░ 7 ( 58 cm)</t>
  </si>
  <si>
    <t>COLLAR NAILON SAN JUAN N║ 1</t>
  </si>
  <si>
    <t>COLLAR NAILON SAN JUAN N║ 2</t>
  </si>
  <si>
    <t>COLLAR NAILON SAN JUAN N║ 3</t>
  </si>
  <si>
    <t>COLLAR NAILON SAN JUAN N║ 4</t>
  </si>
  <si>
    <t>COLLAR NAILON SAN JUAN N║ 5</t>
  </si>
  <si>
    <t>COLLAR REFORZADO</t>
  </si>
  <si>
    <t>COLLAR REFORZADO EXTRA 70 CM</t>
  </si>
  <si>
    <t>COLLAR REFORZADO SAN JUAN</t>
  </si>
  <si>
    <t>COLLAR REGULABLE N░ 1</t>
  </si>
  <si>
    <t>COLLAR REGULABLE N░ 2</t>
  </si>
  <si>
    <t>COLLAR REGULABLE N░ 3</t>
  </si>
  <si>
    <t>COLLAR REGULABLE N░ 4</t>
  </si>
  <si>
    <t>COMEDERO CHICO</t>
  </si>
  <si>
    <t>COMEDERO DOBLE</t>
  </si>
  <si>
    <t>COMEDERO GRANDE</t>
  </si>
  <si>
    <t>COMEDERO MEDIANO</t>
  </si>
  <si>
    <t>CONJUNTO CHICO</t>
  </si>
  <si>
    <t>CONJUNTO MEDIANO</t>
  </si>
  <si>
    <t>CORREA CORTA</t>
  </si>
  <si>
    <t>CORREA CORTA REFORAZADA</t>
  </si>
  <si>
    <t>CORREA N░ 1</t>
  </si>
  <si>
    <t>CORREA N░ 2</t>
  </si>
  <si>
    <t>CORREA N░ 3</t>
  </si>
  <si>
    <t>CORREA N░ 4</t>
  </si>
  <si>
    <t>CORREA NAILON SAN JUAN N║ 1</t>
  </si>
  <si>
    <t>CORREA NAILON SAN JUAN N║ 2</t>
  </si>
  <si>
    <t>CORREA NAILON SAN JUAN N║ 3</t>
  </si>
  <si>
    <t>CURABICHERA PLATA AM NORT</t>
  </si>
  <si>
    <t>CURABICHERAS MUSTANG</t>
  </si>
  <si>
    <t>DESPARACITANTE</t>
  </si>
  <si>
    <t>DESPARASITARIO ALBENDAZOL GOTAS</t>
  </si>
  <si>
    <t>ECTHOL X 120 CC</t>
  </si>
  <si>
    <t>ECTHOL x 70 CC</t>
  </si>
  <si>
    <t>FORMITAS HUESOS</t>
  </si>
  <si>
    <t>HUESITO N░ 3</t>
  </si>
  <si>
    <t>HUESITO N░ 5</t>
  </si>
  <si>
    <t>HUESITO N░ 7</t>
  </si>
  <si>
    <t>IVOMET</t>
  </si>
  <si>
    <t>KIT P/ MASCOTA</t>
  </si>
  <si>
    <t>LOCION X 130 CC</t>
  </si>
  <si>
    <t>LOCION X 50 CC</t>
  </si>
  <si>
    <t>MANIJA CON RESORTE</t>
  </si>
  <si>
    <t>MANOPLA DE CUERO</t>
  </si>
  <si>
    <t>MEDALLAS</t>
  </si>
  <si>
    <t>MOSQUETON CHICO</t>
  </si>
  <si>
    <t>MOSQUETON GRANDE</t>
  </si>
  <si>
    <t>MOSQUETON MEDIANO</t>
  </si>
  <si>
    <t>OREJAS</t>
  </si>
  <si>
    <t>PALITA SANITARIA</t>
  </si>
  <si>
    <t>PECHERA CUERO CHICA</t>
  </si>
  <si>
    <t>PECHERA CUERO GRANDE</t>
  </si>
  <si>
    <t>PECHERA REFORZADA</t>
  </si>
  <si>
    <t>PECHERA SIMPLE</t>
  </si>
  <si>
    <t>PERFUME X 130 CC</t>
  </si>
  <si>
    <t>PIEDRAS SANITARIAS X 1,8 KG</t>
  </si>
  <si>
    <t>PIEDRAS SANITARIAS X 25 KG</t>
  </si>
  <si>
    <t>PIEDRAS SANITARIAS X KG</t>
  </si>
  <si>
    <t>PIPETA CHICA</t>
  </si>
  <si>
    <t>PIPETA EXTRA GRANDE</t>
  </si>
  <si>
    <t>PIPETA GATO</t>
  </si>
  <si>
    <t>PIPETA GRANDE</t>
  </si>
  <si>
    <t>PIPETA MEDIANA</t>
  </si>
  <si>
    <t>POLAR N░ 0</t>
  </si>
  <si>
    <t>POLAR N░ 1</t>
  </si>
  <si>
    <t>POLAR N░ 10</t>
  </si>
  <si>
    <t>POLAR N░ 11</t>
  </si>
  <si>
    <t>POLAR N░ 12</t>
  </si>
  <si>
    <t>POLAR N░ 2</t>
  </si>
  <si>
    <t>POLAR N░ 3</t>
  </si>
  <si>
    <t>POLAR N░ 4</t>
  </si>
  <si>
    <t>POLAR N░ 5</t>
  </si>
  <si>
    <t>POLAR N░ 6</t>
  </si>
  <si>
    <t>POLAR N░ 7</t>
  </si>
  <si>
    <t>POLAR N░ 8</t>
  </si>
  <si>
    <t>POLAR N░ 9</t>
  </si>
  <si>
    <t>PRETAL N░ 1</t>
  </si>
  <si>
    <t>PRETAL N░ 2</t>
  </si>
  <si>
    <t>PRETAL N░ 3</t>
  </si>
  <si>
    <t>PRETAL N░ 4</t>
  </si>
  <si>
    <t>PRETAL N░ 9</t>
  </si>
  <si>
    <t>REPELENTE CON GATILLO</t>
  </si>
  <si>
    <t>REPELENTE SIN GATILLO - REPUESTO</t>
  </si>
  <si>
    <t>REPLUME</t>
  </si>
  <si>
    <t>SHAMPOO OSSPRET  2 EN 1 X 250 CC</t>
  </si>
  <si>
    <t>SHAMPOO OSSPRET  2 EN 1 X 5 LT</t>
  </si>
  <si>
    <t>SHAMPOO OSSPRET CACHORRO X 250 CC</t>
  </si>
  <si>
    <t>SHAMPOO OSSPRET TONALIZADOR X 250 CC</t>
  </si>
  <si>
    <t>SHAMPOO OSSPRET TRAD. X 250 CC</t>
  </si>
  <si>
    <t>SHAMPOO OSSPRET TRAD. X 5 LT</t>
  </si>
  <si>
    <t>TALQUERA PULGUICIDA WASH</t>
  </si>
  <si>
    <t>TRAMPA CUADRADA CHICA</t>
  </si>
  <si>
    <t>TRAMPA CUADRADA MEDIANA</t>
  </si>
  <si>
    <t>BOLS N░ 12</t>
  </si>
  <si>
    <t>BOLS N░ 15</t>
  </si>
  <si>
    <t>BOLS N░ 18</t>
  </si>
  <si>
    <t>BOLS N░ 21</t>
  </si>
  <si>
    <t>BOLS N░ 24</t>
  </si>
  <si>
    <t>BOLS N░ 26</t>
  </si>
  <si>
    <t>D-SIST GLACOXAN x 30 cc x 24 u</t>
  </si>
  <si>
    <t>D-SIST GLACOXAN x 60 cc x 24 u</t>
  </si>
  <si>
    <t>ESCOBAS BARREHOJAS plástica</t>
  </si>
  <si>
    <t>FERTIFOX FLORACION x 200 cc</t>
  </si>
  <si>
    <t>FERTIFOX FOLLAJE 200 cc</t>
  </si>
  <si>
    <t>FERTIFOX HORM. ENRAIZAR x 75 gr</t>
  </si>
  <si>
    <t>FERTIFOX HORMONAS x 200 cc</t>
  </si>
  <si>
    <t>FERTILIZANTE TRIPLE 15 X 1 KG</t>
  </si>
  <si>
    <t>FERTILIZANTE TRIPLE 15 X 500 GR</t>
  </si>
  <si>
    <t>FUNGOXAN funguicida sist. x 30cc</t>
  </si>
  <si>
    <t>FUNGOXAN funguicida sist. x60cc</t>
  </si>
  <si>
    <t>GANCHOS LISOS PLASTICOS</t>
  </si>
  <si>
    <t>HERBICIDA GRANULADO X 250 GR</t>
  </si>
  <si>
    <t>HERBICIDA LIQUIDO X 500 ML</t>
  </si>
  <si>
    <t>HERBICIDA TOTAL X 100 CC</t>
  </si>
  <si>
    <t>HERBICIDA TOTAL X 200 CC</t>
  </si>
  <si>
    <t>JARDINERA MINI N░ 20</t>
  </si>
  <si>
    <t>JARDINERA MINI N░ 36</t>
  </si>
  <si>
    <t>JARDINERA N░ 35</t>
  </si>
  <si>
    <t>JARDINERA N░ 40</t>
  </si>
  <si>
    <t>JARDINERA N░ 45</t>
  </si>
  <si>
    <t>JARDINERA N░ 55</t>
  </si>
  <si>
    <t>JARDINERA N░ 65</t>
  </si>
  <si>
    <t>JARDINERA N║ 27</t>
  </si>
  <si>
    <t>JARDINERA OWEN N░ 35</t>
  </si>
  <si>
    <t>MACETA BERTA N░ 7</t>
  </si>
  <si>
    <t>MACETA BERTA N░ 9</t>
  </si>
  <si>
    <t>MACETA CLASICA N░ 10</t>
  </si>
  <si>
    <t>MACETA CLASICA N░ 11</t>
  </si>
  <si>
    <t>MACETA CLASICA N░ 12</t>
  </si>
  <si>
    <t>MACETA CLASICA N░ 13</t>
  </si>
  <si>
    <t>MACETA CLASICA N░ 14</t>
  </si>
  <si>
    <t>MACETA CLASICA N░ 15</t>
  </si>
  <si>
    <t>MACETA CLASICA N░ 17</t>
  </si>
  <si>
    <t>MACETA CLASICA N░ 19</t>
  </si>
  <si>
    <t>MACETA CLASICA N░ 21</t>
  </si>
  <si>
    <t>MACETA CLASICA N░ 24</t>
  </si>
  <si>
    <t>MACETA CLASICA N░ 27</t>
  </si>
  <si>
    <t>MACETA CLASICA N░ 29</t>
  </si>
  <si>
    <t>MACETA CLASICA N░ 30</t>
  </si>
  <si>
    <t>MACETA CLASICA N░ 35</t>
  </si>
  <si>
    <t>MACETA CLASICA N░ 40</t>
  </si>
  <si>
    <t>MACETA CLASICA N░ 45</t>
  </si>
  <si>
    <t>MACETA CLASICA N░ 50</t>
  </si>
  <si>
    <t>MACETA CLASICA N░ 6</t>
  </si>
  <si>
    <t>MACETA CLASICA N░ 60</t>
  </si>
  <si>
    <t>MACETA CLASICA N░ 7</t>
  </si>
  <si>
    <t>MACETA CLASICA N░ 8</t>
  </si>
  <si>
    <t>MACETA CONICA N░ 12</t>
  </si>
  <si>
    <t>MACETA CONICA N░ 16</t>
  </si>
  <si>
    <t>MACETA CONICA N░ 20</t>
  </si>
  <si>
    <t>MACETA CONICA N░ 8</t>
  </si>
  <si>
    <t>MACETA CUADRADA N░ 10</t>
  </si>
  <si>
    <t>MACETA CUADRADA N░ 12</t>
  </si>
  <si>
    <t>MACETA CUADRADA N░ 14</t>
  </si>
  <si>
    <t>MACETA CUADRADA N░ 6</t>
  </si>
  <si>
    <t>MACETA CUADRADA N░ 8</t>
  </si>
  <si>
    <t>MACETA CUADRADA OWEN N░ 25</t>
  </si>
  <si>
    <t>MACETA DECORATIVA N░ 12</t>
  </si>
  <si>
    <t>MACETA DECORATIVA N░ 14</t>
  </si>
  <si>
    <t>MACETA DECORATIVA N░ 16</t>
  </si>
  <si>
    <t>MACETA DECORATIVA N░ 6</t>
  </si>
  <si>
    <t>MACETA DECORATIVA N░ 8</t>
  </si>
  <si>
    <t>MACETA DIAMOND N░ 15</t>
  </si>
  <si>
    <t>MACETA DIAMOND N░ 17</t>
  </si>
  <si>
    <t>MACETA IBIZA N░ 15</t>
  </si>
  <si>
    <t>MACETA IBIZA N░ 20</t>
  </si>
  <si>
    <t>MACETA IBIZA N░ 25</t>
  </si>
  <si>
    <t>MACETA IBIZA N░ 30</t>
  </si>
  <si>
    <t>MACETA IBIZA N░ 35</t>
  </si>
  <si>
    <t>MACETA IBIZA N░ 40</t>
  </si>
  <si>
    <t>MACETA LIVIANA N░14</t>
  </si>
  <si>
    <t>MACETA LIVIANA N║ 10</t>
  </si>
  <si>
    <t>MACETA LIVIANA N║ 12</t>
  </si>
  <si>
    <t>MACETA LIVIANA N║ 9</t>
  </si>
  <si>
    <t>MACETA PIRAMIDAL N░ 11</t>
  </si>
  <si>
    <t>MACETA PIRAMIDAL N░ 30</t>
  </si>
  <si>
    <t>MACETA PIRAMIDAL N░ 40</t>
  </si>
  <si>
    <t>MACETA PIRAMIDAL N░ 52</t>
  </si>
  <si>
    <t>MACETA PREMIUM CUADRADA N░ 12</t>
  </si>
  <si>
    <t>MACETA PREMIUM CUADRADA N░ 16</t>
  </si>
  <si>
    <t>MACETA PREMIUM CUADRADA N░ 20</t>
  </si>
  <si>
    <t>MACETA PREMIUM CUADRADA N░ 8</t>
  </si>
  <si>
    <t>MACETA PREMIUM REDONDA N░ 10</t>
  </si>
  <si>
    <t>MACETA PREMIUM REDONDA N░ 12</t>
  </si>
  <si>
    <t>MACETA PREMIUM REDONDA N░ 16</t>
  </si>
  <si>
    <t>MACETA PREMIUM REDONDA N░ 18</t>
  </si>
  <si>
    <t>MACETA PREMIUM REDONDA N░ 22</t>
  </si>
  <si>
    <t>MACETA PREMIUM REDONDA N░ 27</t>
  </si>
  <si>
    <t>MACETA PREMIUM REDONDA N░ 8</t>
  </si>
  <si>
    <t>MACETA TERRINA N░ 12</t>
  </si>
  <si>
    <t>MANGUERA TRENZADA FLUOR</t>
  </si>
  <si>
    <t>MENSULAS DE HIERRO GRANDE</t>
  </si>
  <si>
    <t>MENSULAS PLASTICAS Nº 3</t>
  </si>
  <si>
    <t>PALITA PLASTICA ANCHA</t>
  </si>
  <si>
    <t>PALITA PLASTICA FINA</t>
  </si>
  <si>
    <t>SEMILLA CALABAZA X 10 GR</t>
  </si>
  <si>
    <t>SEMILLA CESPED 9 VARIEDADES X 500 GR</t>
  </si>
  <si>
    <t>SEMILLA DE ACELGA X 10 GR</t>
  </si>
  <si>
    <t>SEMILLA DE ANCO X 10 GR</t>
  </si>
  <si>
    <t>SEMILLA MELON BONANZA X 10 GR</t>
  </si>
  <si>
    <t>SEMILLA SANDIA CHARLES X 10 GR</t>
  </si>
  <si>
    <t>SEMILLA SANDIA CRIMSOM X 10 GR</t>
  </si>
  <si>
    <t>SEMILLA TRONQUERITA X 10 GR</t>
  </si>
  <si>
    <t>SEMILLA ZAPALLO BRASILERO X 10 GR</t>
  </si>
  <si>
    <t>SEMILLA ZAPALLO COREANO X 10 GR</t>
  </si>
  <si>
    <t>SEMILLA ZAPALLO PLOMO X 10 GR</t>
  </si>
  <si>
    <t>SEMILLAS AROMATICAS</t>
  </si>
  <si>
    <t>SEMILLAS FLORES</t>
  </si>
  <si>
    <t>SEMILLAS HORTALIZAS</t>
  </si>
  <si>
    <t>SEMILLAS HORTALIZAS PREMIUM</t>
  </si>
  <si>
    <t>SULFATO DE COBRE</t>
  </si>
  <si>
    <t>SULFATO DE HIERRO</t>
  </si>
  <si>
    <t>TIERRA</t>
  </si>
  <si>
    <t>FORMIX CEBO X 100 GR</t>
  </si>
  <si>
    <t>FORMIX CEBO X 250 GR</t>
  </si>
  <si>
    <t>FORMIX CEBO X 500 GR</t>
  </si>
  <si>
    <t>FORMIX L HORMIGUICIDA X 60 CC</t>
  </si>
  <si>
    <t>GLACOXAN E LIQ X 120 CC</t>
  </si>
  <si>
    <t>GLACOXAN E. LIQ X 60 GR</t>
  </si>
  <si>
    <t>HORMIXAN GEL JERINGA X 6 GR</t>
  </si>
  <si>
    <t>MYRMEC X 100 GR</t>
  </si>
  <si>
    <t>MYRMEC X 200 GR</t>
  </si>
  <si>
    <t>TALQUERA FORMIX X 1 KG</t>
  </si>
  <si>
    <t>TALQUERA FORMIX X 250 GR</t>
  </si>
  <si>
    <t>TALQUERA GLACOXAN X 250 GR</t>
  </si>
  <si>
    <t>TALQUERA HORTAL X 250 GR</t>
  </si>
  <si>
    <t>TALQUERA ROLLER MAX X 250 GR</t>
  </si>
  <si>
    <t>CITRONELA</t>
  </si>
  <si>
    <t>FLUIDO INSUMAS X 500 CC</t>
  </si>
  <si>
    <t>FLUIDO TRIUNFO X 1 LT</t>
  </si>
  <si>
    <t>FLUIDO TRIUNFO X 500 CC</t>
  </si>
  <si>
    <t>FUMIXAN 50 GR X 1 PAST</t>
  </si>
  <si>
    <t>GATILLO PARA PULVERIZADOR</t>
  </si>
  <si>
    <t>GLEX ACOPIO X 90 GR</t>
  </si>
  <si>
    <t>GLIFOSFATO 1/2 LT</t>
  </si>
  <si>
    <t>GLIFOSFATO X 1/4KG</t>
  </si>
  <si>
    <t>GLIFOSFATO X KG</t>
  </si>
  <si>
    <t>GLIFOSFATO X LT</t>
  </si>
  <si>
    <t>INSECTICIDA</t>
  </si>
  <si>
    <t>KIT REPUESTOS PUL X 1,5 LT</t>
  </si>
  <si>
    <t>K-OTHRINA X 15 CC</t>
  </si>
  <si>
    <t>PULVERIZADOR X 1 LT</t>
  </si>
  <si>
    <t>PULVERIZADOR X 1,5 LT</t>
  </si>
  <si>
    <t>PULVERIZADOR X 12 LT</t>
  </si>
  <si>
    <t>PULVERIZADOR X 16 LT</t>
  </si>
  <si>
    <t>PULVERIZADOR X 20 LT</t>
  </si>
  <si>
    <t>PULVERIZADOR X 5 LT</t>
  </si>
  <si>
    <t>PULVERIZADOR X 9 LT</t>
  </si>
  <si>
    <t>SEVIN 100 GR</t>
  </si>
  <si>
    <t>SEVIN 50 GR</t>
  </si>
  <si>
    <t>SIPERMETRINA 100CC</t>
  </si>
  <si>
    <t>SIPERMETRINA X LTR</t>
  </si>
  <si>
    <t>SULFAX X50GR</t>
  </si>
  <si>
    <t>SUPER FLOW X 15 CC</t>
  </si>
  <si>
    <t>SUPER FLOW X 60 CC</t>
  </si>
  <si>
    <t>VELOXAN BTI LARVICIDA X 30 CC</t>
  </si>
  <si>
    <t>VELOZAN LIQ X 60 CC</t>
  </si>
  <si>
    <t>BIO VELOZAN LIQ X 15 CC</t>
  </si>
  <si>
    <t>CUCAXAN CEBADERA X 6 UN</t>
  </si>
  <si>
    <t>CUCAXAN JERINGA X 6 GR</t>
  </si>
  <si>
    <t>GERMANI GEL JERINGA X 5 GR</t>
  </si>
  <si>
    <t>GLACOXAN FIPROFENO X 250 CC</t>
  </si>
  <si>
    <t>GLACOXAN FIPROFENO X 60 CC</t>
  </si>
  <si>
    <t>ULTRA JERINGA X 6 GR</t>
  </si>
  <si>
    <t>ULTRA MOSQ. 18 SOB X 30 GR</t>
  </si>
  <si>
    <t>ULTRABOOM CASITAS X 2 UN</t>
  </si>
  <si>
    <t>ULTRABOOM CASITAS X 6 UN</t>
  </si>
  <si>
    <t>BRUMOLINE CEBO X 50 GR</t>
  </si>
  <si>
    <t>RATISADA CEBO GRANO X 50 GR</t>
  </si>
  <si>
    <t>RATISADA LIQ. X 1 LT</t>
  </si>
  <si>
    <t>RATISADA LIQ. X 500 CC</t>
  </si>
  <si>
    <t>TERMIXAN BLOQUES X 1 KG</t>
  </si>
  <si>
    <t>TERMIXAN BLOQUES X 90 GR</t>
  </si>
  <si>
    <t>TERMIXAN X 25 KG</t>
  </si>
  <si>
    <t>TRAMPA ALAMBRE (RATAS- COMADREJAS)</t>
  </si>
  <si>
    <t>TRAMPA RATA PLASTICA C/CEBO</t>
  </si>
  <si>
    <t>TRAMPAS LAUCHA MADERA</t>
  </si>
  <si>
    <t>TRAMPAS RATAS MADERA</t>
  </si>
  <si>
    <t>TRISADA DERRIBANTE</t>
  </si>
  <si>
    <t>ULTRA RATICIDA 30 SOBRES X 50 GR</t>
  </si>
  <si>
    <t>ULTRA RATICIDA 30 SOBRES X 50 GR BLISTER</t>
  </si>
  <si>
    <t>CIPERMETRINA 1 LTS</t>
  </si>
  <si>
    <t>CIPERMETRINA 100 CM</t>
  </si>
  <si>
    <t>GLIFOSATO 1 KG</t>
  </si>
  <si>
    <t>GLIFOSATO 200 GR</t>
  </si>
  <si>
    <t>GLIFOSATO LIQ. 1 LT</t>
  </si>
  <si>
    <t>GLIFOSATO LIQ. 250 CM</t>
  </si>
  <si>
    <t>9 LIVES  CARNE  x 15 KG</t>
  </si>
  <si>
    <t>9 LIVES  CARNE  X KG</t>
  </si>
  <si>
    <t>9 LIVES CARNE X 8 KG</t>
  </si>
  <si>
    <t>9 LIVES GATITO x 8 KG</t>
  </si>
  <si>
    <t>9 LIVES GATITO X KG</t>
  </si>
  <si>
    <t>9 LIVES SALMON Y ATUN 8 kg</t>
  </si>
  <si>
    <t>9 LIVES SALMON Y ATUN x 15 KG</t>
  </si>
  <si>
    <t>9 LIVES SALMON Y ATUN X KG</t>
  </si>
  <si>
    <t>BELCAT X 10KG</t>
  </si>
  <si>
    <t>BELCAT X KG</t>
  </si>
  <si>
    <t>POUCH GATO SALSA X SOBRE</t>
  </si>
  <si>
    <t>CAT CHOW ADULTOS 15KG</t>
  </si>
  <si>
    <t>CAT CHOW ADULTOS KG</t>
  </si>
  <si>
    <t>CAT CHOW ESTIRILIZADO 15 KG</t>
  </si>
  <si>
    <t>CAT CHOW ESTIRILIZADO X KG</t>
  </si>
  <si>
    <t>CAT CHOW GATITOS 15KG</t>
  </si>
  <si>
    <t>CAT CHOW GATITOS KG</t>
  </si>
  <si>
    <t>CAT SELECTION X 10 KG</t>
  </si>
  <si>
    <t>CAT SELECTION X KG</t>
  </si>
  <si>
    <t>CHEF CAT GATOS ADULTOS X 15 KG</t>
  </si>
  <si>
    <t>CHEF CAT GATOS ADULTOS X 8 KG</t>
  </si>
  <si>
    <t>CHEF CAT GATOS ADULTOS X KG</t>
  </si>
  <si>
    <t>COMPINCHE GATO X 10 KG</t>
  </si>
  <si>
    <t>COMPINCHE GATO X 20 KG</t>
  </si>
  <si>
    <t>COMPINCHE GATO X KG</t>
  </si>
  <si>
    <t>COMPLETE GATO ADULTO X 15KG</t>
  </si>
  <si>
    <t>COMPLETE GATO ADULTO X KG</t>
  </si>
  <si>
    <t>COMPLETE GATO CASTRADO X 7,5KG</t>
  </si>
  <si>
    <t>COMPLETE GATO CASTRADO X KG</t>
  </si>
  <si>
    <t>FULL CAT PESCADO X 10 KG</t>
  </si>
  <si>
    <t>FLECKY GATO X KG</t>
  </si>
  <si>
    <t>GATTI 15KG CARNE</t>
  </si>
  <si>
    <t>GATTI 15KG PESCADO</t>
  </si>
  <si>
    <t>GATTI 15KG POLLO</t>
  </si>
  <si>
    <t>GATTI CARNE X KG</t>
  </si>
  <si>
    <t>GATTI PESCADO X KG</t>
  </si>
  <si>
    <t>GATTI POLLO X KG</t>
  </si>
  <si>
    <t>FISHI GATO X 15 KG</t>
  </si>
  <si>
    <t>GRAN CAMPEON GATO X 10 KG</t>
  </si>
  <si>
    <t>GRAN CAMPEON GATO X KG</t>
  </si>
  <si>
    <t>INFINITY GATO X 10 KG</t>
  </si>
  <si>
    <t>INFINITY GATO X KG</t>
  </si>
  <si>
    <t>MAGNIFICO GATO X 10 KG</t>
  </si>
  <si>
    <t>MAGNIFICO GATO X 8 KG</t>
  </si>
  <si>
    <t>MAGNIFICO GATO X KG</t>
  </si>
  <si>
    <t>PREMIUM ADULTO X KG</t>
  </si>
  <si>
    <t>PREMIUM GATO ADULTO X 7,5KG</t>
  </si>
  <si>
    <t>PREMIUM GATO URINARY X 7,5KG</t>
  </si>
  <si>
    <t>PREMIUM GATO URINARY X KG</t>
  </si>
  <si>
    <t>PREMIUM GATO X KG</t>
  </si>
  <si>
    <t>ROSCO GATO COCK x 10 KG</t>
  </si>
  <si>
    <t>ROSCO GATO COCK X KG</t>
  </si>
  <si>
    <t>ROSCO GATO PESCADO x 10 KG</t>
  </si>
  <si>
    <t>ROSCO GATO PESCADO X KG</t>
  </si>
  <si>
    <t>SABROSITOS 10KG PESCADO</t>
  </si>
  <si>
    <t>SABROSITOS 20KG PESCADO</t>
  </si>
  <si>
    <t>SABROSITOS MIX GATO 10 KG</t>
  </si>
  <si>
    <t>SABROSITOS MIX GATO 20 KG</t>
  </si>
  <si>
    <t>SABROSITOS MIX GATO X KG</t>
  </si>
  <si>
    <t>SABROSITOS PESCADO X KG</t>
  </si>
  <si>
    <t>SUPER ECO GATO X 8 KG</t>
  </si>
  <si>
    <t>SUPER ECO GATO X KG</t>
  </si>
  <si>
    <t>TIERNITOS GATO X 10 KG</t>
  </si>
  <si>
    <t>TIERNITOS GATO X KG</t>
  </si>
  <si>
    <t>WHISKAS 10KG CARNE</t>
  </si>
  <si>
    <t>WHISKAS 10KG CARNE Y LECHE</t>
  </si>
  <si>
    <t>WHISKAS 10KG PESCADO</t>
  </si>
  <si>
    <t>WHISKAS 10KG POLLO Y  LECHE</t>
  </si>
  <si>
    <t>WHISKAS CARNE 8 KG</t>
  </si>
  <si>
    <t>WHISKAS CARNE X KG</t>
  </si>
  <si>
    <t>WHISKAS CARNE Y LECHE X KG</t>
  </si>
  <si>
    <t>WHISKAS PESCADO 8 KG</t>
  </si>
  <si>
    <t>WHISKAS PESCADO X KG</t>
  </si>
  <si>
    <t>WHISKAS POLLO Y LECHE X KG</t>
  </si>
  <si>
    <t>ARROZ PARA PERRO LUMPY</t>
  </si>
  <si>
    <t>ARROZ PARA PERRO LUMPY X KG</t>
  </si>
  <si>
    <t>BALANCED ADULTO RAZA GDE X KG</t>
  </si>
  <si>
    <t>BALANCED ADULTO RAZA MED X KG</t>
  </si>
  <si>
    <t>BALANCED ADULTO RAZA MEDIANA X 20KG</t>
  </si>
  <si>
    <t>BALANCED ADULTO RAZA PEQ X KG</t>
  </si>
  <si>
    <t>BALANCED ADULTO RAZA PEQUEÐA X 15KG</t>
  </si>
  <si>
    <t>BALANCED CACHORRO RAZA GDE X KG</t>
  </si>
  <si>
    <t>BALANCED CACHORRO RAZA GRANDE X 20KG</t>
  </si>
  <si>
    <t>BALANCED CACHORRO RAZA MED X 20KG</t>
  </si>
  <si>
    <t>BALANCED CACHORRO RAZA MED X KG</t>
  </si>
  <si>
    <t>BALANCED CACHORRO RAZA PEQ X 7,5KG</t>
  </si>
  <si>
    <t>BALANCED CACHORRO RAZA PEQ X KG</t>
  </si>
  <si>
    <t>BELCAN ADULTO X KG</t>
  </si>
  <si>
    <t>BELCAN ADULTOS X 22KG</t>
  </si>
  <si>
    <t>BELCAN CACHORRO X 15KG</t>
  </si>
  <si>
    <t>BELCAN CACHORRO X KG</t>
  </si>
  <si>
    <t>CHICHARRON X 2 KG</t>
  </si>
  <si>
    <t>CHICHARRON X TORTA</t>
  </si>
  <si>
    <t>COMPINCHE PERRO X KG</t>
  </si>
  <si>
    <t>COMPINCHE PERROS CARNE X 25KG</t>
  </si>
  <si>
    <t>COMPLETE PERRO ADULTO RAZA PEQ X 20KG</t>
  </si>
  <si>
    <t>COMPLETE PERRO ADULTO RAZA PEQ X KG</t>
  </si>
  <si>
    <t>PREMIUM ADULTO RAZA PEQ X KG</t>
  </si>
  <si>
    <t>COMPLETE PERRO ADULTO RAZ MED Y GDE X KG</t>
  </si>
  <si>
    <t>DS CRIAD. ADULTO X 15 KG</t>
  </si>
  <si>
    <t>DS CRIADORES ADULTO X 21 KG</t>
  </si>
  <si>
    <t>DS CRIADORES ADULTO X KG</t>
  </si>
  <si>
    <t>DS CRIADORES CACHORRO X 15 KG</t>
  </si>
  <si>
    <t>DS CRIADORES CACHORRO X 21 KG</t>
  </si>
  <si>
    <t>DS CRIADORES CACHORRO X KG</t>
  </si>
  <si>
    <t>DS CRIADORES RAZA PEQUEðA X KG</t>
  </si>
  <si>
    <t>DS CRIADORES RAZA PEQUEÐA X 15 KG</t>
  </si>
  <si>
    <t>DS ETIQ. NEGRA ADULTO X 15 KG</t>
  </si>
  <si>
    <t>DS ETIQ. NEGRA ADULTO X 21 KG</t>
  </si>
  <si>
    <t>DS ETIQ. NEGRA ADULTO X KG</t>
  </si>
  <si>
    <t>DS ETIQ. NEGRA CACHORRO X 15 KG</t>
  </si>
  <si>
    <t>DS ETIQ. NEGRA CACHORRO X KG</t>
  </si>
  <si>
    <t>DS PREMIUM ADULTO X 21 KG</t>
  </si>
  <si>
    <t>DS PREMIUM ADULTO X KG</t>
  </si>
  <si>
    <t>DS PREMIUM CACHORRO X 15 KG</t>
  </si>
  <si>
    <t>DS PREMIUM CACHORRO X KG</t>
  </si>
  <si>
    <t>DOGTOR PERRO AD X 20K</t>
  </si>
  <si>
    <t>DOGTOR PERRO AD X KG</t>
  </si>
  <si>
    <t>DOGUI ADULTO 21KG</t>
  </si>
  <si>
    <t>DOGUI ADULTO X KG</t>
  </si>
  <si>
    <t>DOGUI CACHORRO 21KG</t>
  </si>
  <si>
    <t>DOGUI CACHORRO X KG</t>
  </si>
  <si>
    <t>DOG CHOW ADULTO 21KG</t>
  </si>
  <si>
    <t>DOG CHOW ADULTO X KG</t>
  </si>
  <si>
    <t>DOG CHOW CACHORRO 21KG</t>
  </si>
  <si>
    <t>DOG CHOW CACHORRO X KG</t>
  </si>
  <si>
    <t>DOG CHOW RAZA PEQUEÐA 21KG</t>
  </si>
  <si>
    <t>DOG CHOW RAZA PEQUEÐA X KG</t>
  </si>
  <si>
    <t>DUCHO X KG</t>
  </si>
  <si>
    <t>DUCHO 15KG</t>
  </si>
  <si>
    <t>DUCHO 21KG</t>
  </si>
  <si>
    <t>ESTAMPA CACHORRO X 15 KG</t>
  </si>
  <si>
    <t>ESTAMPA CACHORRO X KG</t>
  </si>
  <si>
    <t>ESTAMPA CRIADORES X 20 KG</t>
  </si>
  <si>
    <t>ESTAMPA CRIADORES X KG</t>
  </si>
  <si>
    <t>ESTAMPA MORDIDA PEQ X 8 KG</t>
  </si>
  <si>
    <t>ESTAMPA RAZA PEQUEÐA X 15 KG</t>
  </si>
  <si>
    <t>ESTAMPA RAZA PEQUEÐA X KG</t>
  </si>
  <si>
    <t>EUKANUBA ADULTO 15KG</t>
  </si>
  <si>
    <t>EUKANUBA ADULTO X KG</t>
  </si>
  <si>
    <t>EUKANUBA CACHORRO 15KG</t>
  </si>
  <si>
    <t>EUKANUBA CACHORRO X KG</t>
  </si>
  <si>
    <t>FIACA X 15 KG</t>
  </si>
  <si>
    <t>FIACA X KG</t>
  </si>
  <si>
    <t>FLECKY ADULTO CARNE  X 15 KG</t>
  </si>
  <si>
    <t>FLECKY ADULTO CARNE  X 21 KG</t>
  </si>
  <si>
    <t>FLECKY ADULTO CARNE X KG</t>
  </si>
  <si>
    <t>FLECKY ADULTO MIX X 15 KG</t>
  </si>
  <si>
    <t>FLECKY ADULTO MIX X 21 KG</t>
  </si>
  <si>
    <t>FLECKY ADULTO MIX X KG</t>
  </si>
  <si>
    <t>FLECKY CACHORRO X 10 KG</t>
  </si>
  <si>
    <t>FLECKY CACHORRO X KG</t>
  </si>
  <si>
    <t>GALLETAS PARA PERRO</t>
  </si>
  <si>
    <t>GRAN CAMPEON AD AZUL Carne y Vegetal X 21 KG</t>
  </si>
  <si>
    <t>GRAN CAMPEON ADULTO CAR Y POLL X KG</t>
  </si>
  <si>
    <t>GRAN CAMPEON ADULTO CAR Y VEG X KG</t>
  </si>
  <si>
    <t>GRAN CAMPEON CACHORRO X KG</t>
  </si>
  <si>
    <t>GRAN CAMPEON MANTENIMIENTO x 21KG</t>
  </si>
  <si>
    <t>GRAN CAMPEON MANTENIMIENTO X KG</t>
  </si>
  <si>
    <t>INFINITY ADULTO CARNE X 21</t>
  </si>
  <si>
    <t>INFINITY ADULTO CARNE X KG</t>
  </si>
  <si>
    <t>INFINITY ADULTO X 8 KG</t>
  </si>
  <si>
    <t>INFINITY CACHORRO X 10 KG</t>
  </si>
  <si>
    <t>INFINITY CACHORRO X KG</t>
  </si>
  <si>
    <t>INFINITY RAZA PEQUEðA X KG</t>
  </si>
  <si>
    <t>INFINITY RAZA PEQUEÐA X 15KG</t>
  </si>
  <si>
    <t>INFINITY RAZA PEQUEÐA X 8 KG</t>
  </si>
  <si>
    <t>KEN-L RATION PERROS ADULTOS X 15 KG</t>
  </si>
  <si>
    <t>KEN-L RATION PERROS ADULTOS X 18 KG</t>
  </si>
  <si>
    <t>KEN-L RATION PERROS ADULTOS X KG</t>
  </si>
  <si>
    <t>KEN-L RATION PERROS CACHORROS X 15 KG</t>
  </si>
  <si>
    <t>KEN-L RATION PERROS CACHORROS X KG</t>
  </si>
  <si>
    <t>MAGNIFICO PERRO X 10 KG</t>
  </si>
  <si>
    <t>MAGNIFICO PERRO X 18 KG</t>
  </si>
  <si>
    <t>MAGNIFICO PERRO X KG</t>
  </si>
  <si>
    <t>MONTAÐEZ CACHORROS X 8 KG</t>
  </si>
  <si>
    <t>MONTAÐEZ CACHORROS X KG</t>
  </si>
  <si>
    <t>PACHA MIX X 15 KG</t>
  </si>
  <si>
    <t>PACHA MIX X 22 KG</t>
  </si>
  <si>
    <t>PACHA MIX X KG</t>
  </si>
  <si>
    <t>PEDIGREE ADULTO 21KG</t>
  </si>
  <si>
    <t>PEDIGREE ADULTO X KG</t>
  </si>
  <si>
    <t>PEDIGREE CACHORRO 21KG</t>
  </si>
  <si>
    <t>PEDIGREE CACHORRO X KG</t>
  </si>
  <si>
    <t>PEDIGREE RAZA PEQUEÐA 15KG</t>
  </si>
  <si>
    <t>PEDIGREE RAZA PEQUEÐA X KG</t>
  </si>
  <si>
    <t>PERFORMANCE ADULTO 15KG</t>
  </si>
  <si>
    <t>PERFORMANCE ADULTO 20KG</t>
  </si>
  <si>
    <t>PERFORMANCE ADULTO X KG</t>
  </si>
  <si>
    <t>PERFORMANCE CACHORRO 15KG</t>
  </si>
  <si>
    <t>PERFORMANCE CACHORRO X KG</t>
  </si>
  <si>
    <t>PIPON ADULTO X KG</t>
  </si>
  <si>
    <t>POUCH PERRO SALSA X SOBRE</t>
  </si>
  <si>
    <t>POUCH SALSA X CAJA</t>
  </si>
  <si>
    <t>PREMIUM CACHORRO X 15KG</t>
  </si>
  <si>
    <t>PREMIUM CACHORRO X KG</t>
  </si>
  <si>
    <t>PREMIUM PERRO ADULTO RAZA PEQ X 20KG</t>
  </si>
  <si>
    <t>PREMIUM PERRO ADULTO X 20KG</t>
  </si>
  <si>
    <t>RAZA ADULTO X 15 KG</t>
  </si>
  <si>
    <t>RAZA ADULTO X 21 KG</t>
  </si>
  <si>
    <t>RAZA ADULTO X KG</t>
  </si>
  <si>
    <t>RAZA CACHORRO X 15 KG</t>
  </si>
  <si>
    <t>RAZA CACHORRO X KG</t>
  </si>
  <si>
    <t>RAZA RAZAS PEQUEÐAS X 15 KG</t>
  </si>
  <si>
    <t>RAZA RAZAS PEQUEÐAS X KG</t>
  </si>
  <si>
    <t>ROSCO CACHORRO x 15 KG</t>
  </si>
  <si>
    <t>ROSCO CACHORRO X KG</t>
  </si>
  <si>
    <t>ROSCO CARNE x 15 KG</t>
  </si>
  <si>
    <t>ROSCO CARNE x 22 KG</t>
  </si>
  <si>
    <t>ROSCO CARNE X KG</t>
  </si>
  <si>
    <t>ROSCO COCK x 15 KG</t>
  </si>
  <si>
    <t>ROSCO COCK x 22 KG</t>
  </si>
  <si>
    <t>ROSCO COCK X KG</t>
  </si>
  <si>
    <t>ROSCO POLLO x 15 KG</t>
  </si>
  <si>
    <t>ROSCO POLLO X KG</t>
  </si>
  <si>
    <t>SABROSITO RAZA PEQUEÐA X 15 KG</t>
  </si>
  <si>
    <t>SABROSITO RAZA PEQUEÐA X KG</t>
  </si>
  <si>
    <t>SABROSITOS ADULTO 15KG</t>
  </si>
  <si>
    <t>SABROSITOS ADULTO 22KG</t>
  </si>
  <si>
    <t>SABROSITOS ADULTO X KG</t>
  </si>
  <si>
    <t>SABROSITOS CACHORRO 18KG</t>
  </si>
  <si>
    <t>SABROSITOS CACHORRO 8KG</t>
  </si>
  <si>
    <t>SABROSITOS CACHORRO X KG</t>
  </si>
  <si>
    <t>PIPON ADULTO X 15 KG</t>
  </si>
  <si>
    <t>SUPER ECO PERRO X 15 KG</t>
  </si>
  <si>
    <t>SUPER ECO PERRO X KG</t>
  </si>
  <si>
    <t>TIERNITO CACHO x 21 KG</t>
  </si>
  <si>
    <t>TIERNITO CACHORRO X KG</t>
  </si>
  <si>
    <t>TIERNITO CACHOx 15 KG</t>
  </si>
  <si>
    <t>TIERNITO CARNE  x 15 KG</t>
  </si>
  <si>
    <t>TIERNITO CARNE  x 21 KG</t>
  </si>
  <si>
    <t>TIERNITO CARNE  X KG</t>
  </si>
  <si>
    <t>TIERNITO POLLO  x 21 KG</t>
  </si>
  <si>
    <t>TIERNITO POLLO x 15 KG</t>
  </si>
  <si>
    <t>TIERNITO POLLO X KG</t>
  </si>
  <si>
    <t>TIERNITO VEGET x 15 KG</t>
  </si>
  <si>
    <t>TIERNITO VEGET x 21 KG</t>
  </si>
  <si>
    <t>TIERNITO VEGETALES X KG</t>
  </si>
  <si>
    <t>VAGONETA CACHORRO X 15 KG</t>
  </si>
  <si>
    <t>VAGONETA CACHORRO X KG</t>
  </si>
  <si>
    <t>ZIMPI X 15 KG</t>
  </si>
  <si>
    <t>ZIMPI X 25 KG</t>
  </si>
  <si>
    <t>ZIMPI X KG</t>
  </si>
  <si>
    <t>BEBE x KG</t>
  </si>
  <si>
    <t>CONEJO X 25 KG - CONECAR</t>
  </si>
  <si>
    <t>PARRILERO CONECAR X25KG</t>
  </si>
  <si>
    <t>BB PARRILLERO X 25 KG - EL AMANECER</t>
  </si>
  <si>
    <t>CONEJO EL AMANECER X KG</t>
  </si>
  <si>
    <t>CONEJO X 25 KG - EL AMANECER</t>
  </si>
  <si>
    <t>TERMINADOR PARRILLERO X 25 KG - EA</t>
  </si>
  <si>
    <t>BEBE x 25 Kg</t>
  </si>
  <si>
    <t>CONEJO C Y R X 25 KG GANAVE</t>
  </si>
  <si>
    <t>CONEJO C Y R x KG GANAVE</t>
  </si>
  <si>
    <t>CONEJO x 25 Kg - GANAVE</t>
  </si>
  <si>
    <t>CONEJO x KG - CONECAR</t>
  </si>
  <si>
    <t>CONEJO x KG - GANAVE</t>
  </si>
  <si>
    <t>ENGORDE x 25 Kg</t>
  </si>
  <si>
    <t>ENGORDE x KG</t>
  </si>
  <si>
    <t>FORTALEZA PROFESIONAL X 25 KG</t>
  </si>
  <si>
    <t>FORTALEZA x KG</t>
  </si>
  <si>
    <t>PAJARO 4 mm x KG - GANAVE</t>
  </si>
  <si>
    <t>POSTURA x 25 Kg</t>
  </si>
  <si>
    <t>POSTURA x KG</t>
  </si>
  <si>
    <t>RANAS 4 MM x 15 Kg</t>
  </si>
  <si>
    <t>RATAS Y RATONES EXTRUSADO  x 18 Kg</t>
  </si>
  <si>
    <t>RECRIA x 25 Kg</t>
  </si>
  <si>
    <t>RECRIA x KG</t>
  </si>
  <si>
    <t>TRUCHAS 3MM x 25 Kg</t>
  </si>
  <si>
    <t>TRUCHAS 4 MM x 25 Kg</t>
  </si>
  <si>
    <t>TRUCHAS 6 MM x 25 Kg</t>
  </si>
  <si>
    <t>TRUCHAS P 6MM x 25 Kg</t>
  </si>
  <si>
    <t>CONEJO C Y R X 25 KG - GEPSA</t>
  </si>
  <si>
    <t>CONEJO C Y R x KG - GEPSA</t>
  </si>
  <si>
    <t>CONEJO X 25 KG - GEPSA</t>
  </si>
  <si>
    <t>CONEJO x KG - GEPSA</t>
  </si>
  <si>
    <t>FORTALEZA  ALTA ENERGIA 25 KG</t>
  </si>
  <si>
    <t>FORTALEZA BASIC 25 KG</t>
  </si>
  <si>
    <t>PAJARO 3 mm x 25 kg - GEPSA</t>
  </si>
  <si>
    <t>PAJARO 3 mm x KG - GEPSA</t>
  </si>
  <si>
    <t>CABALLO X 40 KG</t>
  </si>
  <si>
    <t>CABALLO X 40 KG SAN JUAN</t>
  </si>
  <si>
    <t>CABALLO x KG</t>
  </si>
  <si>
    <t>CERDAS GESTACION SAN JUAN</t>
  </si>
  <si>
    <t>CERDAS GESTACION SAN JUAN X KG</t>
  </si>
  <si>
    <t>CERDAS LACTANCIA SAN JUAN</t>
  </si>
  <si>
    <t>CERDAS LACTANCIA SAN JUAN X KG</t>
  </si>
  <si>
    <t>CERDO X 40 KG</t>
  </si>
  <si>
    <t>CERDO x KG</t>
  </si>
  <si>
    <t>INICIADOR CERDOS SAN JUAN</t>
  </si>
  <si>
    <t>INICIADOR CERDOS SAN JUAN X KG</t>
  </si>
  <si>
    <t>INICIADOR POLLOS SAN JUAN</t>
  </si>
  <si>
    <t>INICIADOR POLLOS SAN JUAN X KG</t>
  </si>
  <si>
    <t>INICIADOR X 40 KG</t>
  </si>
  <si>
    <t>INICIADOR x KG</t>
  </si>
  <si>
    <t>LECHON X 40 KG</t>
  </si>
  <si>
    <t>LECHON x KG</t>
  </si>
  <si>
    <t>PONEDORA 0-6 SEMANAS X 40KG Nutrimax</t>
  </si>
  <si>
    <t>PONEDORA 15-17 SEMANAS X 40 KG Nutrimas</t>
  </si>
  <si>
    <t>PONEDORA FASE 0</t>
  </si>
  <si>
    <t>PONEDORA POSTURA x KG</t>
  </si>
  <si>
    <t>POSTURA SAN JUAN</t>
  </si>
  <si>
    <t>POSTURA SAN JUAN X KG</t>
  </si>
  <si>
    <t>PRE INICIADOR X 40 KG Nutrimas</t>
  </si>
  <si>
    <t>PRE INICIADOR x KG Nutrimas</t>
  </si>
  <si>
    <t>PREINICIADOR POLLOS SAN JUAN</t>
  </si>
  <si>
    <t>PREINICIADOR POLLOS SAN JUAN X KG</t>
  </si>
  <si>
    <t>RECRIA CERDOS SAN JUAN</t>
  </si>
  <si>
    <t>RECRIA CERDOS SAN JUAN X KG</t>
  </si>
  <si>
    <t>TERMINADOR POLLOS SAN JUAN</t>
  </si>
  <si>
    <t>TERMINADOR POLLOS SAN JUAN X KG</t>
  </si>
  <si>
    <t>TERMINADOR X 40 KG</t>
  </si>
  <si>
    <t>TERMINADOR X KG</t>
  </si>
  <si>
    <t>MAIZ QUEBRADO X 40 KG COMUN SAN JUAN</t>
  </si>
  <si>
    <t>ALPISTE</t>
  </si>
  <si>
    <t>CONCHILLA SAN JUAN</t>
  </si>
  <si>
    <t>LINO</t>
  </si>
  <si>
    <t>MAIZ QUEBRADO SAN JUAN X KG</t>
  </si>
  <si>
    <t>MEZCLA ALPISTE SAN JUAN</t>
  </si>
  <si>
    <t>MEZCLA EQUINO SAN JUAN</t>
  </si>
  <si>
    <t>MEZCLA MIJO SAN JUAN</t>
  </si>
  <si>
    <t>MIJO</t>
  </si>
  <si>
    <t>MIX SEMILLAS</t>
  </si>
  <si>
    <t>MIX SEMILLAS SAN JUAN</t>
  </si>
  <si>
    <t>PELLET DE TRIGO SAN JUAN X KG</t>
  </si>
  <si>
    <t>QUINOA</t>
  </si>
  <si>
    <t>SALVADO DE AVENA</t>
  </si>
  <si>
    <t>SALVADO DE TRIGO</t>
  </si>
  <si>
    <t>SEMILLA DE CHIA</t>
  </si>
  <si>
    <t>SESAMO</t>
  </si>
  <si>
    <t>SOJA</t>
  </si>
  <si>
    <t>SOJA TEXTURIZADA X KG</t>
  </si>
  <si>
    <t>MAYONESA GIRAS X 250 CC</t>
  </si>
  <si>
    <t>ALMOHADITA DE AVELLANA X 2.5 KG</t>
  </si>
  <si>
    <t>ALMOHADITA DE FRUTILLA X 2.5 KG</t>
  </si>
  <si>
    <t>ALMOHADITA DE FRUTILLA X KG</t>
  </si>
  <si>
    <t>ALMOHADITA DE LIMON X 2.5 KG</t>
  </si>
  <si>
    <t>ALMOHADITAS DE CHOCOLATE</t>
  </si>
  <si>
    <t>ANILLO DE MIEL X KG</t>
  </si>
  <si>
    <t>ANILLOS DE MIEL X 2.5 KG</t>
  </si>
  <si>
    <t>ANILLOS FRUTADOS x 2.5 Kg</t>
  </si>
  <si>
    <t>ANILLOS FRUTADOS X Kg</t>
  </si>
  <si>
    <t>BOLITAS DE CHOCOLATE x 2.5 Kg</t>
  </si>
  <si>
    <t>BOLITAS DE CHOCOLATE X KG</t>
  </si>
  <si>
    <t>CEREAL C/ AZUCAR ECO REDZY X 4K</t>
  </si>
  <si>
    <t>CEREAL CON AZUCAR REDZY X KG</t>
  </si>
  <si>
    <t>CEREAL CON AZUCAR X KG</t>
  </si>
  <si>
    <t>CEREAL INTEGRAL x 2.5 Kg</t>
  </si>
  <si>
    <t>CEREAL SIN AZUCAR X 2.5 KG</t>
  </si>
  <si>
    <t>CEREAL SIN AZUCAR X KG</t>
  </si>
  <si>
    <t>COPITA DE CHOCOLATE X 2.5 KG</t>
  </si>
  <si>
    <t>COPITA DE CHOCOLATE X KG</t>
  </si>
  <si>
    <t>FIBRAS DE SALVADO x 1 Kg</t>
  </si>
  <si>
    <t>GRANOLA 5 SEMILLAS X 1KG</t>
  </si>
  <si>
    <t>GRANOLA CHOCOLATE X 1KG</t>
  </si>
  <si>
    <t>GRANOLA MIX X 1 KG</t>
  </si>
  <si>
    <t>GRANOLA x 1.5 kg</t>
  </si>
  <si>
    <t>GRANOLA X KG</t>
  </si>
  <si>
    <t>OSITOS DE CHOCOLATE x 2.5 Kg</t>
  </si>
  <si>
    <t>OSITOS DE FRUTILLA x 2.5 Kg</t>
  </si>
  <si>
    <t>OSITOS DE FRUTILLA X KG</t>
  </si>
  <si>
    <t>OSITOS DE MIEL x 2.5 Kg</t>
  </si>
  <si>
    <t>OSITOS DE MIEL X KG</t>
  </si>
  <si>
    <t>ALFAJOR TATIN CHICO</t>
  </si>
  <si>
    <t>ALFAJOR TATIN GRANDE</t>
  </si>
  <si>
    <t>BARRITA CHOCOLATE  AGUILA</t>
  </si>
  <si>
    <t>BOM O BOM</t>
  </si>
  <si>
    <t>CARAMELOS</t>
  </si>
  <si>
    <t>CARAMELOS MASTICABLES</t>
  </si>
  <si>
    <t>CELOFAN</t>
  </si>
  <si>
    <t>COFLER BLOCK 110 GR</t>
  </si>
  <si>
    <t>COFLER BLOCK 39 GR</t>
  </si>
  <si>
    <t>MOGUL</t>
  </si>
  <si>
    <t>MOGUL EXTREME</t>
  </si>
  <si>
    <t>MOGUL LARGOS</t>
  </si>
  <si>
    <t>MOGUL ROLLO FRUTA</t>
  </si>
  <si>
    <t>MOGUL TUBITO</t>
  </si>
  <si>
    <t>MOGUL VIVORITA</t>
  </si>
  <si>
    <t>OBLEA BOM O BOM</t>
  </si>
  <si>
    <t>TURRON</t>
  </si>
  <si>
    <t>CHORIZO X KG</t>
  </si>
  <si>
    <t>CHORIZO X UNIDAD</t>
  </si>
  <si>
    <t>CHOCLO LC X 300 G</t>
  </si>
  <si>
    <t>POROTOS ALUBIA LC X 300 GR</t>
  </si>
  <si>
    <t>FIDEOS ESPECIALES.</t>
  </si>
  <si>
    <t>FIDEOS GUISEROS</t>
  </si>
  <si>
    <t>PENNE LC 500 GR</t>
  </si>
  <si>
    <t>TIRABUZËN LC X 500 G</t>
  </si>
  <si>
    <t>ALMENDRAS</t>
  </si>
  <si>
    <t>ALMENDRAS P/ MIX</t>
  </si>
  <si>
    <t>GALLETA CHOCOLINAS</t>
  </si>
  <si>
    <t>GALLETA COFLER</t>
  </si>
  <si>
    <t>GALLETA HOGAREÐAS</t>
  </si>
  <si>
    <t>GALLETA KESITAS</t>
  </si>
  <si>
    <t>GALLETA MANA LIVIANAS</t>
  </si>
  <si>
    <t>GALLETA MANA RELLENAS</t>
  </si>
  <si>
    <t>GALLETA OPERAS</t>
  </si>
  <si>
    <t>GALLETA REX</t>
  </si>
  <si>
    <t>GALLETA SALADIX CAJA</t>
  </si>
  <si>
    <t>GALLETA SALADIX PAQ.</t>
  </si>
  <si>
    <t>GALLETA SALVADO BAGLEY</t>
  </si>
  <si>
    <t>PAN DULCE</t>
  </si>
  <si>
    <t>CAFE MORENITA</t>
  </si>
  <si>
    <t>MATE COCIDO AMANDA 25</t>
  </si>
  <si>
    <t>MATE COCIDO AMANDA 50</t>
  </si>
  <si>
    <t>TE BOLDO VIRGINIA</t>
  </si>
  <si>
    <t>TE HIERBAS TARAGUI</t>
  </si>
  <si>
    <t>TE LA VIRGINIA 25</t>
  </si>
  <si>
    <t>TE LA VIRGINIA 50</t>
  </si>
  <si>
    <t>TE MANZANILLA VIRGINIA</t>
  </si>
  <si>
    <t>TE TILO VIRGINIA</t>
  </si>
  <si>
    <t>TE VERDE CACHAMAI FRUTILLA</t>
  </si>
  <si>
    <t>YERBA PLAYADITO X 1/2 KG</t>
  </si>
  <si>
    <t>YERBA PLAYADITO X KG</t>
  </si>
  <si>
    <t>JUGO DE ARANDANO CON CHIA</t>
  </si>
  <si>
    <t>JUGO X SOBRE</t>
  </si>
  <si>
    <t>ARROPE DE CHAÐAR</t>
  </si>
  <si>
    <t>MERMELADA LC ARANDANO</t>
  </si>
  <si>
    <t>MERMELADA LC DURAZNO</t>
  </si>
  <si>
    <t>MERMELADA LC FRUTILLA</t>
  </si>
  <si>
    <t>MIEL AGUA DULCE 1 KG</t>
  </si>
  <si>
    <t>MIEL AGUA DULCE 1,4 KG</t>
  </si>
  <si>
    <t>MIEL AGUA DULCE X 250 CC</t>
  </si>
  <si>
    <t>MIEL AGUA DULCE X 500 CC</t>
  </si>
  <si>
    <t>POLEN</t>
  </si>
  <si>
    <t>AZUCAR</t>
  </si>
  <si>
    <t>CALDOS KNORR X 12 UD</t>
  </si>
  <si>
    <t>CALDOS KNORR X UD</t>
  </si>
  <si>
    <t>EDULCORANTE CHUKER CON STEVIA X 200 ML</t>
  </si>
  <si>
    <t>EDULCORANTE CHUKER CON STEVIA X 400 ML</t>
  </si>
  <si>
    <t>EDULCORANTE CHUKER X 200 ML</t>
  </si>
  <si>
    <t>EDULCORANTE CHUKER X 400 ML</t>
  </si>
  <si>
    <t>PURE DE TOMATE ARCOR X 520 GR</t>
  </si>
  <si>
    <t>SAL CELUSAL FINA 500 GR</t>
  </si>
  <si>
    <t>SAL GRUESA X KG</t>
  </si>
  <si>
    <t>SAL MANTO BLANCO 500 GR</t>
  </si>
  <si>
    <t>SAL MANTO BLANCO 500 GR X 20 UDS</t>
  </si>
  <si>
    <t>SAL PARRILLERA X KG</t>
  </si>
  <si>
    <t>VINAGRE EL PARRILLERO</t>
  </si>
  <si>
    <t>VINAGRE EL PARRILLERO X 6 UD</t>
  </si>
  <si>
    <t>ACEITUNA X BOTE</t>
  </si>
  <si>
    <t>ACEITUNA X KG</t>
  </si>
  <si>
    <t>AROS DE CEBOLLA X KG</t>
  </si>
  <si>
    <t>CHIZITO 1KG</t>
  </si>
  <si>
    <t>CHIZITO 5KG</t>
  </si>
  <si>
    <t>CONITO 5KG</t>
  </si>
  <si>
    <t>CONITO X KG</t>
  </si>
  <si>
    <t>CONITOS  CRAZY X KG</t>
  </si>
  <si>
    <t>MANI FRITO SALADO KING X KG</t>
  </si>
  <si>
    <t>MANI SABORIZADO BRS</t>
  </si>
  <si>
    <t>MANI TOSTADO KING X KG</t>
  </si>
  <si>
    <t>MIX ENERGETICO BRS</t>
  </si>
  <si>
    <t>NACHOS X KG</t>
  </si>
  <si>
    <t>PAPA FACU CAJA</t>
  </si>
  <si>
    <t>PAPA FACU X KG</t>
  </si>
  <si>
    <t>PAPAS MASPAIS X 800 GR</t>
  </si>
  <si>
    <t>PAPAS MASPAIS X KG</t>
  </si>
  <si>
    <t>PAPAS PAIS X KG</t>
  </si>
  <si>
    <t>PRALINE KING X KG</t>
  </si>
  <si>
    <t>PUFLITO X 8KG</t>
  </si>
  <si>
    <t>PUFLITO X KG</t>
  </si>
  <si>
    <t>TROCITOS ASADO X KG</t>
  </si>
  <si>
    <t>TUTUCA X 7 KG</t>
  </si>
  <si>
    <t>TUTUCA X KG</t>
  </si>
  <si>
    <t>ADOBO P/CARNE</t>
  </si>
  <si>
    <t>ADOBO P/PIZZA</t>
  </si>
  <si>
    <t>ADOBO POLLO</t>
  </si>
  <si>
    <t>AJI CAYENA</t>
  </si>
  <si>
    <t>AJI CAYENA PREMIUM</t>
  </si>
  <si>
    <t>AJI MOLIDO SUAVE</t>
  </si>
  <si>
    <t>AJI OCOTO X KG</t>
  </si>
  <si>
    <t>AJI PREMIUM</t>
  </si>
  <si>
    <t>AJI ROJO</t>
  </si>
  <si>
    <t>AJO EN ESCAMAS</t>
  </si>
  <si>
    <t>AJO POLVO X KG</t>
  </si>
  <si>
    <t>ALBACA</t>
  </si>
  <si>
    <t>ANIS EN GRANO</t>
  </si>
  <si>
    <t>ANIS SAN JUAN</t>
  </si>
  <si>
    <t>AZUCAR MASCABO</t>
  </si>
  <si>
    <t>CACAO AMARGO PURO</t>
  </si>
  <si>
    <t>CANELA EN POLVO X KG</t>
  </si>
  <si>
    <t>CANELA EN RAMA X KG</t>
  </si>
  <si>
    <t>CASCARILLA X KG</t>
  </si>
  <si>
    <t>CHIMICHURRI</t>
  </si>
  <si>
    <t>CLAVO DE OLOR X KG</t>
  </si>
  <si>
    <t>COLORANTE</t>
  </si>
  <si>
    <t>COMINO EN GRANO</t>
  </si>
  <si>
    <t>COMINO ESPECIAL X KG</t>
  </si>
  <si>
    <t>COMINO PREMIUM X KG</t>
  </si>
  <si>
    <t>CONDIMENTO HAMBURGUESAS 1KG</t>
  </si>
  <si>
    <t>CONDIMENTO HAMBURGUESAS X 15 GR</t>
  </si>
  <si>
    <t>CONDIMENTO P/ARROZ</t>
  </si>
  <si>
    <t>CONDIMIENTO CHORIZO 1KG</t>
  </si>
  <si>
    <t>CURCUMA</t>
  </si>
  <si>
    <t>CURRY</t>
  </si>
  <si>
    <t>JENGIBRE EN POLVO X KG</t>
  </si>
  <si>
    <t>JENGIBRE EN RAMA X GR</t>
  </si>
  <si>
    <t>LAUREL X KG</t>
  </si>
  <si>
    <t>MENTA</t>
  </si>
  <si>
    <t>NUEZ MOSCADA</t>
  </si>
  <si>
    <t>NUEZ MOSCADA EN GRANO</t>
  </si>
  <si>
    <t>NUEZ MOSCADA MOLIDA</t>
  </si>
  <si>
    <t>NUEZ MOSCADA X KG</t>
  </si>
  <si>
    <t>OREGANO</t>
  </si>
  <si>
    <t>OREGANO - BRS</t>
  </si>
  <si>
    <t>PIMENTON COMUN</t>
  </si>
  <si>
    <t>OREGANO PREMIUM</t>
  </si>
  <si>
    <t>PIMENTON ESPAÐOL</t>
  </si>
  <si>
    <t>PIMENTON MORRON</t>
  </si>
  <si>
    <t>PIMENTON PREMIUM</t>
  </si>
  <si>
    <t>PIMIENTA BLANCA</t>
  </si>
  <si>
    <t>PIMIENTA BLANCA - BRS</t>
  </si>
  <si>
    <t>PIMIENTA EN GRANO NEGRA X GR</t>
  </si>
  <si>
    <t>PIMIENTA EN GRANO X GR</t>
  </si>
  <si>
    <t>PIMIENTA ESPECIAL</t>
  </si>
  <si>
    <t>PIMIENTA MOLIDA NEGRA X GR</t>
  </si>
  <si>
    <t>POLVO PARA HORNEAR</t>
  </si>
  <si>
    <t>PROVENZAL</t>
  </si>
  <si>
    <t>PROVENZAL PREMIUM</t>
  </si>
  <si>
    <t>PROVENZAL SAN JUAN</t>
  </si>
  <si>
    <t>ROMERO X GR</t>
  </si>
  <si>
    <t>TOMILLO X GR</t>
  </si>
  <si>
    <t>VAINILLIN CHICO</t>
  </si>
  <si>
    <t>VAINILLIN GRANDE</t>
  </si>
  <si>
    <t>VAINILLIN X 100 CC</t>
  </si>
  <si>
    <t>VAINILLIN X LT</t>
  </si>
  <si>
    <t>ANDEN NEGRO X 60 CM</t>
  </si>
  <si>
    <t>ANDEN X 40 CM</t>
  </si>
  <si>
    <t>BARRE OJAS CHICO</t>
  </si>
  <si>
    <t>BARRE OJAS GRANDE</t>
  </si>
  <si>
    <t>CEPILLO CHICO</t>
  </si>
  <si>
    <t>CEPILLO GRANDE</t>
  </si>
  <si>
    <t>ESCOBA DE MADERA LAQUEADA</t>
  </si>
  <si>
    <t>ESCOBA DE PAJA</t>
  </si>
  <si>
    <t>ESCOBA DE PLASTICO CLAUDIA</t>
  </si>
  <si>
    <t>ESCOBA DE PLASTICO SUPER</t>
  </si>
  <si>
    <t>ESCOBA PAJA ESPECIAL</t>
  </si>
  <si>
    <t>ESCOBA PAJA GRANDE</t>
  </si>
  <si>
    <t>ESCOBILLON CHICO</t>
  </si>
  <si>
    <t>ESCOBILLON GRANDE</t>
  </si>
  <si>
    <t>ESCOBILLON XL MADERA</t>
  </si>
  <si>
    <t>LIMPIA TECHO</t>
  </si>
  <si>
    <t>MECHUDO</t>
  </si>
  <si>
    <t>PALAS CON MANGO</t>
  </si>
  <si>
    <t>PALAS DE MANO</t>
  </si>
  <si>
    <t>PALO DE ESCOBA</t>
  </si>
  <si>
    <t>PLUMERO FELPA</t>
  </si>
  <si>
    <t>PLUMERO HILOS</t>
  </si>
  <si>
    <t>PLUMERO PL XXL</t>
  </si>
  <si>
    <t>PLUMERO PL. CHICO</t>
  </si>
  <si>
    <t>PLUMERO PL. GRANDE</t>
  </si>
  <si>
    <t>PLUMERO PL. MEDIANO</t>
  </si>
  <si>
    <t>RASTRILLO 12 DIENTES</t>
  </si>
  <si>
    <t>RASTRILLO 14 DIENTES</t>
  </si>
  <si>
    <t>RASTRILLO 16 DIENTES</t>
  </si>
  <si>
    <t>RASTRILLO 18 DIENTES</t>
  </si>
  <si>
    <t>MAQUINA AFEITAR AMARILLA</t>
  </si>
  <si>
    <t>MAQUINA AFEITAR AZUL</t>
  </si>
  <si>
    <t>PIEDRAS SAL IODADA</t>
  </si>
  <si>
    <t>POMADA COBRA</t>
  </si>
  <si>
    <t>POMADA WASSINGTON</t>
  </si>
  <si>
    <t>REPELENTE CREMA</t>
  </si>
  <si>
    <t>REPELENTE OFF FAMILY AEROSOL 170 ML</t>
  </si>
  <si>
    <t>REPELENTE OFF FAMILY CREMA 10 GR</t>
  </si>
  <si>
    <t>ACIDO MURIATICO</t>
  </si>
  <si>
    <t>ALCOHOL PARA QUEMAR</t>
  </si>
  <si>
    <t>ALGUISIDA X 1 LT SUELTO</t>
  </si>
  <si>
    <t>AYUDIN BLANCO SUPREMO</t>
  </si>
  <si>
    <t>AYUDIN ROPA COLOR X 650</t>
  </si>
  <si>
    <t>BAYGON AZUL</t>
  </si>
  <si>
    <t>BAYGON VERDE</t>
  </si>
  <si>
    <t>BLEM</t>
  </si>
  <si>
    <t>BLEM LAVANDA</t>
  </si>
  <si>
    <t>BLEM ORIGINAL</t>
  </si>
  <si>
    <t>BOLSAS RESIDUOS 60 X 90</t>
  </si>
  <si>
    <t>BOLSAS RESIDUOS 80 X 110</t>
  </si>
  <si>
    <t>BOLSAS RESIDUOS 90 X 120</t>
  </si>
  <si>
    <t>BROCHES MADERA</t>
  </si>
  <si>
    <t>BROCHES PLASTICOS</t>
  </si>
  <si>
    <t>CAMELLITO X 450</t>
  </si>
  <si>
    <t>CEPILLO CALZADO</t>
  </si>
  <si>
    <t>CEPILLO CON MANIJA</t>
  </si>
  <si>
    <t>CEPILLO LAVA AUTOS</t>
  </si>
  <si>
    <t>CEPILLO LAVA CAMION</t>
  </si>
  <si>
    <t>CEPILLO OVALADO MADERA</t>
  </si>
  <si>
    <t>CEPILLO UÐAS</t>
  </si>
  <si>
    <t>CERAMICOL</t>
  </si>
  <si>
    <t>CIF ANTIGRASA</t>
  </si>
  <si>
    <t>CIF BAÐO</t>
  </si>
  <si>
    <t>CIF CREMA</t>
  </si>
  <si>
    <t>CIF VIDRIO</t>
  </si>
  <si>
    <t>CLARIFICADOR X 1 LT SUELTO</t>
  </si>
  <si>
    <t>CLORO GRANULADO X KG</t>
  </si>
  <si>
    <t>DESODORANTE PISO 5LTS</t>
  </si>
  <si>
    <t>DESTAPA CAÐERIAS</t>
  </si>
  <si>
    <t>DETERGENTE 5 LTS</t>
  </si>
  <si>
    <t>DETERGENTE ALA</t>
  </si>
  <si>
    <t>DETERGENTE ESCENCIAL</t>
  </si>
  <si>
    <t>DETERGENTE MAGISTRAL</t>
  </si>
  <si>
    <t>DR BIO X UD</t>
  </si>
  <si>
    <t>ESCENCIA PARA PISO</t>
  </si>
  <si>
    <t>ESCOBILLA CON DEPOSITO</t>
  </si>
  <si>
    <t>ESCOBILLA INODORO</t>
  </si>
  <si>
    <t>ESPIRAL RAID 12 X 4 UD</t>
  </si>
  <si>
    <t>ESPIRAL RAID X 12 UD</t>
  </si>
  <si>
    <t>ESPIRAL RAID X 4 UD</t>
  </si>
  <si>
    <t>ESPONJA  ACERO</t>
  </si>
  <si>
    <t>ESPONJA ALAMBRE</t>
  </si>
  <si>
    <t>ESPONJA AMARILLA</t>
  </si>
  <si>
    <t>ESPONJA BRONCE</t>
  </si>
  <si>
    <t>ESPONJA TASK. SPUNITA</t>
  </si>
  <si>
    <t>FLUIDO MANCHESTER 350 CM</t>
  </si>
  <si>
    <t>FRANELA</t>
  </si>
  <si>
    <t>GLADE LAVANDA</t>
  </si>
  <si>
    <t>GUANTES MAKE</t>
  </si>
  <si>
    <t>JABON ALA X 400</t>
  </si>
  <si>
    <t>JABON DOVE</t>
  </si>
  <si>
    <t>JABON DOVE X 90 GR</t>
  </si>
  <si>
    <t>JABON LIQUIDO 5LTS</t>
  </si>
  <si>
    <t>JABON PAN</t>
  </si>
  <si>
    <t>JABON PAT. ALLEN 130</t>
  </si>
  <si>
    <t>JARRA MEDIDORA</t>
  </si>
  <si>
    <t>LAVANDINA 5LTS</t>
  </si>
  <si>
    <t>LAVANDINA AYUDIN X 1 LT</t>
  </si>
  <si>
    <t>LAVANDINA ESENCIAL X 1 LTS</t>
  </si>
  <si>
    <t>LAVANDINA ESENCIAL X 2 LTS</t>
  </si>
  <si>
    <t>LAVANDINA ROPA BLANCA</t>
  </si>
  <si>
    <t>LIMPIADOR AYUDIN</t>
  </si>
  <si>
    <t>LIMPIADOR ESENCIAL</t>
  </si>
  <si>
    <t>LISOFORM</t>
  </si>
  <si>
    <t>LISOFORM LAVAND</t>
  </si>
  <si>
    <t>LISOFORM ORIG</t>
  </si>
  <si>
    <t>MR MUSCULO ANTIGRASA</t>
  </si>
  <si>
    <t>NAFTALINA PERFUMADA</t>
  </si>
  <si>
    <t>NAFTALINA VIANCE</t>
  </si>
  <si>
    <t>PALA MATA MOSCAS</t>
  </si>
  <si>
    <t>PAPEL HIGIENICO HIGIENOL</t>
  </si>
  <si>
    <t>PAPEL HIGIENICO X 4 UD</t>
  </si>
  <si>
    <t>PAPEL HIGIENICO X BOLSON</t>
  </si>
  <si>
    <t>PAPEL SERVILLETA</t>
  </si>
  <si>
    <t>POET AEROSOL</t>
  </si>
  <si>
    <t>POET PIZO</t>
  </si>
  <si>
    <t>REJILLA ALGODON EXTRA</t>
  </si>
  <si>
    <t>REJILLA ECONOMICA</t>
  </si>
  <si>
    <t>REJILLA SEMI PESADA</t>
  </si>
  <si>
    <t>REJILLA SUPER PESADA</t>
  </si>
  <si>
    <t>ROLLO COC. X 3 UNIDADES</t>
  </si>
  <si>
    <t>SECADOR 50 CM</t>
  </si>
  <si>
    <t>SECADOR SACHI 40 CM</t>
  </si>
  <si>
    <t>SECADOR SACHI 50 CM</t>
  </si>
  <si>
    <t>SOPAPA CHICA</t>
  </si>
  <si>
    <t>SOPAPA GRANDE</t>
  </si>
  <si>
    <t>SOPAPA SACHI</t>
  </si>
  <si>
    <t>SUAVISANTE CONFORT 900</t>
  </si>
  <si>
    <t>SUAVISANTE VIVERE X 900</t>
  </si>
  <si>
    <t>SUAVIZANTE ROPA 5 LTS</t>
  </si>
  <si>
    <t>TRAPO PISO</t>
  </si>
  <si>
    <t>TRAPO PISO CONSORCIO</t>
  </si>
  <si>
    <t>VIRULANA</t>
  </si>
  <si>
    <t>ALGUICIDA X 500 ML</t>
  </si>
  <si>
    <t>ALGUISIDA X 1 LT</t>
  </si>
  <si>
    <t>ALGUISIDA X 1/4 LT</t>
  </si>
  <si>
    <t>BOYA HONGO</t>
  </si>
  <si>
    <t>BOYA P/ PILETA</t>
  </si>
  <si>
    <t>BOYA ROSETA</t>
  </si>
  <si>
    <t>BOYA SATELITE</t>
  </si>
  <si>
    <t>CABO ALUMINIO 1,8 MTS</t>
  </si>
  <si>
    <t>CABO DE PLASTICO X 1.8</t>
  </si>
  <si>
    <t>CLARIFICADOR 1 LT</t>
  </si>
  <si>
    <t>CLARIFICADOR X 1/4 LT</t>
  </si>
  <si>
    <t>CLARIFICANTE POR 500 ML</t>
  </si>
  <si>
    <t>CLORO 5LTS</t>
  </si>
  <si>
    <t>PASTILLA DE CLORO CHICA X UD</t>
  </si>
  <si>
    <t>PASTILLA DE CLORO GRANDE X KG</t>
  </si>
  <si>
    <t>PASTILLA DE CLORO GRANDE X UD</t>
  </si>
  <si>
    <t>PASTILLAS TRIPLE ACCION</t>
  </si>
  <si>
    <t>PASTILLAS TRIPLE ACCION X 5</t>
  </si>
  <si>
    <t>SACA HOJAS FRENTE PLANO</t>
  </si>
  <si>
    <t>SACA HOJAS PLANO</t>
  </si>
  <si>
    <t>BOBINA HILO CHICA</t>
  </si>
  <si>
    <t>BOBINA HILO GRANDE</t>
  </si>
  <si>
    <t>CLAVO X UNIDAD</t>
  </si>
  <si>
    <t>CLAVOS X 10 UNIDADES</t>
  </si>
  <si>
    <t>EMBUDO CHICO</t>
  </si>
  <si>
    <t>EMBUDO GRANDE</t>
  </si>
  <si>
    <t>EMBUDO MEDIANO</t>
  </si>
  <si>
    <t>ENCENDEDOR</t>
  </si>
  <si>
    <t>ESCARBADIENTE BAMBU</t>
  </si>
  <si>
    <t>FOCO 10 W</t>
  </si>
  <si>
    <t>FOCO 12 W</t>
  </si>
  <si>
    <t>FOCO 14 W</t>
  </si>
  <si>
    <t>FOCO 6 W</t>
  </si>
  <si>
    <t>FOCO 8 W</t>
  </si>
  <si>
    <t>FOSFOROS</t>
  </si>
  <si>
    <t>FOSFOROS X 400</t>
  </si>
  <si>
    <t>GOMERAS</t>
  </si>
  <si>
    <t>HERRADURA CORONA JUEGO</t>
  </si>
  <si>
    <t>HERRADURA JUEGO</t>
  </si>
  <si>
    <t>HERRADURA X UNIDAD</t>
  </si>
  <si>
    <t>PILA  AA</t>
  </si>
  <si>
    <t>PILA  AAA</t>
  </si>
  <si>
    <t>PILA AA X 4 UD</t>
  </si>
  <si>
    <t>PILA ENERG. 2016</t>
  </si>
  <si>
    <t>PILA RAYOBAC AAA</t>
  </si>
  <si>
    <t>PILA RAYOBAC X 2</t>
  </si>
  <si>
    <t>RAID MMM</t>
  </si>
  <si>
    <t>RAID MMMS OLOR</t>
  </si>
  <si>
    <t>RAID TABLETA</t>
  </si>
  <si>
    <t>AFRECHO</t>
  </si>
  <si>
    <t>CUBO DE ALFA X BOLSA</t>
  </si>
  <si>
    <t>MAIZ BT X20KG</t>
  </si>
  <si>
    <t>MAIZ LEALES 25 PLUS</t>
  </si>
  <si>
    <t>MAIZ QUEBRADO</t>
  </si>
  <si>
    <t>MAIZ QUEBRADO GRUESO X 30 KG</t>
  </si>
  <si>
    <t>MEZCLA CABALLO PREMIUM SAN JUAN</t>
  </si>
  <si>
    <t>NYMACO - MEZCLA CANARIO X 25 KG</t>
  </si>
  <si>
    <t>NYMACO - MEZCLA GALLINA X 25 KG</t>
  </si>
  <si>
    <t>NYMACO - MEZCLA JAULON X 25 KG</t>
  </si>
  <si>
    <t>NYMACO - MEZCLA SEMILLERO X 25 KG</t>
  </si>
  <si>
    <t>PELLET</t>
  </si>
  <si>
    <t>PELLET DE ALFA</t>
  </si>
  <si>
    <t>S M 2020</t>
  </si>
  <si>
    <t>TRIGO FORRAJERO X KG</t>
  </si>
  <si>
    <t>AFRECHILLO DE TRIGO</t>
  </si>
  <si>
    <t>ARVEJA PARTIDA</t>
  </si>
  <si>
    <t>AVENA PELADA</t>
  </si>
  <si>
    <t>CABALLO PREMIUM X KG</t>
  </si>
  <si>
    <t>CARTAMO</t>
  </si>
  <si>
    <t>COLZA</t>
  </si>
  <si>
    <t>GIRASOL CHICO</t>
  </si>
  <si>
    <t>GIRASOL PELADO</t>
  </si>
  <si>
    <t>MAIZ</t>
  </si>
  <si>
    <t>MAIZ BT X KG</t>
  </si>
  <si>
    <t>MAIZ CUARENTIN</t>
  </si>
  <si>
    <t>MAIZ LEALES 25 PLUS X KG</t>
  </si>
  <si>
    <t>MAIZ QUEBRADO X KG</t>
  </si>
  <si>
    <t>MAIZ SUCURSALES</t>
  </si>
  <si>
    <t>MEZCLA C/PISINGALLO</t>
  </si>
  <si>
    <t>MEZCLA CABALLO PREMIUM</t>
  </si>
  <si>
    <t>MEZCLA CARDENAL SAN JUAN</t>
  </si>
  <si>
    <t>MEZCLA CON PUNTILLA</t>
  </si>
  <si>
    <t>MEZCLA CON VIT. (CANARIO)</t>
  </si>
  <si>
    <t>MEZCLA FINA</t>
  </si>
  <si>
    <t>MEZCLA GALLO CON AVENA PELADA</t>
  </si>
  <si>
    <t>MEZCLA GALLO CON CUARENTIN SAN JUAN</t>
  </si>
  <si>
    <t>MEZCLA GALLO SAN JUAN</t>
  </si>
  <si>
    <t>MEZCLA GRUESA/MEDIANA</t>
  </si>
  <si>
    <t>MEZCLA LOCRILLO</t>
  </si>
  <si>
    <t>MEZCLA MEDIANA</t>
  </si>
  <si>
    <t>PELLET DE ALFA X KG</t>
  </si>
  <si>
    <t>PELLET X KG</t>
  </si>
  <si>
    <t>S M 2020 X KG</t>
  </si>
  <si>
    <t>SEMILLA DE ALFA RR X KG</t>
  </si>
  <si>
    <t>SEMILLA DE ALFA X KG</t>
  </si>
  <si>
    <t>SORGO</t>
  </si>
  <si>
    <t>VICIA</t>
  </si>
  <si>
    <t>VITAMINA</t>
  </si>
  <si>
    <t>BANANA</t>
  </si>
  <si>
    <t>CIRUELA</t>
  </si>
  <si>
    <t>CIRUELA COMUN</t>
  </si>
  <si>
    <t>CIRUELA PRESIDENTA</t>
  </si>
  <si>
    <t>CIRUELA SIN CAROZO</t>
  </si>
  <si>
    <t>FRUTA ABRILLANTADA</t>
  </si>
  <si>
    <t>HIGOS</t>
  </si>
  <si>
    <t>MEDALLONES</t>
  </si>
  <si>
    <t>MIX ENERGETICO</t>
  </si>
  <si>
    <t>MIX ENERGETICO S/C</t>
  </si>
  <si>
    <t>MIX ENERGETICO SAN JUAN</t>
  </si>
  <si>
    <t>MIX FRUTAL</t>
  </si>
  <si>
    <t>NUEZ CON CASCARA</t>
  </si>
  <si>
    <t>NUEZ PELADA AMBAR</t>
  </si>
  <si>
    <t>NUEZ PELADA LIGHT</t>
  </si>
  <si>
    <t>PASAS CON SEMILLA</t>
  </si>
  <si>
    <t>PELONES</t>
  </si>
  <si>
    <t>PERAS</t>
  </si>
  <si>
    <t>BOLSA DE 10 KG 40X55X60</t>
  </si>
  <si>
    <t>BOLSA DE 5 KG 30X45X50</t>
  </si>
  <si>
    <t>BOLSA DE 5 KG 40X45X60</t>
  </si>
  <si>
    <t>BOLSA DE 50 KG</t>
  </si>
  <si>
    <t>BOLSAS 1KG</t>
  </si>
  <si>
    <t>BOLSAS</t>
  </si>
  <si>
    <t>COCCIDIOSTATO</t>
  </si>
  <si>
    <t>CONCHILLA</t>
  </si>
  <si>
    <t>EXPELLER DE SOJA</t>
  </si>
  <si>
    <t>EXPELLER SOJA SAN JUAN</t>
  </si>
  <si>
    <t>FOSFATO</t>
  </si>
  <si>
    <t>HARINA DE CARNE</t>
  </si>
  <si>
    <t>HARINA DE CARNE SAN JUAN</t>
  </si>
  <si>
    <t>METHIONINA</t>
  </si>
  <si>
    <t>MIX. NUCLEO CERDO</t>
  </si>
  <si>
    <t>MIX. NUCLEO PARRILERO</t>
  </si>
  <si>
    <t>MIX. NUCLEO PONEDORA</t>
  </si>
  <si>
    <t>MK CERDO TERMINADOR</t>
  </si>
  <si>
    <t>MK INICIADOR</t>
  </si>
  <si>
    <t>MK LECHON (fase 4 cerdo 5%)</t>
  </si>
  <si>
    <t>MK PONEDORA</t>
  </si>
  <si>
    <t>MK PREINICIADOR</t>
  </si>
  <si>
    <t>MK TERMINADOR</t>
  </si>
  <si>
    <t>PREMEZCLA BOVINO ENGORDE</t>
  </si>
  <si>
    <t>PREMEZCLA BOVINO INICIADOR</t>
  </si>
  <si>
    <t>PREMIX PONEDORA</t>
  </si>
  <si>
    <t>SAL</t>
  </si>
  <si>
    <t>SAL SAN JUAN</t>
  </si>
  <si>
    <t>SOJA DESACTIVADA</t>
  </si>
  <si>
    <t>SOJA DESACTIVADA SAN JUAN</t>
  </si>
  <si>
    <t>ARROZ</t>
  </si>
  <si>
    <t>ARROZ INTEGRAL</t>
  </si>
  <si>
    <t>ARROZ YAMANI</t>
  </si>
  <si>
    <t>AVENA ARROLLADA</t>
  </si>
  <si>
    <t>BURGOL FINO</t>
  </si>
  <si>
    <t>CHALAS X BOLSON</t>
  </si>
  <si>
    <t>CHALAS X UNIDAD</t>
  </si>
  <si>
    <t>CHIA</t>
  </si>
  <si>
    <t>FECULA DE MANDIOCA</t>
  </si>
  <si>
    <t>FRANGOLLO</t>
  </si>
  <si>
    <t>GARBANZO</t>
  </si>
  <si>
    <t>HARINA 0000</t>
  </si>
  <si>
    <t>HARINA DE ARROZ BLANCO</t>
  </si>
  <si>
    <t>HARINA DE ARROZ INTEGRAL</t>
  </si>
  <si>
    <t>HARINA DE ARROZ YAMANI</t>
  </si>
  <si>
    <t>HARINA DE GARBANZO</t>
  </si>
  <si>
    <t>HARINA DE TRIGO INTEGRAL</t>
  </si>
  <si>
    <t>HARINA P/TAMALES</t>
  </si>
  <si>
    <t>LENTEJA</t>
  </si>
  <si>
    <t>MAICENA</t>
  </si>
  <si>
    <t>MAIZ MOLIDO AMARILLO</t>
  </si>
  <si>
    <t>PISINGALLO</t>
  </si>
  <si>
    <t>POROTO PALLARES</t>
  </si>
  <si>
    <t>TRIGO PARA LOCRO</t>
  </si>
  <si>
    <t>BARRITA DE CEREAL</t>
  </si>
  <si>
    <t>MANI C/ CHOCOLATE</t>
  </si>
  <si>
    <t>MANI C/CHOCOLATE KING X 80 GR</t>
  </si>
  <si>
    <t>MANI CHEFF CREMA Y CEB X 80GR X 15U - Mani King</t>
  </si>
  <si>
    <t>MANI CHEFF LIMON Y PIM. X 80GR X 15U - Mani King</t>
  </si>
  <si>
    <t>MANI CHEFF PANCETA X 80GR X 15U - Mani King</t>
  </si>
  <si>
    <t>MANI CON CHOCOLATE X 80GR X 15U- Mani King</t>
  </si>
  <si>
    <t>MANI CROCANTE JAMON X 80GR X 15U - Mani King</t>
  </si>
  <si>
    <t>MANI CROCANTE PIZZA X 80GR X 15U - Mani King</t>
  </si>
  <si>
    <t>MANI CROCANTE QUESO X 80GR X 15U - Mani King</t>
  </si>
  <si>
    <t>MANI FRITO X 10KG - Mani King</t>
  </si>
  <si>
    <t>MANI KING CHEFF CREMA Y CEB X 80 GR X UD</t>
  </si>
  <si>
    <t>MANI KING CHEFF CROCANTE PIZZA X 80 GR X UD</t>
  </si>
  <si>
    <t>MANI KING CHEFF LIMON Y PIM X 80 GR X UD</t>
  </si>
  <si>
    <t>MANI KING CHEFF PANCETA X 80 GR X UD</t>
  </si>
  <si>
    <t>MANI KING CROCANTE JAM Y QUE X 80 GR X UD</t>
  </si>
  <si>
    <t>MANI PELADO</t>
  </si>
  <si>
    <t>MANI SABORIZADO</t>
  </si>
  <si>
    <t>MANI SALADO CON PIEL</t>
  </si>
  <si>
    <t>MANI SALADO KING SELLADO X KG</t>
  </si>
  <si>
    <t>MANI SALADO KING X 350 GR X UD</t>
  </si>
  <si>
    <t>PASTA DE MANI NATURAL X 1KG X6UD</t>
  </si>
  <si>
    <t>MANI SALADO X 1 KG X 9U - Mani King</t>
  </si>
  <si>
    <t>MANI TOSTADO SALADO X KG - Mani king</t>
  </si>
  <si>
    <t xml:space="preserve">PALITO SALADO </t>
  </si>
  <si>
    <t>PASTA DE MANI NATURAL X 485GR X 12U- Mani king</t>
  </si>
  <si>
    <t>PASTA DE MANI ORIGINAL X 350GR X 12U- Mani king</t>
  </si>
  <si>
    <t>PIEDRAS SANITARIAS X 20 KG</t>
  </si>
  <si>
    <t>9 LIVES CASTRADO X 15KG</t>
  </si>
  <si>
    <t>SALSA TIERNITO CARNE X 100 200GR X 24U</t>
  </si>
  <si>
    <t>ZIMPI GATO X 15 KG</t>
  </si>
  <si>
    <t>EXACT PREMIUM GATO URINARIO 8KG</t>
  </si>
  <si>
    <t>EXACT PREMIUM CACHORRO X15KG</t>
  </si>
  <si>
    <t>FRAC. SALADO FRITO C/PIEL MK 20X350GR</t>
  </si>
  <si>
    <t>FRAC. PRALINE MK 15X80 GR</t>
  </si>
  <si>
    <t>FRAC. CEREAL CON AZUCAR NF 11X1KG</t>
  </si>
  <si>
    <t>FRAC. ANILLOS FRUTADOS NF 10X1KG</t>
  </si>
  <si>
    <t>CACAO AMARGO</t>
  </si>
  <si>
    <t>COMINO PURO</t>
  </si>
  <si>
    <t>FRAC. CEREAL CON AZUCAR NF 20 X 200GR</t>
  </si>
  <si>
    <t>FRAC. BOLITA CHOCO NF 20 X 200 GR</t>
  </si>
  <si>
    <t>FRAC. ANILLOS FRUTADOS NF 20 X 160GR</t>
  </si>
  <si>
    <t>FRAC. OSITOS DE MIEL NF 20 X 200GR</t>
  </si>
  <si>
    <t>FRAC. ALMOHADITA FRUTILLA NF 20 X 180GR</t>
  </si>
  <si>
    <t>FRAC. GRANOLA NF 20X320GR</t>
  </si>
  <si>
    <t>FRAC. ALMOHADITA LIMON NF 20 X 180GR</t>
  </si>
  <si>
    <t>EXIBIDOR MANI KING</t>
  </si>
  <si>
    <t>PASAS RUBIAS</t>
  </si>
  <si>
    <t>PASTA DE MANI VITA + X350 X 12un</t>
  </si>
  <si>
    <t>EXACT CRIADORES ADULTO X21</t>
  </si>
  <si>
    <t>ARENA SANITARIA VITAL FUN X6K</t>
  </si>
  <si>
    <t>EXACT CRIADORES GATO 10K</t>
  </si>
  <si>
    <t>PASTA MANI NATURAL 4KG x 2U-Mani king</t>
  </si>
  <si>
    <t>PASTA MANI NATURAL BORIS X 400G X12U</t>
  </si>
  <si>
    <t>PASTA MANI DULCE BORIS X400 X12U</t>
  </si>
  <si>
    <t>TIERNITO GATITO X10KG</t>
  </si>
  <si>
    <t>MONKY BLANCA X 18ud</t>
  </si>
  <si>
    <t>MONKY MIX X18UDS</t>
  </si>
  <si>
    <t>FRAC. SALADO FRITO S/PIEL MK 15X1000GR</t>
  </si>
  <si>
    <t>FRAC. SALADO FRITO S/PIEL MK 350GR</t>
  </si>
  <si>
    <t>MONKY NEGRA X 18ud</t>
  </si>
  <si>
    <t>ROCLETS X KG</t>
  </si>
  <si>
    <t>FRAC. ASADO CHEFF MK 15X80 GR</t>
  </si>
  <si>
    <t>FRAC. FRITO C/SAL MARINA 12X200 GR</t>
  </si>
  <si>
    <t>RESUMEN FALTANTES DE MERCADERIA 2026</t>
  </si>
  <si>
    <t>MES</t>
  </si>
  <si>
    <t xml:space="preserve">CERRADO </t>
  </si>
  <si>
    <t>ENERO</t>
  </si>
  <si>
    <t>FEBRERO</t>
  </si>
  <si>
    <t>MARZO</t>
  </si>
  <si>
    <t>ABRIL</t>
  </si>
  <si>
    <t>MAYO</t>
  </si>
  <si>
    <t>JUNIO</t>
  </si>
  <si>
    <t>AGOSTO</t>
  </si>
  <si>
    <t>SEPTIEMBRE</t>
  </si>
  <si>
    <t>OCTUBRE</t>
  </si>
  <si>
    <t>MOVIEMBRE</t>
  </si>
  <si>
    <t>DICIEMBRE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</si>
</sst>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\ #,##0.00"/>
    <numFmt numFmtId="165" formatCode="_-&quot;$&quot;\ * #,##0.00_-;\-&quot;$&quot;\ * #,##0.00_-;_-&quot;$&quot;\ * &quot;-&quot;??_-;_-@"/>
    <numFmt numFmtId="166" formatCode="d-mmm"/>
    <numFmt numFmtId="167" formatCode="_-&quot;$&quot;\ * #,##0_-;\-&quot;$&quot;\ * #,##0_-;_-&quot;$&quot;\ * &quot;-&quot;??_-;_-@"/>
  </numFmts>
  <fonts count="14">
    <font>
      <sz val="11.0"/>
      <color theme="1"/>
      <name val="Calibri"/>
      <scheme val="minor"/>
    </font>
    <font>
      <sz val="20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20.0"/>
      <color rgb="FF000000"/>
      <name val="Calibri"/>
    </font>
    <font>
      <b/>
      <sz val="16.0"/>
      <color theme="1"/>
      <name val="Calibri"/>
    </font>
    <font>
      <b/>
      <sz val="12.0"/>
      <color theme="1"/>
      <name val="Calibri"/>
    </font>
    <font>
      <b/>
      <sz val="20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EFAFEA"/>
        <bgColor rgb="FFEFAFEA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BE4D5"/>
        <bgColor rgb="FFFBE4D5"/>
      </patternFill>
    </fill>
    <fill>
      <patternFill patternType="solid">
        <fgColor rgb="FFFFF2CB"/>
        <bgColor rgb="FFFFF2CB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</fills>
  <borders count="4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4" fillId="0" fontId="3" numFmtId="0" xfId="0" applyAlignment="1" applyBorder="1" applyFont="1">
      <alignment horizontal="center" vertical="center"/>
    </xf>
    <xf borderId="4" fillId="0" fontId="4" numFmtId="16" xfId="0" applyBorder="1" applyFont="1" applyNumberFormat="1"/>
    <xf borderId="4" fillId="0" fontId="4" numFmtId="0" xfId="0" applyAlignment="1" applyBorder="1" applyFont="1">
      <alignment horizontal="center" vertical="center"/>
    </xf>
    <xf borderId="4" fillId="0" fontId="4" numFmtId="164" xfId="0" applyAlignment="1" applyBorder="1" applyFont="1" applyNumberFormat="1">
      <alignment horizontal="center" vertical="center"/>
    </xf>
    <xf borderId="0" fillId="0" fontId="4" numFmtId="0" xfId="0" applyFont="1"/>
    <xf borderId="4" fillId="0" fontId="4" numFmtId="1" xfId="0" applyAlignment="1" applyBorder="1" applyFont="1" applyNumberFormat="1">
      <alignment horizontal="center" vertical="center"/>
    </xf>
    <xf borderId="4" fillId="0" fontId="4" numFmtId="3" xfId="0" applyAlignment="1" applyBorder="1" applyFont="1" applyNumberFormat="1">
      <alignment horizontal="center" vertical="center"/>
    </xf>
    <xf borderId="4" fillId="0" fontId="4" numFmtId="0" xfId="0" applyBorder="1" applyFont="1"/>
    <xf borderId="5" fillId="0" fontId="4" numFmtId="164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6" fillId="0" fontId="3" numFmtId="164" xfId="0" applyAlignment="1" applyBorder="1" applyFont="1" applyNumberFormat="1">
      <alignment horizontal="center" vertical="center"/>
    </xf>
    <xf borderId="7" fillId="0" fontId="4" numFmtId="164" xfId="0" applyBorder="1" applyFont="1" applyNumberFormat="1"/>
    <xf borderId="0" fillId="0" fontId="4" numFmtId="164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8" fillId="3" fontId="4" numFmtId="0" xfId="0" applyAlignment="1" applyBorder="1" applyFill="1" applyFont="1">
      <alignment horizontal="center" vertical="center"/>
    </xf>
    <xf borderId="8" fillId="3" fontId="3" numFmtId="0" xfId="0" applyAlignment="1" applyBorder="1" applyFont="1">
      <alignment vertical="center"/>
    </xf>
    <xf borderId="8" fillId="3" fontId="3" numFmtId="0" xfId="0" applyAlignment="1" applyBorder="1" applyFont="1">
      <alignment horizontal="center" vertical="center"/>
    </xf>
    <xf borderId="1" fillId="4" fontId="4" numFmtId="0" xfId="0" applyAlignment="1" applyBorder="1" applyFill="1" applyFont="1">
      <alignment horizontal="center"/>
    </xf>
    <xf borderId="9" fillId="0" fontId="4" numFmtId="0" xfId="0" applyBorder="1" applyFont="1"/>
    <xf borderId="10" fillId="0" fontId="4" numFmtId="165" xfId="0" applyBorder="1" applyFont="1" applyNumberFormat="1"/>
    <xf borderId="11" fillId="0" fontId="4" numFmtId="0" xfId="0" applyBorder="1" applyFont="1"/>
    <xf borderId="12" fillId="0" fontId="4" numFmtId="165" xfId="0" applyBorder="1" applyFont="1" applyNumberFormat="1"/>
    <xf borderId="13" fillId="0" fontId="3" numFmtId="0" xfId="0" applyBorder="1" applyFont="1"/>
    <xf borderId="14" fillId="0" fontId="3" numFmtId="165" xfId="0" applyBorder="1" applyFont="1" applyNumberFormat="1"/>
    <xf borderId="15" fillId="5" fontId="4" numFmtId="0" xfId="0" applyBorder="1" applyFill="1" applyFont="1"/>
    <xf borderId="16" fillId="5" fontId="4" numFmtId="0" xfId="0" applyBorder="1" applyFont="1"/>
    <xf borderId="17" fillId="0" fontId="4" numFmtId="0" xfId="0" applyBorder="1" applyFont="1"/>
    <xf borderId="18" fillId="0" fontId="4" numFmtId="165" xfId="0" applyBorder="1" applyFont="1" applyNumberFormat="1"/>
    <xf borderId="19" fillId="0" fontId="4" numFmtId="0" xfId="0" applyBorder="1" applyFont="1"/>
    <xf borderId="20" fillId="0" fontId="4" numFmtId="165" xfId="0" applyBorder="1" applyFont="1" applyNumberFormat="1"/>
    <xf borderId="21" fillId="0" fontId="4" numFmtId="0" xfId="0" applyBorder="1" applyFont="1"/>
    <xf borderId="22" fillId="0" fontId="4" numFmtId="165" xfId="0" applyBorder="1" applyFont="1" applyNumberFormat="1"/>
    <xf borderId="13" fillId="0" fontId="4" numFmtId="0" xfId="0" applyBorder="1" applyFont="1"/>
    <xf borderId="7" fillId="0" fontId="4" numFmtId="165" xfId="0" applyBorder="1" applyFont="1" applyNumberFormat="1"/>
    <xf borderId="14" fillId="0" fontId="4" numFmtId="0" xfId="0" applyBorder="1" applyFont="1"/>
    <xf borderId="14" fillId="0" fontId="4" numFmtId="165" xfId="0" applyBorder="1" applyFont="1" applyNumberFormat="1"/>
    <xf borderId="1" fillId="6" fontId="1" numFmtId="0" xfId="0" applyAlignment="1" applyBorder="1" applyFill="1" applyFont="1">
      <alignment horizontal="center" vertical="center"/>
    </xf>
    <xf borderId="0" fillId="0" fontId="4" numFmtId="164" xfId="0" applyFont="1" applyNumberFormat="1"/>
    <xf borderId="4" fillId="7" fontId="4" numFmtId="16" xfId="0" applyBorder="1" applyFill="1" applyFont="1" applyNumberFormat="1"/>
    <xf borderId="4" fillId="7" fontId="4" numFmtId="0" xfId="0" applyAlignment="1" applyBorder="1" applyFont="1">
      <alignment horizontal="center" vertical="center"/>
    </xf>
    <xf borderId="4" fillId="7" fontId="4" numFmtId="1" xfId="0" applyAlignment="1" applyBorder="1" applyFont="1" applyNumberFormat="1">
      <alignment horizontal="center" vertical="center"/>
    </xf>
    <xf borderId="4" fillId="7" fontId="4" numFmtId="164" xfId="0" applyAlignment="1" applyBorder="1" applyFont="1" applyNumberFormat="1">
      <alignment horizontal="center" vertical="center"/>
    </xf>
    <xf borderId="4" fillId="0" fontId="4" numFmtId="165" xfId="0" applyAlignment="1" applyBorder="1" applyFont="1" applyNumberFormat="1">
      <alignment horizontal="center" vertical="center"/>
    </xf>
    <xf borderId="4" fillId="0" fontId="3" numFmtId="164" xfId="0" applyAlignment="1" applyBorder="1" applyFont="1" applyNumberFormat="1">
      <alignment horizontal="center" vertical="center"/>
    </xf>
    <xf borderId="4" fillId="0" fontId="4" numFmtId="16" xfId="0" applyAlignment="1" applyBorder="1" applyFont="1" applyNumberFormat="1">
      <alignment horizontal="center" vertical="center"/>
    </xf>
    <xf borderId="4" fillId="3" fontId="4" numFmtId="0" xfId="0" applyAlignment="1" applyBorder="1" applyFont="1">
      <alignment horizontal="center" vertical="center"/>
    </xf>
    <xf borderId="4" fillId="0" fontId="4" numFmtId="165" xfId="0" applyBorder="1" applyFont="1" applyNumberFormat="1"/>
    <xf borderId="4" fillId="3" fontId="3" numFmtId="0" xfId="0" applyAlignment="1" applyBorder="1" applyFont="1">
      <alignment vertical="center"/>
    </xf>
    <xf borderId="4" fillId="3" fontId="3" numFmtId="0" xfId="0" applyAlignment="1" applyBorder="1" applyFont="1">
      <alignment horizontal="center" vertical="center"/>
    </xf>
    <xf borderId="4" fillId="0" fontId="4" numFmtId="164" xfId="0" applyBorder="1" applyFont="1" applyNumberFormat="1"/>
    <xf borderId="23" fillId="0" fontId="4" numFmtId="0" xfId="0" applyAlignment="1" applyBorder="1" applyFont="1">
      <alignment horizontal="center" vertical="center"/>
    </xf>
    <xf borderId="23" fillId="0" fontId="2" numFmtId="0" xfId="0" applyBorder="1" applyFont="1"/>
    <xf borderId="24" fillId="4" fontId="4" numFmtId="0" xfId="0" applyAlignment="1" applyBorder="1" applyFont="1">
      <alignment horizontal="center"/>
    </xf>
    <xf borderId="25" fillId="0" fontId="2" numFmtId="0" xfId="0" applyBorder="1" applyFont="1"/>
    <xf borderId="4" fillId="0" fontId="4" numFmtId="0" xfId="0" applyAlignment="1" applyBorder="1" applyFont="1">
      <alignment horizontal="left" vertical="center"/>
    </xf>
    <xf borderId="26" fillId="0" fontId="3" numFmtId="0" xfId="0" applyBorder="1" applyFont="1"/>
    <xf borderId="27" fillId="0" fontId="3" numFmtId="165" xfId="0" applyBorder="1" applyFont="1" applyNumberFormat="1"/>
    <xf borderId="4" fillId="0" fontId="4" numFmtId="0" xfId="0" applyAlignment="1" applyBorder="1" applyFont="1">
      <alignment horizontal="center"/>
    </xf>
    <xf borderId="4" fillId="0" fontId="4" numFmtId="165" xfId="0" applyAlignment="1" applyBorder="1" applyFont="1" applyNumberFormat="1">
      <alignment horizontal="center"/>
    </xf>
    <xf borderId="16" fillId="8" fontId="4" numFmtId="0" xfId="0" applyBorder="1" applyFill="1" applyFont="1"/>
    <xf borderId="28" fillId="0" fontId="3" numFmtId="164" xfId="0" applyAlignment="1" applyBorder="1" applyFont="1" applyNumberFormat="1">
      <alignment horizontal="center" vertical="center"/>
    </xf>
    <xf borderId="28" fillId="0" fontId="4" numFmtId="164" xfId="0" applyBorder="1" applyFont="1" applyNumberFormat="1"/>
    <xf borderId="4" fillId="0" fontId="4" numFmtId="17" xfId="0" applyAlignment="1" applyBorder="1" applyFont="1" applyNumberFormat="1">
      <alignment horizontal="center" vertical="center"/>
    </xf>
    <xf borderId="0" fillId="0" fontId="4" numFmtId="165" xfId="0" applyFont="1" applyNumberFormat="1"/>
    <xf borderId="0" fillId="0" fontId="5" numFmtId="0" xfId="0" applyFont="1"/>
    <xf borderId="4" fillId="0" fontId="4" numFmtId="0" xfId="0" applyAlignment="1" applyBorder="1" applyFont="1">
      <alignment horizontal="left" vertical="top"/>
    </xf>
    <xf borderId="17" fillId="0" fontId="4" numFmtId="0" xfId="0" applyAlignment="1" applyBorder="1" applyFont="1">
      <alignment horizontal="left" vertical="top"/>
    </xf>
    <xf borderId="19" fillId="0" fontId="4" numFmtId="0" xfId="0" applyAlignment="1" applyBorder="1" applyFont="1">
      <alignment horizontal="left" vertical="top"/>
    </xf>
    <xf borderId="21" fillId="0" fontId="4" numFmtId="0" xfId="0" applyAlignment="1" applyBorder="1" applyFont="1">
      <alignment horizontal="left" vertical="top"/>
    </xf>
    <xf borderId="13" fillId="0" fontId="4" numFmtId="0" xfId="0" applyAlignment="1" applyBorder="1" applyFont="1">
      <alignment horizontal="left" vertical="top"/>
    </xf>
    <xf borderId="4" fillId="0" fontId="4" numFmtId="0" xfId="0" applyAlignment="1" applyBorder="1" applyFont="1">
      <alignment vertical="center"/>
    </xf>
    <xf borderId="13" fillId="9" fontId="3" numFmtId="0" xfId="0" applyAlignment="1" applyBorder="1" applyFill="1" applyFont="1">
      <alignment horizontal="center"/>
    </xf>
    <xf borderId="14" fillId="0" fontId="2" numFmtId="0" xfId="0" applyBorder="1" applyFont="1"/>
    <xf borderId="28" fillId="0" fontId="4" numFmtId="0" xfId="0" applyBorder="1" applyFont="1"/>
    <xf borderId="28" fillId="0" fontId="4" numFmtId="165" xfId="0" applyBorder="1" applyFont="1" applyNumberFormat="1"/>
    <xf borderId="5" fillId="0" fontId="4" numFmtId="0" xfId="0" applyBorder="1" applyFont="1"/>
    <xf borderId="5" fillId="0" fontId="4" numFmtId="165" xfId="0" applyBorder="1" applyFont="1" applyNumberFormat="1"/>
    <xf borderId="6" fillId="0" fontId="3" numFmtId="0" xfId="0" applyBorder="1" applyFont="1"/>
    <xf borderId="7" fillId="0" fontId="3" numFmtId="165" xfId="0" applyBorder="1" applyFont="1" applyNumberFormat="1"/>
    <xf borderId="0" fillId="0" fontId="3" numFmtId="0" xfId="0" applyFont="1"/>
    <xf borderId="0" fillId="0" fontId="3" numFmtId="165" xfId="0" applyFont="1" applyNumberFormat="1"/>
    <xf borderId="1" fillId="6" fontId="1" numFmtId="0" xfId="0" applyAlignment="1" applyBorder="1" applyFont="1">
      <alignment horizontal="center" readingOrder="0" vertical="center"/>
    </xf>
    <xf borderId="4" fillId="0" fontId="4" numFmtId="1" xfId="0" applyAlignment="1" applyBorder="1" applyFont="1" applyNumberFormat="1">
      <alignment horizontal="center"/>
    </xf>
    <xf borderId="4" fillId="0" fontId="3" numFmtId="0" xfId="0" applyAlignment="1" applyBorder="1" applyFont="1">
      <alignment horizontal="center"/>
    </xf>
    <xf borderId="4" fillId="0" fontId="6" numFmtId="166" xfId="0" applyAlignment="1" applyBorder="1" applyFont="1" applyNumberFormat="1">
      <alignment horizontal="right" readingOrder="0" shrinkToFit="0" vertical="bottom" wrapText="0"/>
    </xf>
    <xf borderId="4" fillId="0" fontId="6" numFmtId="0" xfId="0" applyAlignment="1" applyBorder="1" applyFont="1">
      <alignment readingOrder="0" shrinkToFit="0" vertical="bottom" wrapText="0"/>
    </xf>
    <xf borderId="4" fillId="0" fontId="6" numFmtId="0" xfId="0" applyAlignment="1" applyBorder="1" applyFont="1">
      <alignment horizontal="right" readingOrder="0" shrinkToFit="0" vertical="bottom" wrapText="0"/>
    </xf>
    <xf borderId="4" fillId="0" fontId="6" numFmtId="0" xfId="0" applyAlignment="1" applyBorder="1" applyFont="1">
      <alignment horizontal="center" readingOrder="0" shrinkToFit="0" wrapText="0"/>
    </xf>
    <xf borderId="4" fillId="0" fontId="6" numFmtId="0" xfId="0" applyAlignment="1" applyBorder="1" applyFont="1">
      <alignment horizontal="center" readingOrder="0" shrinkToFit="0" wrapText="0"/>
    </xf>
    <xf borderId="4" fillId="0" fontId="6" numFmtId="165" xfId="0" applyAlignment="1" applyBorder="1" applyFont="1" applyNumberFormat="1">
      <alignment readingOrder="0" shrinkToFit="0" vertical="bottom" wrapText="0"/>
    </xf>
    <xf borderId="1" fillId="4" fontId="6" numFmtId="0" xfId="0" applyAlignment="1" applyBorder="1" applyFont="1">
      <alignment horizontal="center" readingOrder="0" shrinkToFit="0" vertical="bottom" wrapText="0"/>
    </xf>
    <xf borderId="4" fillId="0" fontId="6" numFmtId="0" xfId="0" applyAlignment="1" applyBorder="1" applyFont="1">
      <alignment readingOrder="0" shrinkToFit="0" vertical="bottom" wrapText="0"/>
    </xf>
    <xf borderId="4" fillId="0" fontId="6" numFmtId="165" xfId="0" applyAlignment="1" applyBorder="1" applyFont="1" applyNumberFormat="1">
      <alignment readingOrder="0" shrinkToFit="0" vertical="bottom" wrapText="0"/>
    </xf>
    <xf borderId="4" fillId="0" fontId="6" numFmtId="0" xfId="0" applyAlignment="1" applyBorder="1" applyFont="1">
      <alignment horizontal="left" readingOrder="0" shrinkToFit="0" wrapText="0"/>
    </xf>
    <xf borderId="4" fillId="0" fontId="7" numFmtId="0" xfId="0" applyAlignment="1" applyBorder="1" applyFont="1">
      <alignment readingOrder="0" shrinkToFit="0" vertical="bottom" wrapText="0"/>
    </xf>
    <xf borderId="29" fillId="0" fontId="7" numFmtId="0" xfId="0" applyAlignment="1" applyBorder="1" applyFont="1">
      <alignment readingOrder="0" shrinkToFit="0" vertical="bottom" wrapText="0"/>
    </xf>
    <xf borderId="30" fillId="0" fontId="7" numFmtId="165" xfId="0" applyAlignment="1" applyBorder="1" applyFont="1" applyNumberFormat="1">
      <alignment readingOrder="0" shrinkToFit="0" vertical="bottom" wrapText="0"/>
    </xf>
    <xf borderId="0" fillId="0" fontId="6" numFmtId="0" xfId="0" applyAlignment="1" applyFont="1">
      <alignment horizontal="center" shrinkToFit="0" wrapText="0"/>
    </xf>
    <xf borderId="1" fillId="10" fontId="6" numFmtId="0" xfId="0" applyAlignment="1" applyBorder="1" applyFill="1" applyFont="1">
      <alignment readingOrder="0" shrinkToFit="0" vertical="bottom" wrapText="0"/>
    </xf>
    <xf borderId="3" fillId="10" fontId="6" numFmtId="0" xfId="0" applyAlignment="1" applyBorder="1" applyFont="1">
      <alignment readingOrder="0" shrinkToFit="0" vertical="bottom" wrapText="0"/>
    </xf>
    <xf borderId="30" fillId="0" fontId="6" numFmtId="165" xfId="0" applyAlignment="1" applyBorder="1" applyFont="1" applyNumberFormat="1">
      <alignment readingOrder="0" shrinkToFit="0" vertical="bottom" wrapText="0"/>
    </xf>
    <xf borderId="12" fillId="0" fontId="6" numFmtId="165" xfId="0" applyAlignment="1" applyBorder="1" applyFont="1" applyNumberFormat="1">
      <alignment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3" fillId="0" fontId="6" numFmtId="165" xfId="0" applyAlignment="1" applyBorder="1" applyFont="1" applyNumberFormat="1">
      <alignment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11" fontId="8" numFmtId="0" xfId="0" applyAlignment="1" applyBorder="1" applyFill="1" applyFont="1">
      <alignment horizontal="center" readingOrder="0" shrinkToFit="0" wrapText="0"/>
    </xf>
    <xf borderId="4" fillId="0" fontId="7" numFmtId="0" xfId="0" applyAlignment="1" applyBorder="1" applyFont="1">
      <alignment horizontal="center" readingOrder="0" shrinkToFit="0" wrapText="0"/>
    </xf>
    <xf borderId="4" fillId="0" fontId="6" numFmtId="0" xfId="0" applyAlignment="1" applyBorder="1" applyFont="1">
      <alignment shrinkToFit="0" vertical="bottom" wrapText="0"/>
    </xf>
    <xf borderId="4" fillId="0" fontId="6" numFmtId="0" xfId="0" applyAlignment="1" applyBorder="1" applyFont="1">
      <alignment horizontal="center" shrinkToFit="0" wrapText="0"/>
    </xf>
    <xf borderId="0" fillId="0" fontId="6" numFmtId="0" xfId="0" applyAlignment="1" applyFont="1">
      <alignment shrinkToFit="0" vertical="bottom" wrapText="0"/>
    </xf>
    <xf borderId="28" fillId="0" fontId="7" numFmtId="0" xfId="0" applyAlignment="1" applyBorder="1" applyFont="1">
      <alignment horizontal="center" readingOrder="0" shrinkToFit="0" wrapText="0"/>
    </xf>
    <xf borderId="30" fillId="0" fontId="6" numFmtId="0" xfId="0" applyAlignment="1" applyBorder="1" applyFont="1">
      <alignment horizontal="right" readingOrder="0" shrinkToFit="0" vertical="bottom" wrapText="0"/>
    </xf>
    <xf borderId="30" fillId="0" fontId="7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horizontal="center" shrinkToFit="0" wrapText="0"/>
    </xf>
    <xf borderId="30" fillId="0" fontId="6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12" fillId="0" fontId="6" numFmtId="0" xfId="0" applyAlignment="1" applyBorder="1" applyFont="1">
      <alignment readingOrder="0" shrinkToFit="0" vertical="bottom" wrapText="0"/>
    </xf>
    <xf borderId="3" fillId="0" fontId="6" numFmtId="0" xfId="0" applyAlignment="1" applyBorder="1" applyFont="1">
      <alignment readingOrder="0" shrinkToFit="0" vertical="bottom" wrapText="0"/>
    </xf>
    <xf borderId="9" fillId="0" fontId="9" numFmtId="0" xfId="0" applyAlignment="1" applyBorder="1" applyFont="1">
      <alignment horizontal="center" vertical="center"/>
    </xf>
    <xf borderId="31" fillId="0" fontId="2" numFmtId="0" xfId="0" applyBorder="1" applyFont="1"/>
    <xf borderId="10" fillId="0" fontId="2" numFmtId="0" xfId="0" applyBorder="1" applyFont="1"/>
    <xf borderId="29" fillId="0" fontId="2" numFmtId="0" xfId="0" applyBorder="1" applyFont="1"/>
    <xf borderId="30" fillId="0" fontId="2" numFmtId="0" xfId="0" applyBorder="1" applyFont="1"/>
    <xf borderId="0" fillId="0" fontId="3" numFmtId="0" xfId="0" applyAlignment="1" applyFont="1">
      <alignment horizontal="center"/>
    </xf>
    <xf borderId="0" fillId="0" fontId="3" numFmtId="167" xfId="0" applyAlignment="1" applyFont="1" applyNumberFormat="1">
      <alignment horizontal="center"/>
    </xf>
    <xf borderId="0" fillId="0" fontId="4" numFmtId="167" xfId="0" applyFont="1" applyNumberFormat="1"/>
    <xf borderId="0" fillId="0" fontId="3" numFmtId="167" xfId="0" applyFont="1" applyNumberFormat="1"/>
    <xf borderId="0" fillId="0" fontId="10" numFmtId="167" xfId="0" applyFont="1" applyNumberFormat="1"/>
    <xf borderId="0" fillId="0" fontId="10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4" numFmtId="1" xfId="0" applyFont="1" applyNumberFormat="1"/>
    <xf borderId="32" fillId="0" fontId="11" numFmtId="0" xfId="0" applyAlignment="1" applyBorder="1" applyFont="1">
      <alignment horizontal="center" vertical="center"/>
    </xf>
    <xf borderId="33" fillId="0" fontId="2" numFmtId="0" xfId="0" applyBorder="1" applyFont="1"/>
    <xf borderId="34" fillId="0" fontId="2" numFmtId="0" xfId="0" applyBorder="1" applyFont="1"/>
    <xf borderId="0" fillId="0" fontId="11" numFmtId="0" xfId="0" applyAlignment="1" applyFont="1">
      <alignment vertical="center"/>
    </xf>
    <xf borderId="35" fillId="0" fontId="2" numFmtId="0" xfId="0" applyBorder="1" applyFont="1"/>
    <xf borderId="36" fillId="0" fontId="2" numFmtId="0" xfId="0" applyBorder="1" applyFont="1"/>
    <xf borderId="19" fillId="0" fontId="12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vertical="center"/>
    </xf>
    <xf borderId="20" fillId="0" fontId="12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19" fillId="0" fontId="13" numFmtId="17" xfId="0" applyBorder="1" applyFont="1" applyNumberFormat="1"/>
    <xf borderId="4" fillId="0" fontId="13" numFmtId="165" xfId="0" applyBorder="1" applyFont="1" applyNumberFormat="1"/>
    <xf borderId="20" fillId="0" fontId="13" numFmtId="165" xfId="0" applyBorder="1" applyFont="1" applyNumberFormat="1"/>
    <xf borderId="0" fillId="0" fontId="13" numFmtId="165" xfId="0" applyFont="1" applyNumberFormat="1"/>
    <xf borderId="37" fillId="0" fontId="13" numFmtId="17" xfId="0" applyBorder="1" applyFont="1" applyNumberFormat="1"/>
    <xf borderId="38" fillId="0" fontId="13" numFmtId="165" xfId="0" applyBorder="1" applyFont="1" applyNumberFormat="1"/>
    <xf borderId="39" fillId="0" fontId="13" numFmtId="165" xfId="0" applyAlignment="1" applyBorder="1" applyFont="1" applyNumberFormat="1">
      <alignment horizontal="center" vertical="center"/>
    </xf>
    <xf borderId="40" fillId="0" fontId="13" numFmtId="165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20.57"/>
    <col customWidth="1" min="3" max="3" width="12.71"/>
    <col customWidth="1" min="4" max="4" width="9.14"/>
    <col customWidth="1" min="5" max="5" width="38.86"/>
    <col customWidth="1" min="6" max="6" width="15.29"/>
    <col customWidth="1" min="7" max="8" width="12.71"/>
    <col customWidth="1" min="9" max="9" width="15.57"/>
    <col customWidth="1" min="10" max="26" width="12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>
      <c r="A3" s="6">
        <v>46024.0</v>
      </c>
      <c r="B3" s="7" t="s">
        <v>10</v>
      </c>
      <c r="C3" s="7" t="s">
        <v>11</v>
      </c>
      <c r="D3" s="7">
        <v>1016.0</v>
      </c>
      <c r="E3" s="7" t="str">
        <f>+VLOOKUP(D3,ARTICULO!$A$2:$B$1048576,2,FALSE)</f>
        <v>ARENA SANITARIA VITAL FUN X6K</v>
      </c>
      <c r="F3" s="7" t="s">
        <v>12</v>
      </c>
      <c r="G3" s="7">
        <v>3.0</v>
      </c>
      <c r="H3" s="8">
        <v>5558.0</v>
      </c>
      <c r="I3" s="8">
        <f t="shared" ref="I3:I99" si="1">SUM(G3*H3)</f>
        <v>16674</v>
      </c>
      <c r="K3" s="9"/>
    </row>
    <row r="4">
      <c r="A4" s="6">
        <v>46055.0</v>
      </c>
      <c r="B4" s="7" t="s">
        <v>10</v>
      </c>
      <c r="C4" s="7" t="s">
        <v>11</v>
      </c>
      <c r="D4" s="7">
        <v>507.0</v>
      </c>
      <c r="E4" s="10" t="str">
        <f>+VLOOKUP(D4,ARTICULO!$A$2:$B$1048576,2,FALSE)</f>
        <v>BICARBONATO</v>
      </c>
      <c r="F4" s="7" t="s">
        <v>13</v>
      </c>
      <c r="G4" s="7">
        <v>5.0</v>
      </c>
      <c r="H4" s="8">
        <v>3382.0</v>
      </c>
      <c r="I4" s="8">
        <f t="shared" si="1"/>
        <v>16910</v>
      </c>
      <c r="K4" s="9"/>
    </row>
    <row r="5">
      <c r="A5" s="6">
        <v>46024.0</v>
      </c>
      <c r="B5" s="7" t="s">
        <v>14</v>
      </c>
      <c r="C5" s="7" t="s">
        <v>15</v>
      </c>
      <c r="D5" s="7">
        <v>704.0</v>
      </c>
      <c r="E5" s="10" t="str">
        <f>+VLOOKUP(D5,ARTICULO!$A$2:$B$1048576,2,FALSE)</f>
        <v>AVENA INSTANTANEA</v>
      </c>
      <c r="F5" s="7" t="s">
        <v>13</v>
      </c>
      <c r="G5" s="7">
        <v>10.0</v>
      </c>
      <c r="H5" s="8">
        <v>1737.0</v>
      </c>
      <c r="I5" s="8">
        <f t="shared" si="1"/>
        <v>17370</v>
      </c>
      <c r="K5" s="9"/>
    </row>
    <row r="6">
      <c r="A6" s="6">
        <v>46024.0</v>
      </c>
      <c r="B6" s="7" t="s">
        <v>16</v>
      </c>
      <c r="C6" s="7" t="s">
        <v>17</v>
      </c>
      <c r="D6" s="7">
        <v>103.0</v>
      </c>
      <c r="E6" s="10" t="str">
        <f>+VLOOKUP(D6,ARTICULO!$A$2:$B$1048576,2,FALSE)</f>
        <v>ROSCO COCK x 15 KG</v>
      </c>
      <c r="F6" s="7" t="s">
        <v>13</v>
      </c>
      <c r="G6" s="7">
        <v>5.0</v>
      </c>
      <c r="H6" s="8">
        <v>18448.0</v>
      </c>
      <c r="I6" s="8">
        <f t="shared" si="1"/>
        <v>92240</v>
      </c>
      <c r="K6" s="9"/>
    </row>
    <row r="7">
      <c r="A7" s="6">
        <v>46024.0</v>
      </c>
      <c r="B7" s="7" t="s">
        <v>16</v>
      </c>
      <c r="C7" s="7" t="s">
        <v>17</v>
      </c>
      <c r="D7" s="7">
        <v>200.0</v>
      </c>
      <c r="E7" s="10" t="str">
        <f>+VLOOKUP(D7,ARTICULO!$A$2:$B$1048576,2,FALSE)</f>
        <v>ROSCO GATO PESCADO x 10 KG</v>
      </c>
      <c r="F7" s="7" t="s">
        <v>13</v>
      </c>
      <c r="G7" s="7">
        <v>1.0</v>
      </c>
      <c r="H7" s="8">
        <v>18672.0</v>
      </c>
      <c r="I7" s="8">
        <f t="shared" si="1"/>
        <v>18672</v>
      </c>
      <c r="K7" s="9"/>
    </row>
    <row r="8">
      <c r="A8" s="6">
        <v>46024.0</v>
      </c>
      <c r="B8" s="7" t="s">
        <v>16</v>
      </c>
      <c r="C8" s="7" t="s">
        <v>17</v>
      </c>
      <c r="D8" s="7">
        <v>151.0</v>
      </c>
      <c r="E8" s="10" t="str">
        <f>+VLOOKUP(D8,ARTICULO!$A$2:$B$1048576,2,FALSE)</f>
        <v>ZIMPI X 25 KG</v>
      </c>
      <c r="F8" s="7" t="s">
        <v>13</v>
      </c>
      <c r="G8" s="7">
        <v>1.0</v>
      </c>
      <c r="H8" s="8">
        <v>21356.0</v>
      </c>
      <c r="I8" s="8">
        <f t="shared" si="1"/>
        <v>21356</v>
      </c>
      <c r="K8" s="9"/>
    </row>
    <row r="9">
      <c r="A9" s="6">
        <v>46024.0</v>
      </c>
      <c r="B9" s="7" t="s">
        <v>18</v>
      </c>
      <c r="C9" s="7" t="s">
        <v>19</v>
      </c>
      <c r="D9" s="7">
        <v>470.0</v>
      </c>
      <c r="E9" s="10" t="str">
        <f>+VLOOKUP(D9,ARTICULO!$A$2:$B$1048576,2,FALSE)</f>
        <v>MEZCLA P/PAJARO</v>
      </c>
      <c r="F9" s="7" t="s">
        <v>12</v>
      </c>
      <c r="G9" s="7">
        <v>30.0</v>
      </c>
      <c r="H9" s="8">
        <v>1058.0</v>
      </c>
      <c r="I9" s="8">
        <f t="shared" si="1"/>
        <v>31740</v>
      </c>
      <c r="K9" s="9"/>
    </row>
    <row r="10">
      <c r="A10" s="6">
        <v>46025.0</v>
      </c>
      <c r="B10" s="7" t="s">
        <v>20</v>
      </c>
      <c r="C10" s="7" t="s">
        <v>11</v>
      </c>
      <c r="D10" s="7">
        <v>362.0</v>
      </c>
      <c r="E10" s="10" t="str">
        <f>+VLOOKUP(D10,ARTICULO!$A$2:$B$1048576,2,FALSE)</f>
        <v>OSITOS DE MIEL x 2.5 Kg</v>
      </c>
      <c r="F10" s="7" t="s">
        <v>21</v>
      </c>
      <c r="G10" s="7">
        <v>1.0</v>
      </c>
      <c r="H10" s="8">
        <v>12247.0</v>
      </c>
      <c r="I10" s="8">
        <f t="shared" si="1"/>
        <v>12247</v>
      </c>
    </row>
    <row r="11">
      <c r="A11" s="6">
        <v>46025.0</v>
      </c>
      <c r="B11" s="7" t="s">
        <v>20</v>
      </c>
      <c r="C11" s="7" t="s">
        <v>11</v>
      </c>
      <c r="D11" s="7">
        <v>352.0</v>
      </c>
      <c r="E11" s="10" t="str">
        <f>+VLOOKUP(D11,ARTICULO!$A$2:$B$1048576,2,FALSE)</f>
        <v>GRANOLA x 1.5 kg</v>
      </c>
      <c r="F11" s="7" t="s">
        <v>21</v>
      </c>
      <c r="G11" s="7">
        <v>1.0</v>
      </c>
      <c r="H11" s="8">
        <v>11025.0</v>
      </c>
      <c r="I11" s="8">
        <f t="shared" si="1"/>
        <v>11025</v>
      </c>
    </row>
    <row r="12">
      <c r="A12" s="6">
        <v>46025.0</v>
      </c>
      <c r="B12" s="7" t="s">
        <v>20</v>
      </c>
      <c r="C12" s="7" t="s">
        <v>11</v>
      </c>
      <c r="D12" s="7">
        <v>610.0</v>
      </c>
      <c r="E12" s="10" t="str">
        <f>+VLOOKUP(D12,ARTICULO!$A$2:$B$1048576,2,FALSE)</f>
        <v>MIX ENERGETICO S/C</v>
      </c>
      <c r="F12" s="7" t="s">
        <v>21</v>
      </c>
      <c r="G12" s="7">
        <v>3.0</v>
      </c>
      <c r="H12" s="8">
        <v>8828.0</v>
      </c>
      <c r="I12" s="8">
        <f t="shared" si="1"/>
        <v>26484</v>
      </c>
    </row>
    <row r="13">
      <c r="A13" s="6">
        <v>46025.0</v>
      </c>
      <c r="B13" s="7" t="s">
        <v>20</v>
      </c>
      <c r="C13" s="7" t="s">
        <v>11</v>
      </c>
      <c r="D13" s="7">
        <v>406.0</v>
      </c>
      <c r="E13" s="10" t="str">
        <f>+VLOOKUP(D13,ARTICULO!$A$2:$B$1048576,2,FALSE)</f>
        <v>MIX SEMILLAS</v>
      </c>
      <c r="F13" s="7" t="s">
        <v>21</v>
      </c>
      <c r="G13" s="7">
        <v>1.0</v>
      </c>
      <c r="H13" s="8">
        <v>4135.0</v>
      </c>
      <c r="I13" s="8">
        <f t="shared" si="1"/>
        <v>4135</v>
      </c>
    </row>
    <row r="14">
      <c r="A14" s="6">
        <v>46025.0</v>
      </c>
      <c r="B14" s="7" t="s">
        <v>20</v>
      </c>
      <c r="C14" s="7" t="s">
        <v>11</v>
      </c>
      <c r="D14" s="7">
        <v>301.0</v>
      </c>
      <c r="E14" s="10" t="str">
        <f>+VLOOKUP(D14,ARTICULO!$A$2:$B$1048576,2,FALSE)</f>
        <v>ALMOHADITA DE FRUTILLA X 2.5 KG</v>
      </c>
      <c r="F14" s="7" t="s">
        <v>21</v>
      </c>
      <c r="G14" s="7">
        <v>1.0</v>
      </c>
      <c r="H14" s="8">
        <v>17775.0</v>
      </c>
      <c r="I14" s="8">
        <f t="shared" si="1"/>
        <v>17775</v>
      </c>
    </row>
    <row r="15">
      <c r="A15" s="6">
        <v>46025.0</v>
      </c>
      <c r="B15" s="7" t="s">
        <v>20</v>
      </c>
      <c r="C15" s="7" t="s">
        <v>11</v>
      </c>
      <c r="D15" s="7">
        <v>722.0</v>
      </c>
      <c r="E15" s="10" t="str">
        <f>+VLOOKUP(D15,ARTICULO!$A$2:$B$1048576,2,FALSE)</f>
        <v>POLENTA</v>
      </c>
      <c r="F15" s="7" t="s">
        <v>21</v>
      </c>
      <c r="G15" s="7">
        <v>10.0</v>
      </c>
      <c r="H15" s="8">
        <v>737.0</v>
      </c>
      <c r="I15" s="8">
        <f t="shared" si="1"/>
        <v>7370</v>
      </c>
    </row>
    <row r="16">
      <c r="A16" s="6">
        <v>46027.0</v>
      </c>
      <c r="B16" s="7" t="s">
        <v>22</v>
      </c>
      <c r="C16" s="7" t="s">
        <v>11</v>
      </c>
      <c r="D16" s="7">
        <v>178.0</v>
      </c>
      <c r="E16" s="10" t="str">
        <f>+VLOOKUP(D16,ARTICULO!$A$2:$B$1048576,2,FALSE)</f>
        <v>PREMIUM PERRO ADULTO RAZA PEQ X 20KG</v>
      </c>
      <c r="F16" s="7" t="s">
        <v>13</v>
      </c>
      <c r="G16" s="7">
        <v>1.0</v>
      </c>
      <c r="H16" s="8">
        <v>36398.0</v>
      </c>
      <c r="I16" s="8">
        <f t="shared" si="1"/>
        <v>36398</v>
      </c>
    </row>
    <row r="17">
      <c r="A17" s="6">
        <v>46027.0</v>
      </c>
      <c r="B17" s="7" t="s">
        <v>22</v>
      </c>
      <c r="C17" s="7" t="s">
        <v>11</v>
      </c>
      <c r="D17" s="7">
        <v>1740.0</v>
      </c>
      <c r="E17" s="10" t="str">
        <f>+VLOOKUP(D17,ARTICULO!$A$2:$B$1048576,2,FALSE)</f>
        <v>MACETA PIRAMIDAL N░ 40</v>
      </c>
      <c r="F17" s="7" t="s">
        <v>13</v>
      </c>
      <c r="G17" s="7">
        <v>1.0</v>
      </c>
      <c r="H17" s="8">
        <v>9786.0</v>
      </c>
      <c r="I17" s="8">
        <f t="shared" si="1"/>
        <v>9786</v>
      </c>
    </row>
    <row r="18">
      <c r="A18" s="6">
        <v>46027.0</v>
      </c>
      <c r="B18" s="7" t="s">
        <v>23</v>
      </c>
      <c r="C18" s="7" t="s">
        <v>11</v>
      </c>
      <c r="D18" s="7">
        <v>466.0</v>
      </c>
      <c r="E18" s="10" t="str">
        <f>+VLOOKUP(D18,ARTICULO!$A$2:$B$1048576,2,FALSE)</f>
        <v>MEZCLA CON VIT. (CANARIO)</v>
      </c>
      <c r="F18" s="7" t="s">
        <v>13</v>
      </c>
      <c r="G18" s="7">
        <v>30.0</v>
      </c>
      <c r="H18" s="8">
        <v>1702.0</v>
      </c>
      <c r="I18" s="8">
        <f t="shared" si="1"/>
        <v>51060</v>
      </c>
    </row>
    <row r="19">
      <c r="A19" s="6">
        <v>46027.0</v>
      </c>
      <c r="B19" s="7" t="s">
        <v>24</v>
      </c>
      <c r="C19" s="7" t="s">
        <v>19</v>
      </c>
      <c r="D19" s="7">
        <v>454.0</v>
      </c>
      <c r="E19" s="10" t="str">
        <f>+VLOOKUP(D19,ARTICULO!$A$2:$B$1048576,2,FALSE)</f>
        <v>AVENA PELADA</v>
      </c>
      <c r="F19" s="7" t="s">
        <v>12</v>
      </c>
      <c r="G19" s="7">
        <v>10.0</v>
      </c>
      <c r="H19" s="8">
        <v>1816.0</v>
      </c>
      <c r="I19" s="8">
        <f t="shared" si="1"/>
        <v>18160</v>
      </c>
    </row>
    <row r="20">
      <c r="A20" s="6">
        <v>46028.0</v>
      </c>
      <c r="B20" s="7" t="s">
        <v>25</v>
      </c>
      <c r="C20" s="7" t="s">
        <v>11</v>
      </c>
      <c r="D20" s="7">
        <v>402.0</v>
      </c>
      <c r="E20" s="10" t="str">
        <f>+VLOOKUP(D20,ARTICULO!$A$2:$B$1048576,2,FALSE)</f>
        <v>MIJO</v>
      </c>
      <c r="F20" s="7" t="s">
        <v>12</v>
      </c>
      <c r="G20" s="7">
        <v>5.0</v>
      </c>
      <c r="H20" s="8">
        <v>612.0</v>
      </c>
      <c r="I20" s="8">
        <f t="shared" si="1"/>
        <v>3060</v>
      </c>
    </row>
    <row r="21" ht="15.75" customHeight="1">
      <c r="A21" s="6">
        <v>46029.0</v>
      </c>
      <c r="B21" s="7" t="s">
        <v>26</v>
      </c>
      <c r="C21" s="7" t="s">
        <v>19</v>
      </c>
      <c r="D21" s="7">
        <v>462.0</v>
      </c>
      <c r="E21" s="10" t="str">
        <f>+VLOOKUP(D21,ARTICULO!$A$2:$B$1048576,2,FALSE)</f>
        <v>MAIZ LEALES 25 PLUS</v>
      </c>
      <c r="F21" s="7" t="s">
        <v>13</v>
      </c>
      <c r="G21" s="7">
        <v>5.0</v>
      </c>
      <c r="H21" s="8">
        <v>36875.0</v>
      </c>
      <c r="I21" s="8">
        <f t="shared" si="1"/>
        <v>184375</v>
      </c>
    </row>
    <row r="22" ht="15.75" customHeight="1">
      <c r="A22" s="6">
        <v>46029.0</v>
      </c>
      <c r="B22" s="7" t="s">
        <v>26</v>
      </c>
      <c r="C22" s="7" t="s">
        <v>19</v>
      </c>
      <c r="D22" s="7">
        <v>167.0</v>
      </c>
      <c r="E22" s="10" t="str">
        <f>+VLOOKUP(D22,ARTICULO!$A$2:$B$1048576,2,FALSE)</f>
        <v>FLECKY CACHORRO X 10 KG</v>
      </c>
      <c r="F22" s="7" t="s">
        <v>13</v>
      </c>
      <c r="G22" s="7">
        <v>5.0</v>
      </c>
      <c r="H22" s="8">
        <v>13234.0</v>
      </c>
      <c r="I22" s="8">
        <f t="shared" si="1"/>
        <v>66170</v>
      </c>
    </row>
    <row r="23" ht="15.75" customHeight="1">
      <c r="A23" s="6">
        <v>46029.0</v>
      </c>
      <c r="B23" s="7" t="s">
        <v>26</v>
      </c>
      <c r="C23" s="7" t="s">
        <v>19</v>
      </c>
      <c r="D23" s="7">
        <v>815.0</v>
      </c>
      <c r="E23" s="10" t="str">
        <f>+VLOOKUP(D23,ARTICULO!$A$2:$B$1048576,2,FALSE)</f>
        <v>BEBEDERO PLASTICO X 3 LT</v>
      </c>
      <c r="F23" s="7" t="s">
        <v>13</v>
      </c>
      <c r="G23" s="7">
        <v>5.0</v>
      </c>
      <c r="H23" s="8">
        <v>19964.0</v>
      </c>
      <c r="I23" s="8">
        <f t="shared" si="1"/>
        <v>99820</v>
      </c>
    </row>
    <row r="24" ht="15.75" customHeight="1">
      <c r="A24" s="6">
        <v>46029.0</v>
      </c>
      <c r="B24" s="7" t="s">
        <v>26</v>
      </c>
      <c r="C24" s="7" t="s">
        <v>19</v>
      </c>
      <c r="D24" s="7">
        <v>451.0</v>
      </c>
      <c r="E24" s="10" t="str">
        <f>+VLOOKUP(D24,ARTICULO!$A$2:$B$1048576,2,FALSE)</f>
        <v>AFRECHO</v>
      </c>
      <c r="F24" s="7" t="s">
        <v>13</v>
      </c>
      <c r="G24" s="7">
        <v>10.0</v>
      </c>
      <c r="H24" s="8">
        <v>451.0</v>
      </c>
      <c r="I24" s="8">
        <f t="shared" si="1"/>
        <v>4510</v>
      </c>
    </row>
    <row r="25" ht="15.75" customHeight="1">
      <c r="A25" s="6">
        <v>46029.0</v>
      </c>
      <c r="B25" s="7" t="s">
        <v>27</v>
      </c>
      <c r="C25" s="7" t="s">
        <v>15</v>
      </c>
      <c r="D25" s="7">
        <v>234.0</v>
      </c>
      <c r="E25" s="10" t="str">
        <f>+VLOOKUP(D25,ARTICULO!$A$2:$B$1048576,2,FALSE)</f>
        <v>EXACT CRIADORES ADULTO X21</v>
      </c>
      <c r="F25" s="7" t="s">
        <v>13</v>
      </c>
      <c r="G25" s="7">
        <v>10.0</v>
      </c>
      <c r="H25" s="8">
        <v>17025.0</v>
      </c>
      <c r="I25" s="8">
        <f t="shared" si="1"/>
        <v>170250</v>
      </c>
    </row>
    <row r="26" ht="15.75" customHeight="1">
      <c r="A26" s="6">
        <v>46029.0</v>
      </c>
      <c r="B26" s="7" t="s">
        <v>27</v>
      </c>
      <c r="C26" s="7" t="s">
        <v>15</v>
      </c>
      <c r="D26" s="7">
        <v>236.0</v>
      </c>
      <c r="E26" s="7" t="str">
        <f>+VLOOKUP(D26,ARTICULO!$A$2:$B$1048576,2,FALSE)</f>
        <v>EXACT CRIADORES GATO 10K</v>
      </c>
      <c r="F26" s="7" t="s">
        <v>13</v>
      </c>
      <c r="G26" s="7">
        <v>5.0</v>
      </c>
      <c r="H26" s="8">
        <v>13666.0</v>
      </c>
      <c r="I26" s="8">
        <f t="shared" si="1"/>
        <v>68330</v>
      </c>
    </row>
    <row r="27" ht="15.75" customHeight="1">
      <c r="A27" s="6">
        <v>46029.0</v>
      </c>
      <c r="B27" s="7" t="s">
        <v>27</v>
      </c>
      <c r="C27" s="7" t="s">
        <v>15</v>
      </c>
      <c r="D27" s="7">
        <v>150.0</v>
      </c>
      <c r="E27" s="10" t="str">
        <f>+VLOOKUP(D27,ARTICULO!$A$2:$B$1048576,2,FALSE)</f>
        <v>ZIMPI X 15 KG</v>
      </c>
      <c r="F27" s="7" t="s">
        <v>13</v>
      </c>
      <c r="G27" s="7">
        <v>10.0</v>
      </c>
      <c r="H27" s="8">
        <v>11031.0</v>
      </c>
      <c r="I27" s="8">
        <f t="shared" si="1"/>
        <v>110310</v>
      </c>
    </row>
    <row r="28" ht="15.75" customHeight="1">
      <c r="A28" s="6">
        <v>46333.0</v>
      </c>
      <c r="B28" s="7" t="s">
        <v>28</v>
      </c>
      <c r="C28" s="7" t="s">
        <v>19</v>
      </c>
      <c r="D28" s="7">
        <v>131.0</v>
      </c>
      <c r="E28" s="10" t="str">
        <f>+VLOOKUP(D28,ARTICULO!$A$2:$B$1048576,2,FALSE)</f>
        <v>GRAN CAMPEON CACHORRO X 10 KG</v>
      </c>
      <c r="F28" s="7" t="s">
        <v>13</v>
      </c>
      <c r="G28" s="7">
        <v>10.0</v>
      </c>
      <c r="H28" s="8">
        <v>22163.0</v>
      </c>
      <c r="I28" s="8">
        <f t="shared" si="1"/>
        <v>221630</v>
      </c>
    </row>
    <row r="29" ht="15.75" customHeight="1">
      <c r="A29" s="6">
        <v>46030.0</v>
      </c>
      <c r="B29" s="7" t="s">
        <v>29</v>
      </c>
      <c r="C29" s="7" t="s">
        <v>19</v>
      </c>
      <c r="D29" s="7">
        <v>474.0</v>
      </c>
      <c r="E29" s="10" t="str">
        <f>+VLOOKUP(D29,ARTICULO!$A$2:$B$1048576,2,FALSE)</f>
        <v>VICIA</v>
      </c>
      <c r="F29" s="7" t="s">
        <v>13</v>
      </c>
      <c r="G29" s="7">
        <v>10.0</v>
      </c>
      <c r="H29" s="8">
        <v>1372.0</v>
      </c>
      <c r="I29" s="8">
        <f t="shared" si="1"/>
        <v>13720</v>
      </c>
    </row>
    <row r="30" ht="15.75" customHeight="1">
      <c r="A30" s="6">
        <v>46031.0</v>
      </c>
      <c r="B30" s="7" t="s">
        <v>30</v>
      </c>
      <c r="C30" s="7" t="s">
        <v>17</v>
      </c>
      <c r="D30" s="7">
        <v>769.0</v>
      </c>
      <c r="E30" s="10" t="str">
        <f>+VLOOKUP(D30,ARTICULO!$A$2:$B$1048576,2,FALSE)</f>
        <v>SHULET AGUA FRIA X 9 GR</v>
      </c>
      <c r="F30" s="7" t="s">
        <v>31</v>
      </c>
      <c r="G30" s="7">
        <v>4.0</v>
      </c>
      <c r="H30" s="8">
        <v>2485.0</v>
      </c>
      <c r="I30" s="8">
        <f t="shared" si="1"/>
        <v>9940</v>
      </c>
    </row>
    <row r="31" ht="15.75" customHeight="1">
      <c r="A31" s="6">
        <v>46031.0</v>
      </c>
      <c r="B31" s="7" t="s">
        <v>32</v>
      </c>
      <c r="C31" s="7" t="s">
        <v>17</v>
      </c>
      <c r="D31" s="7">
        <v>652.0</v>
      </c>
      <c r="E31" s="10" t="str">
        <f>+VLOOKUP(D31,ARTICULO!$A$2:$B$1048576,2,FALSE)</f>
        <v>MANI SABORIZADO</v>
      </c>
      <c r="F31" s="7" t="s">
        <v>12</v>
      </c>
      <c r="G31" s="7">
        <v>3.0</v>
      </c>
      <c r="H31" s="8">
        <v>4200.0</v>
      </c>
      <c r="I31" s="8">
        <f t="shared" si="1"/>
        <v>12600</v>
      </c>
    </row>
    <row r="32" ht="15.75" customHeight="1">
      <c r="A32" s="6">
        <v>46031.0</v>
      </c>
      <c r="B32" s="7" t="s">
        <v>33</v>
      </c>
      <c r="C32" s="7" t="s">
        <v>19</v>
      </c>
      <c r="D32" s="7">
        <v>231.0</v>
      </c>
      <c r="E32" s="10" t="str">
        <f>+VLOOKUP(D32,ARTICULO!$A$2:$B$1048576,2,FALSE)</f>
        <v>EXACT PREMIUM CACHORRO X15KG</v>
      </c>
      <c r="F32" s="7" t="s">
        <v>13</v>
      </c>
      <c r="G32" s="7">
        <v>4.0</v>
      </c>
      <c r="H32" s="8">
        <v>22151.0</v>
      </c>
      <c r="I32" s="8">
        <f t="shared" si="1"/>
        <v>88604</v>
      </c>
    </row>
    <row r="33" ht="15.75" customHeight="1">
      <c r="A33" s="6">
        <v>46031.0</v>
      </c>
      <c r="B33" s="7" t="s">
        <v>33</v>
      </c>
      <c r="C33" s="7" t="s">
        <v>19</v>
      </c>
      <c r="D33" s="7">
        <v>232.0</v>
      </c>
      <c r="E33" s="7" t="str">
        <f>+VLOOKUP(D33,ARTICULO!$A$2:$B$1048576,2,FALSE)</f>
        <v>EXACT PREMIUM ADULTO X 18K</v>
      </c>
      <c r="F33" s="7" t="s">
        <v>13</v>
      </c>
      <c r="G33" s="7">
        <v>5.0</v>
      </c>
      <c r="H33" s="8">
        <v>19803.0</v>
      </c>
      <c r="I33" s="8">
        <f t="shared" si="1"/>
        <v>99015</v>
      </c>
    </row>
    <row r="34" ht="15.75" customHeight="1">
      <c r="A34" s="6">
        <v>46031.0</v>
      </c>
      <c r="B34" s="7" t="s">
        <v>33</v>
      </c>
      <c r="C34" s="7" t="s">
        <v>19</v>
      </c>
      <c r="D34" s="7">
        <v>233.0</v>
      </c>
      <c r="E34" s="10" t="str">
        <f>+VLOOKUP(D34,ARTICULO!$A$2:$B$1048576,2,FALSE)</f>
        <v>EXACT PREMIUM GATO URINARIO 8KG</v>
      </c>
      <c r="F34" s="7" t="s">
        <v>13</v>
      </c>
      <c r="G34" s="7">
        <v>5.0</v>
      </c>
      <c r="H34" s="8">
        <v>19745.0</v>
      </c>
      <c r="I34" s="8">
        <f t="shared" si="1"/>
        <v>98725</v>
      </c>
    </row>
    <row r="35" ht="15.75" customHeight="1">
      <c r="A35" s="6">
        <v>46031.0</v>
      </c>
      <c r="B35" s="7" t="s">
        <v>34</v>
      </c>
      <c r="C35" s="7" t="s">
        <v>15</v>
      </c>
      <c r="D35" s="7">
        <v>477.0</v>
      </c>
      <c r="E35" s="10" t="str">
        <f>+VLOOKUP(D35,ARTICULO!$A$2:$B$1048576,2,FALSE)</f>
        <v>MAIZ QUEBRADO MEDIANO X 30 KG</v>
      </c>
      <c r="F35" s="7" t="s">
        <v>21</v>
      </c>
      <c r="G35" s="7">
        <v>4.0</v>
      </c>
      <c r="H35" s="8">
        <v>14014.0</v>
      </c>
      <c r="I35" s="8">
        <f t="shared" si="1"/>
        <v>56056</v>
      </c>
    </row>
    <row r="36" ht="15.75" customHeight="1">
      <c r="A36" s="6">
        <v>46031.0</v>
      </c>
      <c r="B36" s="7" t="s">
        <v>34</v>
      </c>
      <c r="C36" s="7" t="s">
        <v>15</v>
      </c>
      <c r="D36" s="7">
        <v>476.0</v>
      </c>
      <c r="E36" s="10" t="str">
        <f>+VLOOKUP(D36,ARTICULO!$A$2:$B$1048576,2,FALSE)</f>
        <v>MAIZ QUEBRADO FINO X 30 KG</v>
      </c>
      <c r="F36" s="7" t="s">
        <v>21</v>
      </c>
      <c r="G36" s="7">
        <v>3.0</v>
      </c>
      <c r="H36" s="8">
        <v>14014.0</v>
      </c>
      <c r="I36" s="8">
        <f t="shared" si="1"/>
        <v>42042</v>
      </c>
    </row>
    <row r="37" ht="15.75" customHeight="1">
      <c r="A37" s="6">
        <v>46031.0</v>
      </c>
      <c r="B37" s="7" t="s">
        <v>34</v>
      </c>
      <c r="C37" s="7" t="s">
        <v>15</v>
      </c>
      <c r="D37" s="7">
        <v>458.0</v>
      </c>
      <c r="E37" s="10" t="str">
        <f>+VLOOKUP(D37,ARTICULO!$A$2:$B$1048576,2,FALSE)</f>
        <v>GIRASOL GRANDE</v>
      </c>
      <c r="F37" s="7" t="s">
        <v>21</v>
      </c>
      <c r="G37" s="7">
        <v>60.0</v>
      </c>
      <c r="H37" s="8">
        <v>1584.0</v>
      </c>
      <c r="I37" s="8">
        <f t="shared" si="1"/>
        <v>95040</v>
      </c>
    </row>
    <row r="38" ht="15.75" customHeight="1">
      <c r="A38" s="6">
        <v>46031.0</v>
      </c>
      <c r="B38" s="7" t="s">
        <v>35</v>
      </c>
      <c r="C38" s="7" t="s">
        <v>15</v>
      </c>
      <c r="D38" s="7">
        <v>60.0</v>
      </c>
      <c r="E38" s="10" t="str">
        <f>+VLOOKUP(D38,ARTICULO!$A$2:$B$1048576,2,FALSE)</f>
        <v>TERMINADOR X 40 KG</v>
      </c>
      <c r="F38" s="7" t="s">
        <v>13</v>
      </c>
      <c r="G38" s="7">
        <v>1.0</v>
      </c>
      <c r="H38" s="8">
        <v>26737.0</v>
      </c>
      <c r="I38" s="8">
        <f t="shared" si="1"/>
        <v>26737</v>
      </c>
    </row>
    <row r="39" ht="15.75" customHeight="1">
      <c r="A39" s="6">
        <v>46031.0</v>
      </c>
      <c r="B39" s="7" t="s">
        <v>35</v>
      </c>
      <c r="C39" s="7" t="s">
        <v>15</v>
      </c>
      <c r="D39" s="7">
        <v>231.0</v>
      </c>
      <c r="E39" s="10" t="str">
        <f>+VLOOKUP(D39,ARTICULO!$A$2:$B$1048576,2,FALSE)</f>
        <v>EXACT PREMIUM CACHORRO X15KG</v>
      </c>
      <c r="F39" s="7" t="s">
        <v>13</v>
      </c>
      <c r="G39" s="7">
        <v>2.0</v>
      </c>
      <c r="H39" s="8">
        <v>23317.0</v>
      </c>
      <c r="I39" s="8">
        <f t="shared" si="1"/>
        <v>46634</v>
      </c>
    </row>
    <row r="40" ht="15.75" customHeight="1">
      <c r="A40" s="6">
        <v>46031.0</v>
      </c>
      <c r="B40" s="7" t="s">
        <v>35</v>
      </c>
      <c r="C40" s="7" t="s">
        <v>15</v>
      </c>
      <c r="D40" s="7">
        <v>232.0</v>
      </c>
      <c r="E40" s="7" t="str">
        <f>+VLOOKUP(D40,ARTICULO!$A$2:$B$1048576,2,FALSE)</f>
        <v>EXACT PREMIUM ADULTO X 18K</v>
      </c>
      <c r="F40" s="7" t="s">
        <v>13</v>
      </c>
      <c r="G40" s="7">
        <v>1.0</v>
      </c>
      <c r="H40" s="8">
        <v>20845.0</v>
      </c>
      <c r="I40" s="8">
        <f t="shared" si="1"/>
        <v>20845</v>
      </c>
    </row>
    <row r="41" ht="15.75" customHeight="1">
      <c r="A41" s="6">
        <v>46031.0</v>
      </c>
      <c r="B41" s="7" t="s">
        <v>35</v>
      </c>
      <c r="C41" s="7" t="s">
        <v>15</v>
      </c>
      <c r="D41" s="7">
        <v>233.0</v>
      </c>
      <c r="E41" s="10" t="str">
        <f>+VLOOKUP(D41,ARTICULO!$A$2:$B$1048576,2,FALSE)</f>
        <v>EXACT PREMIUM GATO URINARIO 8KG</v>
      </c>
      <c r="F41" s="7" t="s">
        <v>13</v>
      </c>
      <c r="G41" s="7">
        <v>2.0</v>
      </c>
      <c r="H41" s="8">
        <v>20784.0</v>
      </c>
      <c r="I41" s="8">
        <f t="shared" si="1"/>
        <v>41568</v>
      </c>
    </row>
    <row r="42" ht="15.75" customHeight="1">
      <c r="A42" s="6">
        <v>46031.0</v>
      </c>
      <c r="B42" s="7" t="s">
        <v>35</v>
      </c>
      <c r="C42" s="7" t="s">
        <v>15</v>
      </c>
      <c r="D42" s="7">
        <v>235.0</v>
      </c>
      <c r="E42" s="7" t="str">
        <f>+VLOOKUP(D42,ARTICULO!$A$2:$B$1048576,2,FALSE)</f>
        <v>EXACT CRIADORES CACHORRO X15</v>
      </c>
      <c r="F42" s="7" t="s">
        <v>13</v>
      </c>
      <c r="G42" s="7">
        <v>1.0</v>
      </c>
      <c r="H42" s="8">
        <v>13504.0</v>
      </c>
      <c r="I42" s="8">
        <f t="shared" si="1"/>
        <v>13504</v>
      </c>
    </row>
    <row r="43" ht="15.75" customHeight="1">
      <c r="A43" s="6">
        <v>46031.0</v>
      </c>
      <c r="B43" s="7" t="s">
        <v>35</v>
      </c>
      <c r="C43" s="7" t="s">
        <v>15</v>
      </c>
      <c r="D43" s="7">
        <v>236.0</v>
      </c>
      <c r="E43" s="7" t="str">
        <f>+VLOOKUP(D43,ARTICULO!$A$2:$B$1048576,2,FALSE)</f>
        <v>EXACT CRIADORES GATO 10K</v>
      </c>
      <c r="F43" s="7" t="s">
        <v>13</v>
      </c>
      <c r="G43" s="7">
        <v>1.0</v>
      </c>
      <c r="H43" s="8">
        <v>14385.0</v>
      </c>
      <c r="I43" s="8">
        <f t="shared" si="1"/>
        <v>14385</v>
      </c>
    </row>
    <row r="44" ht="15.75" customHeight="1">
      <c r="A44" s="6">
        <v>46031.0</v>
      </c>
      <c r="B44" s="7" t="s">
        <v>36</v>
      </c>
      <c r="C44" s="7" t="s">
        <v>15</v>
      </c>
      <c r="D44" s="7">
        <v>350.0</v>
      </c>
      <c r="E44" s="10" t="str">
        <f>+VLOOKUP(D44,ARTICULO!$A$2:$B$1048576,2,FALSE)</f>
        <v>GRANOLA CHOCOLATE X 1KG</v>
      </c>
      <c r="F44" s="7" t="s">
        <v>13</v>
      </c>
      <c r="G44" s="7">
        <v>5.0</v>
      </c>
      <c r="H44" s="8">
        <v>6102.0</v>
      </c>
      <c r="I44" s="8">
        <f t="shared" si="1"/>
        <v>30510</v>
      </c>
    </row>
    <row r="45" ht="15.75" customHeight="1">
      <c r="A45" s="6">
        <v>46031.0</v>
      </c>
      <c r="B45" s="7" t="s">
        <v>37</v>
      </c>
      <c r="C45" s="7" t="s">
        <v>19</v>
      </c>
      <c r="D45" s="7">
        <v>476.0</v>
      </c>
      <c r="E45" s="10" t="str">
        <f>+VLOOKUP(D45,ARTICULO!$A$2:$B$1048576,2,FALSE)</f>
        <v>MAIZ QUEBRADO FINO X 30 KG</v>
      </c>
      <c r="F45" s="7" t="s">
        <v>13</v>
      </c>
      <c r="G45" s="7">
        <v>5.0</v>
      </c>
      <c r="H45" s="8">
        <v>14014.0</v>
      </c>
      <c r="I45" s="8">
        <f t="shared" si="1"/>
        <v>70070</v>
      </c>
    </row>
    <row r="46" ht="15.75" customHeight="1">
      <c r="A46" s="6">
        <v>46031.0</v>
      </c>
      <c r="B46" s="7" t="s">
        <v>38</v>
      </c>
      <c r="C46" s="7" t="s">
        <v>15</v>
      </c>
      <c r="D46" s="7">
        <v>702.0</v>
      </c>
      <c r="E46" s="10" t="str">
        <f>+VLOOKUP(D46,ARTICULO!$A$2:$B$1048576,2,FALSE)</f>
        <v>ARROZ YAMANI</v>
      </c>
      <c r="F46" s="7" t="s">
        <v>31</v>
      </c>
      <c r="G46" s="7">
        <v>5.0</v>
      </c>
      <c r="H46" s="8">
        <v>2040.0</v>
      </c>
      <c r="I46" s="8">
        <f t="shared" si="1"/>
        <v>10200</v>
      </c>
    </row>
    <row r="47" ht="15.75" customHeight="1">
      <c r="A47" s="6">
        <v>46031.0</v>
      </c>
      <c r="B47" s="7" t="s">
        <v>39</v>
      </c>
      <c r="C47" s="7" t="s">
        <v>15</v>
      </c>
      <c r="D47" s="7">
        <v>231.0</v>
      </c>
      <c r="E47" s="10" t="str">
        <f>+VLOOKUP(D47,ARTICULO!$A$2:$B$1048576,2,FALSE)</f>
        <v>EXACT PREMIUM CACHORRO X15KG</v>
      </c>
      <c r="F47" s="7" t="s">
        <v>13</v>
      </c>
      <c r="G47" s="7">
        <v>2.0</v>
      </c>
      <c r="H47" s="8">
        <v>23317.0</v>
      </c>
      <c r="I47" s="8">
        <f t="shared" si="1"/>
        <v>46634</v>
      </c>
    </row>
    <row r="48" ht="15.75" customHeight="1">
      <c r="A48" s="6">
        <v>46031.0</v>
      </c>
      <c r="B48" s="7" t="s">
        <v>39</v>
      </c>
      <c r="C48" s="7" t="s">
        <v>15</v>
      </c>
      <c r="D48" s="7">
        <v>232.0</v>
      </c>
      <c r="E48" s="7" t="str">
        <f>+VLOOKUP(D48,ARTICULO!$A$2:$B$1048576,2,FALSE)</f>
        <v>EXACT PREMIUM ADULTO X 18K</v>
      </c>
      <c r="F48" s="7" t="s">
        <v>13</v>
      </c>
      <c r="G48" s="7">
        <v>2.0</v>
      </c>
      <c r="H48" s="8">
        <v>20846.0</v>
      </c>
      <c r="I48" s="8">
        <f t="shared" si="1"/>
        <v>41692</v>
      </c>
    </row>
    <row r="49" ht="15.75" customHeight="1">
      <c r="A49" s="6">
        <v>46031.0</v>
      </c>
      <c r="B49" s="7" t="s">
        <v>40</v>
      </c>
      <c r="C49" s="7" t="s">
        <v>15</v>
      </c>
      <c r="D49" s="7">
        <v>234.0</v>
      </c>
      <c r="E49" s="10" t="str">
        <f>+VLOOKUP(D49,ARTICULO!$A$2:$B$1048576,2,FALSE)</f>
        <v>EXACT CRIADORES ADULTO X21</v>
      </c>
      <c r="F49" s="7" t="s">
        <v>13</v>
      </c>
      <c r="G49" s="7">
        <v>7.0</v>
      </c>
      <c r="H49" s="8">
        <v>17922.0</v>
      </c>
      <c r="I49" s="8">
        <f t="shared" si="1"/>
        <v>125454</v>
      </c>
    </row>
    <row r="50" ht="15.75" customHeight="1">
      <c r="A50" s="6">
        <v>46031.0</v>
      </c>
      <c r="B50" s="7" t="s">
        <v>40</v>
      </c>
      <c r="C50" s="7" t="s">
        <v>15</v>
      </c>
      <c r="D50" s="7">
        <v>235.0</v>
      </c>
      <c r="E50" s="7" t="str">
        <f>+VLOOKUP(D50,ARTICULO!$A$2:$B$1048576,2,FALSE)</f>
        <v>EXACT CRIADORES CACHORRO X15</v>
      </c>
      <c r="F50" s="7" t="s">
        <v>13</v>
      </c>
      <c r="G50" s="7">
        <v>3.0</v>
      </c>
      <c r="H50" s="8">
        <v>13505.0</v>
      </c>
      <c r="I50" s="8">
        <f t="shared" si="1"/>
        <v>40515</v>
      </c>
    </row>
    <row r="51" ht="15.75" customHeight="1">
      <c r="A51" s="6">
        <v>46031.0</v>
      </c>
      <c r="B51" s="7" t="s">
        <v>40</v>
      </c>
      <c r="C51" s="7" t="s">
        <v>15</v>
      </c>
      <c r="D51" s="7">
        <v>236.0</v>
      </c>
      <c r="E51" s="7" t="str">
        <f>+VLOOKUP(D51,ARTICULO!$A$2:$B$1048576,2,FALSE)</f>
        <v>EXACT CRIADORES GATO 10K</v>
      </c>
      <c r="F51" s="7" t="s">
        <v>13</v>
      </c>
      <c r="G51" s="7">
        <v>5.0</v>
      </c>
      <c r="H51" s="8">
        <v>14386.0</v>
      </c>
      <c r="I51" s="8">
        <f t="shared" si="1"/>
        <v>71930</v>
      </c>
    </row>
    <row r="52" ht="15.75" customHeight="1">
      <c r="A52" s="6">
        <v>46032.0</v>
      </c>
      <c r="B52" s="7" t="s">
        <v>41</v>
      </c>
      <c r="C52" s="7" t="s">
        <v>11</v>
      </c>
      <c r="D52" s="7">
        <v>362.0</v>
      </c>
      <c r="E52" s="10" t="str">
        <f>+VLOOKUP(D52,ARTICULO!$A$2:$B$1048576,2,FALSE)</f>
        <v>OSITOS DE MIEL x 2.5 Kg</v>
      </c>
      <c r="F52" s="7" t="s">
        <v>12</v>
      </c>
      <c r="G52" s="7">
        <v>3.0</v>
      </c>
      <c r="H52" s="8">
        <v>10716.0</v>
      </c>
      <c r="I52" s="8">
        <f t="shared" si="1"/>
        <v>32148</v>
      </c>
    </row>
    <row r="53" ht="15.75" customHeight="1">
      <c r="A53" s="6">
        <v>46034.0</v>
      </c>
      <c r="B53" s="7" t="s">
        <v>42</v>
      </c>
      <c r="C53" s="7" t="s">
        <v>11</v>
      </c>
      <c r="D53" s="7">
        <v>7.0</v>
      </c>
      <c r="E53" s="10" t="str">
        <f>+VLOOKUP(D53,ARTICULO!$A$2:$B$1048576,2,FALSE)</f>
        <v>CONEJO X 25 KG - GEPSA</v>
      </c>
      <c r="F53" s="7" t="s">
        <v>13</v>
      </c>
      <c r="G53" s="7">
        <v>2.0</v>
      </c>
      <c r="H53" s="8">
        <v>17361.0</v>
      </c>
      <c r="I53" s="8">
        <f t="shared" si="1"/>
        <v>34722</v>
      </c>
    </row>
    <row r="54" ht="15.75" customHeight="1">
      <c r="A54" s="6">
        <v>46034.0</v>
      </c>
      <c r="B54" s="7" t="s">
        <v>42</v>
      </c>
      <c r="C54" s="7" t="s">
        <v>11</v>
      </c>
      <c r="D54" s="7">
        <v>458.0</v>
      </c>
      <c r="E54" s="10" t="str">
        <f>+VLOOKUP(D54,ARTICULO!$A$2:$B$1048576,2,FALSE)</f>
        <v>GIRASOL GRANDE</v>
      </c>
      <c r="F54" s="7" t="s">
        <v>13</v>
      </c>
      <c r="G54" s="7">
        <v>20.0</v>
      </c>
      <c r="H54" s="8">
        <v>1760.0</v>
      </c>
      <c r="I54" s="8">
        <f t="shared" si="1"/>
        <v>35200</v>
      </c>
    </row>
    <row r="55" ht="15.75" customHeight="1">
      <c r="A55" s="6">
        <v>46034.0</v>
      </c>
      <c r="B55" s="7" t="s">
        <v>43</v>
      </c>
      <c r="C55" s="7" t="s">
        <v>19</v>
      </c>
      <c r="D55" s="7">
        <v>604.0</v>
      </c>
      <c r="E55" s="10" t="str">
        <f>+VLOOKUP(D55,ARTICULO!$A$2:$B$1048576,2,FALSE)</f>
        <v>CIRUELA PRESIDENTA</v>
      </c>
      <c r="F55" s="7" t="s">
        <v>13</v>
      </c>
      <c r="G55" s="7">
        <v>5.0</v>
      </c>
      <c r="H55" s="8">
        <v>9720.0</v>
      </c>
      <c r="I55" s="8">
        <f t="shared" si="1"/>
        <v>48600</v>
      </c>
    </row>
    <row r="56" ht="15.75" customHeight="1">
      <c r="A56" s="6">
        <v>46034.0</v>
      </c>
      <c r="B56" s="7" t="s">
        <v>43</v>
      </c>
      <c r="C56" s="7" t="s">
        <v>19</v>
      </c>
      <c r="D56" s="7">
        <v>410.0</v>
      </c>
      <c r="E56" s="10" t="str">
        <f>+VLOOKUP(D56,ARTICULO!$A$2:$B$1048576,2,FALSE)</f>
        <v>SALVADO DE TRIGO</v>
      </c>
      <c r="F56" s="7" t="s">
        <v>31</v>
      </c>
      <c r="G56" s="7">
        <v>20.0</v>
      </c>
      <c r="H56" s="8">
        <v>756.0</v>
      </c>
      <c r="I56" s="8">
        <f t="shared" si="1"/>
        <v>15120</v>
      </c>
    </row>
    <row r="57" ht="15.75" customHeight="1">
      <c r="A57" s="6">
        <v>46034.0</v>
      </c>
      <c r="B57" s="7" t="s">
        <v>44</v>
      </c>
      <c r="C57" s="7" t="s">
        <v>11</v>
      </c>
      <c r="D57" s="7">
        <v>722.0</v>
      </c>
      <c r="E57" s="10" t="str">
        <f>+VLOOKUP(D57,ARTICULO!$A$2:$B$1048576,2,FALSE)</f>
        <v>POLENTA</v>
      </c>
      <c r="F57" s="7" t="s">
        <v>13</v>
      </c>
      <c r="G57" s="7">
        <v>25.0</v>
      </c>
      <c r="H57" s="8">
        <v>874.0</v>
      </c>
      <c r="I57" s="8">
        <f t="shared" si="1"/>
        <v>21850</v>
      </c>
    </row>
    <row r="58" ht="15.75" customHeight="1">
      <c r="A58" s="6">
        <v>46034.0</v>
      </c>
      <c r="B58" s="7" t="s">
        <v>45</v>
      </c>
      <c r="C58" s="7" t="s">
        <v>19</v>
      </c>
      <c r="D58" s="7">
        <v>477.0</v>
      </c>
      <c r="E58" s="10" t="str">
        <f>+VLOOKUP(D58,ARTICULO!$A$2:$B$1048576,2,FALSE)</f>
        <v>MAIZ QUEBRADO MEDIANO X 30 KG</v>
      </c>
      <c r="F58" s="7" t="s">
        <v>12</v>
      </c>
      <c r="G58" s="7">
        <v>1.0</v>
      </c>
      <c r="H58" s="8">
        <v>18685.0</v>
      </c>
      <c r="I58" s="8">
        <f t="shared" si="1"/>
        <v>18685</v>
      </c>
    </row>
    <row r="59" ht="15.75" customHeight="1">
      <c r="A59" s="6">
        <v>46034.0</v>
      </c>
      <c r="B59" s="7" t="s">
        <v>46</v>
      </c>
      <c r="C59" s="7" t="s">
        <v>11</v>
      </c>
      <c r="D59" s="7">
        <v>722.0</v>
      </c>
      <c r="E59" s="10" t="str">
        <f>+VLOOKUP(D59,ARTICULO!$A$2:$B$1048576,2,FALSE)</f>
        <v>POLENTA</v>
      </c>
      <c r="F59" s="7" t="s">
        <v>31</v>
      </c>
      <c r="G59" s="7">
        <v>40.0</v>
      </c>
      <c r="H59" s="8">
        <v>782.0</v>
      </c>
      <c r="I59" s="8">
        <f t="shared" si="1"/>
        <v>31280</v>
      </c>
    </row>
    <row r="60" ht="15.75" customHeight="1">
      <c r="A60" s="6">
        <v>46034.0</v>
      </c>
      <c r="B60" s="7" t="s">
        <v>47</v>
      </c>
      <c r="C60" s="7" t="s">
        <v>17</v>
      </c>
      <c r="D60" s="7">
        <v>242.0</v>
      </c>
      <c r="E60" s="10" t="str">
        <f>+VLOOKUP(D60,ARTICULO!$A$2:$B$1048576,2,FALSE)</f>
        <v>CHEF CAT GATOS ADULTOS X 8 KG</v>
      </c>
      <c r="F60" s="7" t="s">
        <v>31</v>
      </c>
      <c r="G60" s="7">
        <v>5.0</v>
      </c>
      <c r="H60" s="8">
        <v>13374.0</v>
      </c>
      <c r="I60" s="8">
        <f t="shared" si="1"/>
        <v>66870</v>
      </c>
    </row>
    <row r="61" ht="15.75" customHeight="1">
      <c r="A61" s="6">
        <v>46034.0</v>
      </c>
      <c r="B61" s="7" t="s">
        <v>48</v>
      </c>
      <c r="C61" s="7" t="s">
        <v>19</v>
      </c>
      <c r="D61" s="7">
        <v>703.0</v>
      </c>
      <c r="E61" s="10" t="str">
        <f>+VLOOKUP(D61,ARTICULO!$A$2:$B$1048576,2,FALSE)</f>
        <v>AVENA ARROLLADA</v>
      </c>
      <c r="F61" s="7" t="s">
        <v>13</v>
      </c>
      <c r="G61" s="7">
        <v>20.0</v>
      </c>
      <c r="H61" s="8">
        <v>1505.0</v>
      </c>
      <c r="I61" s="8">
        <f t="shared" si="1"/>
        <v>30100</v>
      </c>
    </row>
    <row r="62" ht="15.75" customHeight="1">
      <c r="A62" s="6">
        <v>46034.0</v>
      </c>
      <c r="B62" s="7" t="s">
        <v>24</v>
      </c>
      <c r="C62" s="7" t="s">
        <v>19</v>
      </c>
      <c r="D62" s="7">
        <v>454.0</v>
      </c>
      <c r="E62" s="10" t="str">
        <f>+VLOOKUP(D62,ARTICULO!$A$2:$B$1048576,2,FALSE)</f>
        <v>AVENA PELADA</v>
      </c>
      <c r="F62" s="7" t="s">
        <v>13</v>
      </c>
      <c r="G62" s="7">
        <v>40.0</v>
      </c>
      <c r="H62" s="8">
        <v>1634.0</v>
      </c>
      <c r="I62" s="8">
        <f t="shared" si="1"/>
        <v>65360</v>
      </c>
    </row>
    <row r="63" ht="15.75" customHeight="1">
      <c r="A63" s="6">
        <v>46035.0</v>
      </c>
      <c r="B63" s="7" t="s">
        <v>49</v>
      </c>
      <c r="C63" s="7" t="s">
        <v>17</v>
      </c>
      <c r="D63" s="7">
        <v>10672.0</v>
      </c>
      <c r="E63" s="10" t="str">
        <f>+VLOOKUP(D63,ARTICULO!$A$2:$B$1048576,2,FALSE)</f>
        <v>MANI TOSTADO SALADO X KG - Mani king</v>
      </c>
      <c r="F63" s="7" t="s">
        <v>12</v>
      </c>
      <c r="G63" s="7">
        <v>5.0</v>
      </c>
      <c r="H63" s="8">
        <v>4444.0</v>
      </c>
      <c r="I63" s="8">
        <f t="shared" si="1"/>
        <v>22220</v>
      </c>
    </row>
    <row r="64" ht="15.75" customHeight="1">
      <c r="A64" s="6">
        <v>46035.0</v>
      </c>
      <c r="B64" s="7" t="s">
        <v>50</v>
      </c>
      <c r="C64" s="7" t="s">
        <v>17</v>
      </c>
      <c r="D64" s="7">
        <v>523.0</v>
      </c>
      <c r="E64" s="10" t="str">
        <f>+VLOOKUP(D64,ARTICULO!$A$2:$B$1048576,2,FALSE)</f>
        <v>CHIMICHURRI</v>
      </c>
      <c r="F64" s="7" t="s">
        <v>12</v>
      </c>
      <c r="G64" s="7">
        <v>5.0</v>
      </c>
      <c r="H64" s="8">
        <v>3058.0</v>
      </c>
      <c r="I64" s="8">
        <f t="shared" si="1"/>
        <v>15290</v>
      </c>
    </row>
    <row r="65" ht="15.75" customHeight="1">
      <c r="A65" s="6">
        <v>46035.0</v>
      </c>
      <c r="B65" s="7" t="s">
        <v>51</v>
      </c>
      <c r="C65" s="7" t="s">
        <v>11</v>
      </c>
      <c r="D65" s="7">
        <v>211.0</v>
      </c>
      <c r="E65" s="10" t="str">
        <f>+VLOOKUP(D65,ARTICULO!$A$2:$B$1048576,2,FALSE)</f>
        <v>9 LIVES SALMON Y ATUN x 15 KG</v>
      </c>
      <c r="F65" s="7" t="s">
        <v>21</v>
      </c>
      <c r="G65" s="7">
        <v>1.0</v>
      </c>
      <c r="H65" s="8">
        <v>47752.0</v>
      </c>
      <c r="I65" s="8">
        <f t="shared" si="1"/>
        <v>47752</v>
      </c>
    </row>
    <row r="66" ht="15.75" customHeight="1">
      <c r="A66" s="6">
        <v>46035.0</v>
      </c>
      <c r="B66" s="7" t="s">
        <v>51</v>
      </c>
      <c r="C66" s="7" t="s">
        <v>11</v>
      </c>
      <c r="D66" s="7">
        <v>363.0</v>
      </c>
      <c r="E66" s="10" t="str">
        <f>+VLOOKUP(D66,ARTICULO!$A$2:$B$1048576,2,FALSE)</f>
        <v>CEREAL C/ AZUCAR ECO REDZY X 4K</v>
      </c>
      <c r="F66" s="7" t="s">
        <v>21</v>
      </c>
      <c r="G66" s="7">
        <v>1.0</v>
      </c>
      <c r="H66" s="8">
        <v>20086.0</v>
      </c>
      <c r="I66" s="8">
        <f t="shared" si="1"/>
        <v>20086</v>
      </c>
    </row>
    <row r="67" ht="15.75" customHeight="1">
      <c r="A67" s="6">
        <v>46035.0</v>
      </c>
      <c r="B67" s="7" t="s">
        <v>52</v>
      </c>
      <c r="C67" s="7" t="s">
        <v>11</v>
      </c>
      <c r="D67" s="7">
        <v>720.0</v>
      </c>
      <c r="E67" s="10" t="str">
        <f>+VLOOKUP(D67,ARTICULO!$A$2:$B$1048576,2,FALSE)</f>
        <v>MAIZ MOLIDO BLANCO</v>
      </c>
      <c r="F67" s="7" t="s">
        <v>13</v>
      </c>
      <c r="G67" s="7">
        <v>5.0</v>
      </c>
      <c r="H67" s="8">
        <v>1953.0</v>
      </c>
      <c r="I67" s="8">
        <f t="shared" si="1"/>
        <v>9765</v>
      </c>
    </row>
    <row r="68" ht="15.75" customHeight="1">
      <c r="A68" s="6">
        <v>46036.0</v>
      </c>
      <c r="B68" s="7" t="s">
        <v>53</v>
      </c>
      <c r="C68" s="7" t="s">
        <v>19</v>
      </c>
      <c r="D68" s="7">
        <v>462.0</v>
      </c>
      <c r="E68" s="10" t="str">
        <f>+VLOOKUP(D68,ARTICULO!$A$2:$B$1048576,2,FALSE)</f>
        <v>MAIZ LEALES 25 PLUS</v>
      </c>
      <c r="F68" s="7" t="s">
        <v>13</v>
      </c>
      <c r="G68" s="7">
        <v>25.0</v>
      </c>
      <c r="H68" s="8">
        <v>36875.0</v>
      </c>
      <c r="I68" s="8">
        <f t="shared" si="1"/>
        <v>921875</v>
      </c>
    </row>
    <row r="69" ht="15.75" customHeight="1">
      <c r="A69" s="6">
        <v>46036.0</v>
      </c>
      <c r="B69" s="7" t="s">
        <v>28</v>
      </c>
      <c r="C69" s="7" t="s">
        <v>19</v>
      </c>
      <c r="D69" s="7">
        <v>131.0</v>
      </c>
      <c r="E69" s="10" t="str">
        <f>+VLOOKUP(D69,ARTICULO!$A$2:$B$1048576,2,FALSE)</f>
        <v>GRAN CAMPEON CACHORRO X 10 KG</v>
      </c>
      <c r="F69" s="7" t="s">
        <v>12</v>
      </c>
      <c r="G69" s="7">
        <v>1.0</v>
      </c>
      <c r="H69" s="8">
        <v>15514.0</v>
      </c>
      <c r="I69" s="8">
        <f t="shared" si="1"/>
        <v>15514</v>
      </c>
    </row>
    <row r="70" ht="15.75" customHeight="1">
      <c r="A70" s="6">
        <v>46036.0</v>
      </c>
      <c r="B70" s="7" t="s">
        <v>54</v>
      </c>
      <c r="C70" s="7" t="s">
        <v>19</v>
      </c>
      <c r="D70" s="7">
        <v>140.0</v>
      </c>
      <c r="E70" s="10" t="str">
        <f>+VLOOKUP(D70,ARTICULO!$A$2:$B$1048576,2,FALSE)</f>
        <v>GRAN CAMPEON MANTENIMIENTO x 21KG</v>
      </c>
      <c r="F70" s="7" t="s">
        <v>13</v>
      </c>
      <c r="G70" s="7">
        <v>5.0</v>
      </c>
      <c r="H70" s="8">
        <v>25392.0</v>
      </c>
      <c r="I70" s="8">
        <f t="shared" si="1"/>
        <v>126960</v>
      </c>
    </row>
    <row r="71" ht="15.75" customHeight="1">
      <c r="A71" s="6">
        <v>46036.0</v>
      </c>
      <c r="B71" s="7" t="s">
        <v>55</v>
      </c>
      <c r="C71" s="7" t="s">
        <v>15</v>
      </c>
      <c r="D71" s="7">
        <v>111.0</v>
      </c>
      <c r="E71" s="10" t="str">
        <f>+VLOOKUP(D71,ARTICULO!$A$2:$B$1048576,2,FALSE)</f>
        <v>TIERNITO CARNE  x 21 KG</v>
      </c>
      <c r="F71" s="7" t="s">
        <v>31</v>
      </c>
      <c r="G71" s="7">
        <v>1.0</v>
      </c>
      <c r="H71" s="8">
        <v>28707.0</v>
      </c>
      <c r="I71" s="8">
        <f t="shared" si="1"/>
        <v>28707</v>
      </c>
    </row>
    <row r="72" ht="15.75" customHeight="1">
      <c r="A72" s="6">
        <v>46036.0</v>
      </c>
      <c r="B72" s="7" t="s">
        <v>56</v>
      </c>
      <c r="C72" s="7" t="s">
        <v>15</v>
      </c>
      <c r="D72" s="7">
        <v>115.0</v>
      </c>
      <c r="E72" s="10" t="str">
        <f>+VLOOKUP(D72,ARTICULO!$A$2:$B$1048576,2,FALSE)</f>
        <v>TIERNITO VEGET x 21 KG</v>
      </c>
      <c r="F72" s="7" t="s">
        <v>13</v>
      </c>
      <c r="G72" s="7">
        <v>20.0</v>
      </c>
      <c r="H72" s="8">
        <v>31004.0</v>
      </c>
      <c r="I72" s="8">
        <f t="shared" si="1"/>
        <v>620080</v>
      </c>
    </row>
    <row r="73" ht="15.75" customHeight="1">
      <c r="A73" s="6">
        <v>46036.0</v>
      </c>
      <c r="B73" s="7" t="s">
        <v>56</v>
      </c>
      <c r="C73" s="7" t="s">
        <v>15</v>
      </c>
      <c r="D73" s="7">
        <v>615.0</v>
      </c>
      <c r="E73" s="10" t="str">
        <f>+VLOOKUP(D73,ARTICULO!$A$2:$B$1048576,2,FALSE)</f>
        <v>PELONES</v>
      </c>
      <c r="F73" s="7" t="s">
        <v>31</v>
      </c>
      <c r="G73" s="7">
        <v>10.0</v>
      </c>
      <c r="H73" s="8">
        <v>8410.0</v>
      </c>
      <c r="I73" s="8">
        <f t="shared" si="1"/>
        <v>84100</v>
      </c>
    </row>
    <row r="74" ht="15.75" customHeight="1">
      <c r="A74" s="6">
        <v>46037.0</v>
      </c>
      <c r="B74" s="7" t="s">
        <v>57</v>
      </c>
      <c r="C74" s="7" t="s">
        <v>19</v>
      </c>
      <c r="D74" s="7">
        <v>920.0</v>
      </c>
      <c r="E74" s="10" t="str">
        <f>+VLOOKUP(D74,ARTICULO!$A$2:$B$1048576,2,FALSE)</f>
        <v>COLLAR AHORQUE MEDIANO</v>
      </c>
      <c r="F74" s="7" t="s">
        <v>13</v>
      </c>
      <c r="G74" s="7">
        <v>1.0</v>
      </c>
      <c r="H74" s="8">
        <v>815.0</v>
      </c>
      <c r="I74" s="8">
        <f t="shared" si="1"/>
        <v>815</v>
      </c>
    </row>
    <row r="75" ht="15.75" customHeight="1">
      <c r="A75" s="6">
        <v>46037.0</v>
      </c>
      <c r="B75" s="7" t="s">
        <v>58</v>
      </c>
      <c r="C75" s="7" t="s">
        <v>19</v>
      </c>
      <c r="D75" s="7">
        <v>612.0</v>
      </c>
      <c r="E75" s="10" t="str">
        <f>+VLOOKUP(D75,ARTICULO!$A$2:$B$1048576,2,FALSE)</f>
        <v>NUEZ PELADA AMBAR</v>
      </c>
      <c r="F75" s="7" t="s">
        <v>13</v>
      </c>
      <c r="G75" s="7">
        <v>3.0</v>
      </c>
      <c r="H75" s="8">
        <v>14868.0</v>
      </c>
      <c r="I75" s="8">
        <f t="shared" si="1"/>
        <v>44604</v>
      </c>
    </row>
    <row r="76" ht="15.75" customHeight="1">
      <c r="A76" s="6">
        <v>46037.0</v>
      </c>
      <c r="B76" s="7" t="s">
        <v>58</v>
      </c>
      <c r="C76" s="7" t="s">
        <v>19</v>
      </c>
      <c r="D76" s="7">
        <v>600.0</v>
      </c>
      <c r="E76" s="10" t="str">
        <f>+VLOOKUP(D76,ARTICULO!$A$2:$B$1048576,2,FALSE)</f>
        <v>ALMENDRAS</v>
      </c>
      <c r="F76" s="7" t="s">
        <v>13</v>
      </c>
      <c r="G76" s="7">
        <v>5.0</v>
      </c>
      <c r="H76" s="8">
        <v>25060.0</v>
      </c>
      <c r="I76" s="8">
        <f t="shared" si="1"/>
        <v>125300</v>
      </c>
    </row>
    <row r="77" ht="15.75" customHeight="1">
      <c r="A77" s="6">
        <v>46037.0</v>
      </c>
      <c r="B77" s="7" t="s">
        <v>58</v>
      </c>
      <c r="C77" s="7" t="s">
        <v>19</v>
      </c>
      <c r="D77" s="7">
        <v>10672.0</v>
      </c>
      <c r="E77" s="10" t="str">
        <f>+VLOOKUP(D77,ARTICULO!$A$2:$B$1048576,2,FALSE)</f>
        <v>MANI TOSTADO SALADO X KG - Mani king</v>
      </c>
      <c r="F77" s="7" t="s">
        <v>13</v>
      </c>
      <c r="G77" s="7">
        <v>10.0</v>
      </c>
      <c r="H77" s="8">
        <v>3854.0</v>
      </c>
      <c r="I77" s="8">
        <f t="shared" si="1"/>
        <v>38540</v>
      </c>
    </row>
    <row r="78" ht="15.75" customHeight="1">
      <c r="A78" s="6">
        <v>46037.0</v>
      </c>
      <c r="B78" s="7" t="s">
        <v>58</v>
      </c>
      <c r="C78" s="7" t="s">
        <v>19</v>
      </c>
      <c r="D78" s="7">
        <v>320.0</v>
      </c>
      <c r="E78" s="10" t="str">
        <f>+VLOOKUP(D78,ARTICULO!$A$2:$B$1048576,2,FALSE)</f>
        <v>BOLITAS DE CHOCOLATE x 2.5 Kg</v>
      </c>
      <c r="F78" s="7" t="s">
        <v>13</v>
      </c>
      <c r="G78" s="7">
        <v>3.0</v>
      </c>
      <c r="H78" s="8">
        <v>11289.0</v>
      </c>
      <c r="I78" s="8">
        <f t="shared" si="1"/>
        <v>33867</v>
      </c>
    </row>
    <row r="79" ht="15.75" customHeight="1">
      <c r="A79" s="6">
        <v>46037.0</v>
      </c>
      <c r="B79" s="7" t="s">
        <v>58</v>
      </c>
      <c r="C79" s="7" t="s">
        <v>19</v>
      </c>
      <c r="D79" s="7">
        <v>330.0</v>
      </c>
      <c r="E79" s="10" t="str">
        <f>+VLOOKUP(D79,ARTICULO!$A$2:$B$1048576,2,FALSE)</f>
        <v>CEREAL CON AZUCAR x 2.5 Kg</v>
      </c>
      <c r="F79" s="7" t="s">
        <v>13</v>
      </c>
      <c r="G79" s="7">
        <v>2.0</v>
      </c>
      <c r="H79" s="8">
        <v>9786.0</v>
      </c>
      <c r="I79" s="8">
        <f t="shared" si="1"/>
        <v>19572</v>
      </c>
    </row>
    <row r="80" ht="15.75" customHeight="1">
      <c r="A80" s="6">
        <v>46037.0</v>
      </c>
      <c r="B80" s="7" t="s">
        <v>58</v>
      </c>
      <c r="C80" s="7" t="s">
        <v>19</v>
      </c>
      <c r="D80" s="7">
        <v>332.0</v>
      </c>
      <c r="E80" s="10" t="str">
        <f>+VLOOKUP(D80,ARTICULO!$A$2:$B$1048576,2,FALSE)</f>
        <v>CEREAL SIN AZUCAR X 2.5 KG</v>
      </c>
      <c r="F80" s="7" t="s">
        <v>13</v>
      </c>
      <c r="G80" s="7">
        <v>3.0</v>
      </c>
      <c r="H80" s="8">
        <v>9611.0</v>
      </c>
      <c r="I80" s="8">
        <f t="shared" si="1"/>
        <v>28833</v>
      </c>
    </row>
    <row r="81" ht="15.75" customHeight="1">
      <c r="A81" s="6">
        <v>46037.0</v>
      </c>
      <c r="B81" s="7" t="s">
        <v>58</v>
      </c>
      <c r="C81" s="7" t="s">
        <v>19</v>
      </c>
      <c r="D81" s="7">
        <v>10668.0</v>
      </c>
      <c r="E81" s="10" t="str">
        <f>+VLOOKUP(D81,ARTICULO!$A$2:$B$1048576,2,FALSE)</f>
        <v>MANI FRITO SALADO KING X KG</v>
      </c>
      <c r="F81" s="7" t="s">
        <v>13</v>
      </c>
      <c r="G81" s="7">
        <v>10.0</v>
      </c>
      <c r="H81" s="8">
        <v>4573.0</v>
      </c>
      <c r="I81" s="8">
        <f t="shared" si="1"/>
        <v>45730</v>
      </c>
    </row>
    <row r="82" ht="15.75" customHeight="1">
      <c r="A82" s="6">
        <v>46037.0</v>
      </c>
      <c r="B82" s="7" t="s">
        <v>58</v>
      </c>
      <c r="C82" s="7" t="s">
        <v>19</v>
      </c>
      <c r="D82" s="7">
        <v>177.0</v>
      </c>
      <c r="E82" s="10" t="str">
        <f>+VLOOKUP(D82,ARTICULO!$A$2:$B$1048576,2,FALSE)</f>
        <v>PREMIUM CACHORRO X 15KG</v>
      </c>
      <c r="F82" s="7" t="s">
        <v>13</v>
      </c>
      <c r="G82" s="7">
        <v>2.0</v>
      </c>
      <c r="H82" s="8">
        <v>33993.0</v>
      </c>
      <c r="I82" s="8">
        <f t="shared" si="1"/>
        <v>67986</v>
      </c>
    </row>
    <row r="83" ht="15.75" customHeight="1">
      <c r="A83" s="6">
        <v>46037.0</v>
      </c>
      <c r="B83" s="7" t="s">
        <v>59</v>
      </c>
      <c r="C83" s="7" t="s">
        <v>19</v>
      </c>
      <c r="D83" s="7">
        <v>703.0</v>
      </c>
      <c r="E83" s="10" t="str">
        <f>+VLOOKUP(D83,ARTICULO!$A$2:$B$1048576,2,FALSE)</f>
        <v>AVENA ARROLLADA</v>
      </c>
      <c r="F83" s="7" t="s">
        <v>13</v>
      </c>
      <c r="G83" s="7">
        <v>20.0</v>
      </c>
      <c r="H83" s="8">
        <v>1505.0</v>
      </c>
      <c r="I83" s="8">
        <f t="shared" si="1"/>
        <v>30100</v>
      </c>
    </row>
    <row r="84" ht="15.75" customHeight="1">
      <c r="A84" s="6">
        <v>46038.0</v>
      </c>
      <c r="B84" s="7" t="s">
        <v>60</v>
      </c>
      <c r="C84" s="7" t="s">
        <v>19</v>
      </c>
      <c r="D84" s="7">
        <v>528.0</v>
      </c>
      <c r="E84" s="10" t="str">
        <f>+VLOOKUP(D84,ARTICULO!$A$2:$B$1048576,2,FALSE)</f>
        <v>CACAO AMARGO</v>
      </c>
      <c r="F84" s="7" t="s">
        <v>31</v>
      </c>
      <c r="G84" s="7">
        <v>1.0</v>
      </c>
      <c r="H84" s="8">
        <v>10353.0</v>
      </c>
      <c r="I84" s="8">
        <f t="shared" si="1"/>
        <v>10353</v>
      </c>
    </row>
    <row r="85" ht="15.75" customHeight="1">
      <c r="A85" s="6">
        <v>46038.0</v>
      </c>
      <c r="B85" s="7" t="s">
        <v>61</v>
      </c>
      <c r="C85" s="7" t="s">
        <v>15</v>
      </c>
      <c r="D85" s="7">
        <v>134.0</v>
      </c>
      <c r="E85" s="10" t="str">
        <f>+VLOOKUP(D85,ARTICULO!$A$2:$B$1048576,2,FALSE)</f>
        <v>BELCAN ADULTOS X 22KG</v>
      </c>
      <c r="F85" s="7" t="s">
        <v>13</v>
      </c>
      <c r="G85" s="7">
        <v>1.0</v>
      </c>
      <c r="H85" s="8">
        <v>32537.0</v>
      </c>
      <c r="I85" s="8">
        <f t="shared" si="1"/>
        <v>32537</v>
      </c>
    </row>
    <row r="86" ht="15.75" customHeight="1">
      <c r="A86" s="6">
        <v>46038.0</v>
      </c>
      <c r="B86" s="7" t="s">
        <v>61</v>
      </c>
      <c r="C86" s="7" t="s">
        <v>15</v>
      </c>
      <c r="D86" s="7">
        <v>464.0</v>
      </c>
      <c r="E86" s="10" t="str">
        <f>+VLOOKUP(D86,ARTICULO!$A$2:$B$1048576,2,FALSE)</f>
        <v>MEZCLA GALLO CON AVENA PELADA</v>
      </c>
      <c r="F86" s="7" t="s">
        <v>13</v>
      </c>
      <c r="G86" s="11">
        <v>30.0</v>
      </c>
      <c r="H86" s="8">
        <v>838.0</v>
      </c>
      <c r="I86" s="8">
        <f t="shared" si="1"/>
        <v>25140</v>
      </c>
    </row>
    <row r="87" ht="15.75" customHeight="1">
      <c r="A87" s="6">
        <v>46038.0</v>
      </c>
      <c r="B87" s="7" t="s">
        <v>62</v>
      </c>
      <c r="C87" s="7" t="s">
        <v>19</v>
      </c>
      <c r="D87" s="7">
        <v>703.0</v>
      </c>
      <c r="E87" s="10" t="str">
        <f>+VLOOKUP(D87,ARTICULO!$A$2:$B$1048576,2,FALSE)</f>
        <v>AVENA ARROLLADA</v>
      </c>
      <c r="F87" s="7" t="s">
        <v>13</v>
      </c>
      <c r="G87" s="7">
        <v>20.0</v>
      </c>
      <c r="H87" s="8">
        <v>1505.0</v>
      </c>
      <c r="I87" s="8">
        <f t="shared" si="1"/>
        <v>30100</v>
      </c>
    </row>
    <row r="88" ht="15.75" customHeight="1">
      <c r="A88" s="6">
        <v>46038.0</v>
      </c>
      <c r="B88" s="7" t="s">
        <v>62</v>
      </c>
      <c r="C88" s="7" t="s">
        <v>19</v>
      </c>
      <c r="D88" s="7">
        <v>704.0</v>
      </c>
      <c r="E88" s="10" t="str">
        <f>+VLOOKUP(D88,ARTICULO!$A$2:$B$1048576,2,FALSE)</f>
        <v>AVENA INSTANTANEA</v>
      </c>
      <c r="F88" s="7" t="s">
        <v>13</v>
      </c>
      <c r="G88" s="7">
        <v>20.0</v>
      </c>
      <c r="H88" s="8">
        <v>1557.0</v>
      </c>
      <c r="I88" s="8">
        <f t="shared" si="1"/>
        <v>31140</v>
      </c>
    </row>
    <row r="89" ht="15.75" customHeight="1">
      <c r="A89" s="6">
        <v>46038.0</v>
      </c>
      <c r="B89" s="7" t="s">
        <v>63</v>
      </c>
      <c r="C89" s="7" t="s">
        <v>11</v>
      </c>
      <c r="D89" s="7">
        <v>722.0</v>
      </c>
      <c r="E89" s="10" t="str">
        <f>+VLOOKUP(D89,ARTICULO!$A$2:$B$1048576,2,FALSE)</f>
        <v>POLENTA</v>
      </c>
      <c r="F89" s="7" t="s">
        <v>31</v>
      </c>
      <c r="G89" s="7">
        <v>10.0</v>
      </c>
      <c r="H89" s="8">
        <v>737.0</v>
      </c>
      <c r="I89" s="8">
        <f t="shared" si="1"/>
        <v>7370</v>
      </c>
    </row>
    <row r="90" ht="15.75" customHeight="1">
      <c r="A90" s="6">
        <v>46039.0</v>
      </c>
      <c r="B90" s="7" t="s">
        <v>29</v>
      </c>
      <c r="C90" s="7" t="s">
        <v>19</v>
      </c>
      <c r="D90" s="7">
        <v>716.0</v>
      </c>
      <c r="E90" s="10" t="str">
        <f>+VLOOKUP(D90,ARTICULO!$A$2:$B$1048576,2,FALSE)</f>
        <v>HARINA P/TAMALES</v>
      </c>
      <c r="F90" s="7" t="s">
        <v>13</v>
      </c>
      <c r="G90" s="7">
        <v>120.0</v>
      </c>
      <c r="H90" s="8">
        <v>449.0</v>
      </c>
      <c r="I90" s="8">
        <f t="shared" si="1"/>
        <v>53880</v>
      </c>
    </row>
    <row r="91" ht="15.75" customHeight="1">
      <c r="A91" s="6">
        <v>46039.0</v>
      </c>
      <c r="B91" s="7" t="s">
        <v>29</v>
      </c>
      <c r="C91" s="7" t="s">
        <v>19</v>
      </c>
      <c r="D91" s="7">
        <v>724.0</v>
      </c>
      <c r="E91" s="10" t="str">
        <f>+VLOOKUP(D91,ARTICULO!$A$2:$B$1048576,2,FALSE)</f>
        <v>POROTO PALLARES</v>
      </c>
      <c r="F91" s="7" t="s">
        <v>13</v>
      </c>
      <c r="G91" s="7">
        <v>50.0</v>
      </c>
      <c r="H91" s="8">
        <v>4995.0</v>
      </c>
      <c r="I91" s="8">
        <f t="shared" si="1"/>
        <v>249750</v>
      </c>
    </row>
    <row r="92" ht="15.75" customHeight="1">
      <c r="A92" s="6">
        <v>46039.0</v>
      </c>
      <c r="B92" s="7" t="s">
        <v>29</v>
      </c>
      <c r="C92" s="7" t="s">
        <v>19</v>
      </c>
      <c r="D92" s="7">
        <v>716.0</v>
      </c>
      <c r="E92" s="10" t="str">
        <f>+VLOOKUP(D92,ARTICULO!$A$2:$B$1048576,2,FALSE)</f>
        <v>HARINA P/TAMALES</v>
      </c>
      <c r="F92" s="7" t="s">
        <v>31</v>
      </c>
      <c r="G92" s="7">
        <v>40.0</v>
      </c>
      <c r="H92" s="8">
        <v>449.0</v>
      </c>
      <c r="I92" s="8">
        <f t="shared" si="1"/>
        <v>17960</v>
      </c>
    </row>
    <row r="93" ht="15.75" customHeight="1">
      <c r="A93" s="6">
        <v>46039.0</v>
      </c>
      <c r="B93" s="7" t="s">
        <v>64</v>
      </c>
      <c r="C93" s="7" t="s">
        <v>15</v>
      </c>
      <c r="D93" s="7">
        <v>716.0</v>
      </c>
      <c r="E93" s="10" t="str">
        <f>+VLOOKUP(D93,ARTICULO!$A$2:$B$1048576,2,FALSE)</f>
        <v>HARINA P/TAMALES</v>
      </c>
      <c r="F93" s="7" t="s">
        <v>31</v>
      </c>
      <c r="G93" s="7">
        <v>200.0</v>
      </c>
      <c r="H93" s="8">
        <v>449.0</v>
      </c>
      <c r="I93" s="8">
        <f t="shared" si="1"/>
        <v>89800</v>
      </c>
    </row>
    <row r="94" ht="15.75" customHeight="1">
      <c r="A94" s="6">
        <v>46039.0</v>
      </c>
      <c r="B94" s="7" t="s">
        <v>65</v>
      </c>
      <c r="C94" s="7" t="s">
        <v>11</v>
      </c>
      <c r="D94" s="7">
        <v>466.0</v>
      </c>
      <c r="E94" s="10" t="str">
        <f>+VLOOKUP(D94,ARTICULO!$A$2:$B$1048576,2,FALSE)</f>
        <v>MEZCLA CON VIT. (CANARIO)</v>
      </c>
      <c r="F94" s="7" t="s">
        <v>13</v>
      </c>
      <c r="G94" s="7">
        <v>30.0</v>
      </c>
      <c r="H94" s="8">
        <v>1366.0</v>
      </c>
      <c r="I94" s="8">
        <f t="shared" si="1"/>
        <v>40980</v>
      </c>
    </row>
    <row r="95" ht="15.75" customHeight="1">
      <c r="A95" s="6">
        <v>46039.0</v>
      </c>
      <c r="B95" s="7" t="s">
        <v>65</v>
      </c>
      <c r="C95" s="7" t="s">
        <v>11</v>
      </c>
      <c r="D95" s="7">
        <v>703.0</v>
      </c>
      <c r="E95" s="10" t="str">
        <f>+VLOOKUP(D95,ARTICULO!$A$2:$B$1048576,2,FALSE)</f>
        <v>AVENA ARROLLADA</v>
      </c>
      <c r="F95" s="7" t="s">
        <v>13</v>
      </c>
      <c r="G95" s="7">
        <v>20.0</v>
      </c>
      <c r="H95" s="8">
        <v>1505.0</v>
      </c>
      <c r="I95" s="8">
        <f t="shared" si="1"/>
        <v>30100</v>
      </c>
    </row>
    <row r="96" ht="15.75" customHeight="1">
      <c r="A96" s="6">
        <v>46039.0</v>
      </c>
      <c r="B96" s="7" t="s">
        <v>65</v>
      </c>
      <c r="C96" s="7" t="s">
        <v>11</v>
      </c>
      <c r="D96" s="7">
        <v>406.0</v>
      </c>
      <c r="E96" s="10" t="str">
        <f>+VLOOKUP(D96,ARTICULO!$A$2:$B$1048576,2,FALSE)</f>
        <v>MIX SEMILLAS</v>
      </c>
      <c r="F96" s="7" t="s">
        <v>13</v>
      </c>
      <c r="G96" s="7">
        <v>20.0</v>
      </c>
      <c r="H96" s="8">
        <v>3404.0</v>
      </c>
      <c r="I96" s="8">
        <f t="shared" si="1"/>
        <v>68080</v>
      </c>
    </row>
    <row r="97" ht="15.75" customHeight="1">
      <c r="A97" s="6">
        <v>46039.0</v>
      </c>
      <c r="B97" s="7" t="s">
        <v>65</v>
      </c>
      <c r="C97" s="7" t="s">
        <v>11</v>
      </c>
      <c r="D97" s="7">
        <v>320.0</v>
      </c>
      <c r="E97" s="10" t="str">
        <f>+VLOOKUP(D97,ARTICULO!$A$2:$B$1048576,2,FALSE)</f>
        <v>BOLITAS DE CHOCOLATE x 2.5 Kg</v>
      </c>
      <c r="F97" s="7" t="s">
        <v>13</v>
      </c>
      <c r="G97" s="7">
        <v>1.0</v>
      </c>
      <c r="H97" s="8">
        <v>10421.0</v>
      </c>
      <c r="I97" s="8">
        <f t="shared" si="1"/>
        <v>10421</v>
      </c>
    </row>
    <row r="98" ht="15.75" customHeight="1">
      <c r="A98" s="12"/>
      <c r="B98" s="7"/>
      <c r="C98" s="7"/>
      <c r="D98" s="7"/>
      <c r="E98" s="7" t="str">
        <f>+VLOOKUP(D98,ARTICULO!$A$2:$B$1048576,2,FALSE)</f>
        <v>#N/A</v>
      </c>
      <c r="F98" s="7"/>
      <c r="G98" s="7"/>
      <c r="H98" s="8"/>
      <c r="I98" s="8">
        <f t="shared" si="1"/>
        <v>0</v>
      </c>
    </row>
    <row r="99" ht="15.75" customHeight="1">
      <c r="A99" s="12"/>
      <c r="B99" s="7"/>
      <c r="C99" s="7"/>
      <c r="D99" s="7"/>
      <c r="E99" s="7" t="str">
        <f>+VLOOKUP(D99,ARTICULO!$A$2:$B$1048576,2,FALSE)</f>
        <v>#N/A</v>
      </c>
      <c r="F99" s="7"/>
      <c r="G99" s="7"/>
      <c r="H99" s="13"/>
      <c r="I99" s="13">
        <f t="shared" si="1"/>
        <v>0</v>
      </c>
    </row>
    <row r="100" ht="15.75" customHeight="1">
      <c r="A100" s="9"/>
      <c r="B100" s="14"/>
      <c r="C100" s="14"/>
      <c r="D100" s="14"/>
      <c r="E100" s="14"/>
      <c r="F100" s="14"/>
      <c r="G100" s="14"/>
      <c r="H100" s="15" t="s">
        <v>9</v>
      </c>
      <c r="I100" s="16">
        <f>SUM(I3:I97)</f>
        <v>5899519</v>
      </c>
    </row>
    <row r="101" ht="15.75" customHeight="1">
      <c r="A101" s="9"/>
      <c r="B101" s="14"/>
      <c r="C101" s="14"/>
      <c r="D101" s="14"/>
      <c r="E101" s="14"/>
      <c r="F101" s="14"/>
      <c r="G101" s="14"/>
      <c r="H101" s="17"/>
      <c r="I101" s="17"/>
    </row>
    <row r="102" ht="15.75" customHeight="1">
      <c r="A102" s="9"/>
      <c r="B102" s="14"/>
      <c r="C102" s="14"/>
      <c r="D102" s="14"/>
      <c r="E102" s="14"/>
      <c r="F102" s="14"/>
      <c r="G102" s="14"/>
      <c r="H102" s="17"/>
      <c r="I102" s="17"/>
    </row>
    <row r="103" ht="15.75" customHeight="1">
      <c r="A103" s="9"/>
      <c r="B103" s="14"/>
      <c r="C103" s="14"/>
      <c r="D103" s="14"/>
      <c r="G103" s="14"/>
      <c r="H103" s="17"/>
      <c r="I103" s="17"/>
    </row>
    <row r="104" ht="15.75" customHeight="1">
      <c r="A104" s="9"/>
      <c r="B104" s="14"/>
      <c r="C104" s="14"/>
      <c r="D104" s="14"/>
      <c r="G104" s="14"/>
      <c r="H104" s="17"/>
      <c r="I104" s="17"/>
    </row>
    <row r="105" ht="15.75" customHeight="1">
      <c r="A105" s="9"/>
      <c r="B105" s="14"/>
      <c r="C105" s="14"/>
      <c r="D105" s="14"/>
      <c r="G105" s="14"/>
      <c r="H105" s="17"/>
      <c r="I105" s="17"/>
    </row>
    <row r="106" ht="15.75" customHeight="1">
      <c r="A106" s="9"/>
      <c r="B106" s="14"/>
      <c r="C106" s="14"/>
      <c r="D106" s="14"/>
      <c r="G106" s="14"/>
      <c r="H106" s="17"/>
      <c r="I106" s="17"/>
    </row>
    <row r="107" ht="15.75" customHeight="1">
      <c r="A107" s="9"/>
      <c r="B107" s="14"/>
      <c r="C107" s="14"/>
      <c r="D107" s="14"/>
      <c r="G107" s="14"/>
      <c r="H107" s="17"/>
      <c r="I107" s="17"/>
    </row>
    <row r="108" ht="15.75" customHeight="1">
      <c r="A108" s="9"/>
      <c r="B108" s="14"/>
      <c r="C108" s="14"/>
      <c r="D108" s="14"/>
      <c r="G108" s="14"/>
      <c r="H108" s="17"/>
      <c r="I108" s="17"/>
    </row>
    <row r="109" ht="15.75" customHeight="1">
      <c r="A109" s="9"/>
      <c r="B109" s="14"/>
      <c r="C109" s="14"/>
      <c r="D109" s="14"/>
      <c r="G109" s="14"/>
      <c r="H109" s="17"/>
      <c r="I109" s="17"/>
    </row>
    <row r="110" ht="15.75" customHeight="1">
      <c r="A110" s="9"/>
      <c r="B110" s="14"/>
      <c r="C110" s="14"/>
      <c r="D110" s="14"/>
      <c r="G110" s="14"/>
      <c r="H110" s="17"/>
      <c r="I110" s="17"/>
    </row>
    <row r="111" ht="15.75" customHeight="1">
      <c r="A111" s="9"/>
      <c r="B111" s="14"/>
      <c r="C111" s="14"/>
      <c r="D111" s="14"/>
      <c r="G111" s="14"/>
      <c r="H111" s="17"/>
      <c r="I111" s="17"/>
    </row>
    <row r="112" ht="15.75" customHeight="1">
      <c r="A112" s="9"/>
      <c r="B112" s="14"/>
      <c r="C112" s="14"/>
      <c r="D112" s="14"/>
      <c r="G112" s="14"/>
      <c r="H112" s="17"/>
      <c r="I112" s="17"/>
    </row>
    <row r="113" ht="15.75" customHeight="1">
      <c r="A113" s="9"/>
      <c r="B113" s="14"/>
      <c r="C113" s="14"/>
      <c r="D113" s="14"/>
      <c r="G113" s="14"/>
      <c r="H113" s="17"/>
      <c r="I113" s="17"/>
    </row>
    <row r="114" ht="15.75" customHeight="1">
      <c r="A114" s="9"/>
      <c r="B114" s="14"/>
      <c r="C114" s="14"/>
      <c r="D114" s="14"/>
      <c r="G114" s="14"/>
      <c r="H114" s="17"/>
      <c r="I114" s="17"/>
    </row>
    <row r="115" ht="15.75" customHeight="1">
      <c r="A115" s="9"/>
      <c r="B115" s="14"/>
      <c r="C115" s="14"/>
      <c r="D115" s="14"/>
      <c r="G115" s="14"/>
      <c r="H115" s="17"/>
      <c r="I115" s="17"/>
    </row>
    <row r="116" ht="15.75" customHeight="1">
      <c r="A116" s="9"/>
      <c r="B116" s="14"/>
      <c r="C116" s="14"/>
      <c r="D116" s="14"/>
      <c r="G116" s="14"/>
      <c r="H116" s="17"/>
      <c r="I116" s="17"/>
    </row>
    <row r="117" ht="15.75" customHeight="1">
      <c r="A117" s="9"/>
      <c r="B117" s="14"/>
      <c r="C117" s="14"/>
      <c r="D117" s="14"/>
      <c r="G117" s="14"/>
      <c r="H117" s="17"/>
      <c r="I117" s="17"/>
    </row>
    <row r="118" ht="15.75" customHeight="1">
      <c r="A118" s="9"/>
      <c r="B118" s="14"/>
      <c r="C118" s="14"/>
      <c r="D118" s="14"/>
      <c r="G118" s="14"/>
      <c r="H118" s="17"/>
      <c r="I118" s="17"/>
    </row>
    <row r="119" ht="15.75" customHeight="1">
      <c r="A119" s="9"/>
      <c r="B119" s="14"/>
      <c r="C119" s="14"/>
      <c r="D119" s="14"/>
      <c r="G119" s="14"/>
      <c r="H119" s="17"/>
      <c r="I119" s="17"/>
    </row>
    <row r="120" ht="15.75" customHeight="1">
      <c r="A120" s="9"/>
      <c r="B120" s="14"/>
      <c r="C120" s="14"/>
      <c r="D120" s="14"/>
      <c r="G120" s="14"/>
      <c r="H120" s="17"/>
      <c r="I120" s="17"/>
    </row>
    <row r="121" ht="15.75" customHeight="1">
      <c r="A121" s="9"/>
      <c r="B121" s="14"/>
      <c r="C121" s="14"/>
      <c r="D121" s="14"/>
      <c r="G121" s="14"/>
      <c r="H121" s="17"/>
      <c r="I121" s="17"/>
    </row>
    <row r="122" ht="15.75" customHeight="1">
      <c r="A122" s="9"/>
      <c r="B122" s="14"/>
      <c r="C122" s="14"/>
      <c r="D122" s="14"/>
      <c r="G122" s="14"/>
      <c r="H122" s="17"/>
      <c r="I122" s="17"/>
    </row>
    <row r="123" ht="15.75" customHeight="1">
      <c r="A123" s="9"/>
      <c r="B123" s="14"/>
      <c r="C123" s="14"/>
      <c r="D123" s="14"/>
      <c r="G123" s="14"/>
      <c r="H123" s="17"/>
      <c r="I123" s="17"/>
    </row>
    <row r="124" ht="15.75" customHeight="1">
      <c r="A124" s="9"/>
      <c r="B124" s="14"/>
      <c r="C124" s="14"/>
      <c r="D124" s="14"/>
      <c r="G124" s="14"/>
      <c r="H124" s="17"/>
      <c r="I124" s="17"/>
    </row>
    <row r="125" ht="15.75" customHeight="1">
      <c r="A125" s="9"/>
      <c r="B125" s="14"/>
      <c r="C125" s="14"/>
      <c r="D125" s="14"/>
      <c r="G125" s="14"/>
      <c r="H125" s="17"/>
      <c r="I125" s="17"/>
    </row>
    <row r="126" ht="15.75" customHeight="1">
      <c r="A126" s="9"/>
      <c r="B126" s="14"/>
      <c r="C126" s="14"/>
      <c r="D126" s="14"/>
      <c r="G126" s="14"/>
      <c r="H126" s="17"/>
      <c r="I126" s="17"/>
    </row>
    <row r="127" ht="15.75" customHeight="1">
      <c r="A127" s="9"/>
      <c r="B127" s="14"/>
      <c r="C127" s="14"/>
      <c r="D127" s="14"/>
      <c r="G127" s="14"/>
      <c r="H127" s="17"/>
      <c r="I127" s="17"/>
    </row>
    <row r="128" ht="15.75" customHeight="1">
      <c r="A128" s="9"/>
      <c r="B128" s="14"/>
      <c r="C128" s="14"/>
      <c r="D128" s="14"/>
      <c r="G128" s="14"/>
      <c r="H128" s="17"/>
      <c r="I128" s="17"/>
    </row>
    <row r="129" ht="15.75" customHeight="1">
      <c r="A129" s="9"/>
      <c r="B129" s="14"/>
      <c r="C129" s="14"/>
      <c r="D129" s="14"/>
      <c r="G129" s="14"/>
      <c r="H129" s="17"/>
      <c r="I129" s="17"/>
    </row>
    <row r="130" ht="15.75" customHeight="1">
      <c r="A130" s="9"/>
      <c r="B130" s="14"/>
      <c r="C130" s="14"/>
      <c r="D130" s="14"/>
      <c r="G130" s="14"/>
      <c r="H130" s="17"/>
      <c r="I130" s="17"/>
    </row>
    <row r="131" ht="15.75" customHeight="1">
      <c r="A131" s="9"/>
      <c r="B131" s="14"/>
      <c r="C131" s="14"/>
      <c r="D131" s="14"/>
      <c r="G131" s="14"/>
      <c r="H131" s="17"/>
      <c r="I131" s="17"/>
    </row>
    <row r="132" ht="15.75" customHeight="1">
      <c r="A132" s="9"/>
      <c r="B132" s="14"/>
      <c r="C132" s="14"/>
      <c r="D132" s="14"/>
      <c r="G132" s="14"/>
      <c r="H132" s="17"/>
      <c r="I132" s="17"/>
    </row>
    <row r="133" ht="15.75" customHeight="1">
      <c r="A133" s="9"/>
      <c r="B133" s="14"/>
      <c r="C133" s="14"/>
      <c r="D133" s="14"/>
      <c r="G133" s="14"/>
      <c r="H133" s="17"/>
      <c r="I133" s="17"/>
    </row>
    <row r="134" ht="15.75" customHeight="1">
      <c r="A134" s="9"/>
      <c r="B134" s="14"/>
      <c r="C134" s="14"/>
      <c r="D134" s="14"/>
      <c r="G134" s="14"/>
      <c r="H134" s="17"/>
      <c r="I134" s="17"/>
    </row>
    <row r="135" ht="15.75" customHeight="1">
      <c r="A135" s="9"/>
      <c r="B135" s="14"/>
      <c r="C135" s="14"/>
      <c r="D135" s="14"/>
      <c r="G135" s="14"/>
      <c r="H135" s="17"/>
      <c r="I135" s="17"/>
    </row>
    <row r="136" ht="15.75" customHeight="1">
      <c r="A136" s="9"/>
      <c r="B136" s="14"/>
      <c r="C136" s="14"/>
      <c r="D136" s="14"/>
      <c r="G136" s="14"/>
      <c r="H136" s="17"/>
      <c r="I136" s="17"/>
    </row>
    <row r="137" ht="15.75" customHeight="1">
      <c r="A137" s="9"/>
      <c r="B137" s="14"/>
      <c r="C137" s="14"/>
      <c r="D137" s="14"/>
      <c r="G137" s="14"/>
      <c r="H137" s="17"/>
      <c r="I137" s="17"/>
    </row>
    <row r="138" ht="15.75" customHeight="1">
      <c r="A138" s="9"/>
      <c r="B138" s="14"/>
      <c r="C138" s="14"/>
      <c r="D138" s="14"/>
      <c r="G138" s="14"/>
      <c r="H138" s="17"/>
      <c r="I138" s="17"/>
    </row>
    <row r="139" ht="15.75" customHeight="1">
      <c r="A139" s="9"/>
      <c r="B139" s="14"/>
      <c r="C139" s="14"/>
      <c r="D139" s="14"/>
      <c r="G139" s="14"/>
      <c r="H139" s="17"/>
      <c r="I139" s="17"/>
    </row>
    <row r="140" ht="15.75" customHeight="1">
      <c r="A140" s="9"/>
      <c r="B140" s="14"/>
      <c r="C140" s="14"/>
      <c r="D140" s="14"/>
      <c r="G140" s="14"/>
      <c r="H140" s="17"/>
      <c r="I140" s="17"/>
    </row>
    <row r="141" ht="15.75" customHeight="1">
      <c r="A141" s="9"/>
      <c r="B141" s="14"/>
      <c r="C141" s="14"/>
      <c r="D141" s="14"/>
      <c r="G141" s="14"/>
      <c r="H141" s="17"/>
      <c r="I141" s="17"/>
    </row>
    <row r="142" ht="15.75" customHeight="1">
      <c r="A142" s="9"/>
      <c r="B142" s="14"/>
      <c r="C142" s="14"/>
      <c r="D142" s="14"/>
      <c r="G142" s="14"/>
      <c r="H142" s="17"/>
      <c r="I142" s="17"/>
    </row>
    <row r="143" ht="15.75" customHeight="1">
      <c r="A143" s="9"/>
      <c r="B143" s="14"/>
      <c r="C143" s="14"/>
      <c r="D143" s="14"/>
      <c r="G143" s="14"/>
      <c r="H143" s="17"/>
      <c r="I143" s="17"/>
    </row>
    <row r="144" ht="15.75" customHeight="1">
      <c r="A144" s="9"/>
      <c r="B144" s="14"/>
      <c r="C144" s="14"/>
      <c r="D144" s="14"/>
      <c r="G144" s="14"/>
      <c r="H144" s="17"/>
      <c r="I144" s="17"/>
    </row>
    <row r="145" ht="15.75" customHeight="1">
      <c r="A145" s="9"/>
      <c r="B145" s="14"/>
      <c r="C145" s="14"/>
      <c r="D145" s="14"/>
      <c r="G145" s="14"/>
      <c r="H145" s="17"/>
      <c r="I145" s="17"/>
    </row>
    <row r="146" ht="15.75" customHeight="1">
      <c r="A146" s="9"/>
      <c r="B146" s="14"/>
      <c r="C146" s="14"/>
      <c r="D146" s="14"/>
      <c r="G146" s="14"/>
      <c r="H146" s="17"/>
      <c r="I146" s="17"/>
    </row>
    <row r="147" ht="15.75" customHeight="1">
      <c r="A147" s="9"/>
      <c r="B147" s="14"/>
      <c r="C147" s="14"/>
      <c r="D147" s="14"/>
      <c r="G147" s="14"/>
      <c r="H147" s="17"/>
      <c r="I147" s="17"/>
    </row>
    <row r="148" ht="15.75" customHeight="1">
      <c r="A148" s="9"/>
      <c r="B148" s="14"/>
      <c r="C148" s="14"/>
      <c r="D148" s="14"/>
      <c r="G148" s="14"/>
      <c r="H148" s="17"/>
      <c r="I148" s="17"/>
    </row>
    <row r="149" ht="15.75" customHeight="1">
      <c r="A149" s="9"/>
      <c r="B149" s="14"/>
      <c r="C149" s="14"/>
      <c r="D149" s="14"/>
      <c r="G149" s="14"/>
      <c r="H149" s="17"/>
      <c r="I149" s="17"/>
    </row>
    <row r="150" ht="15.75" customHeight="1">
      <c r="A150" s="9"/>
      <c r="B150" s="14"/>
      <c r="C150" s="14"/>
      <c r="D150" s="14"/>
      <c r="G150" s="14"/>
      <c r="H150" s="17"/>
      <c r="I150" s="17"/>
    </row>
    <row r="151" ht="15.75" customHeight="1">
      <c r="A151" s="9"/>
      <c r="B151" s="14"/>
      <c r="C151" s="14"/>
      <c r="D151" s="14"/>
      <c r="E151" s="14"/>
      <c r="F151" s="14"/>
      <c r="G151" s="14"/>
      <c r="H151" s="17"/>
      <c r="I151" s="17"/>
    </row>
    <row r="152" ht="15.75" customHeight="1">
      <c r="A152" s="9"/>
      <c r="B152" s="14"/>
      <c r="C152" s="14"/>
      <c r="D152" s="14"/>
      <c r="E152" s="14"/>
      <c r="F152" s="14"/>
      <c r="G152" s="14"/>
      <c r="H152" s="17"/>
      <c r="I152" s="17"/>
    </row>
    <row r="153" ht="15.75" customHeight="1">
      <c r="A153" s="9"/>
      <c r="B153" s="14"/>
      <c r="C153" s="14"/>
      <c r="D153" s="14"/>
      <c r="E153" s="14"/>
      <c r="F153" s="14"/>
      <c r="G153" s="14"/>
      <c r="H153" s="17"/>
      <c r="I153" s="17"/>
    </row>
    <row r="154" ht="15.75" customHeight="1">
      <c r="A154" s="9"/>
      <c r="B154" s="14"/>
      <c r="C154" s="14"/>
      <c r="D154" s="14"/>
      <c r="E154" s="14"/>
      <c r="F154" s="14"/>
      <c r="G154" s="14"/>
      <c r="H154" s="17"/>
      <c r="I154" s="17"/>
    </row>
    <row r="155" ht="15.75" customHeight="1">
      <c r="A155" s="9"/>
      <c r="B155" s="14"/>
      <c r="C155" s="14"/>
      <c r="D155" s="14"/>
      <c r="E155" s="14"/>
      <c r="F155" s="14"/>
      <c r="G155" s="14"/>
      <c r="H155" s="17"/>
      <c r="I155" s="17"/>
    </row>
    <row r="156" ht="15.75" customHeight="1">
      <c r="A156" s="9"/>
      <c r="B156" s="14"/>
      <c r="C156" s="14"/>
      <c r="D156" s="14"/>
      <c r="E156" s="14"/>
      <c r="F156" s="14"/>
      <c r="G156" s="14"/>
      <c r="H156" s="17"/>
      <c r="I156" s="17"/>
    </row>
    <row r="157" ht="15.75" customHeight="1">
      <c r="A157" s="9"/>
      <c r="B157" s="14"/>
      <c r="C157" s="14"/>
      <c r="D157" s="14"/>
      <c r="E157" s="14"/>
      <c r="F157" s="14"/>
      <c r="G157" s="14"/>
      <c r="H157" s="17"/>
      <c r="I157" s="17"/>
    </row>
    <row r="158" ht="15.75" customHeight="1">
      <c r="A158" s="9"/>
      <c r="B158" s="14"/>
      <c r="C158" s="14"/>
      <c r="D158" s="14"/>
      <c r="E158" s="14"/>
      <c r="F158" s="14"/>
      <c r="G158" s="14"/>
      <c r="H158" s="17"/>
      <c r="I158" s="17"/>
    </row>
    <row r="159" ht="15.75" customHeight="1">
      <c r="A159" s="9"/>
      <c r="B159" s="14"/>
      <c r="C159" s="14"/>
      <c r="D159" s="14"/>
      <c r="E159" s="14"/>
      <c r="F159" s="14"/>
      <c r="G159" s="14"/>
      <c r="H159" s="17"/>
      <c r="I159" s="17"/>
    </row>
    <row r="160" ht="15.75" customHeight="1">
      <c r="A160" s="9"/>
      <c r="B160" s="14"/>
      <c r="C160" s="14"/>
      <c r="D160" s="14"/>
      <c r="E160" s="14"/>
      <c r="F160" s="14"/>
      <c r="G160" s="14"/>
      <c r="H160" s="18"/>
      <c r="I160" s="17"/>
    </row>
    <row r="161" ht="15.75" customHeight="1">
      <c r="A161" s="14"/>
      <c r="B161" s="14"/>
      <c r="C161" s="14"/>
      <c r="D161" s="14"/>
      <c r="E161" s="14"/>
      <c r="F161" s="14"/>
      <c r="G161" s="17"/>
      <c r="H161" s="17"/>
      <c r="I161" s="17"/>
    </row>
    <row r="162" ht="15.75" customHeight="1">
      <c r="A162" s="14"/>
      <c r="B162" s="14"/>
      <c r="C162" s="14"/>
      <c r="D162" s="19"/>
      <c r="E162" s="14"/>
      <c r="F162" s="14"/>
      <c r="G162" s="17"/>
      <c r="H162" s="9"/>
      <c r="I162" s="17"/>
    </row>
    <row r="163" ht="15.75" customHeight="1">
      <c r="A163" s="14"/>
      <c r="B163" s="14"/>
      <c r="C163" s="14"/>
      <c r="D163" s="20"/>
      <c r="E163" s="14"/>
      <c r="F163" s="14"/>
      <c r="G163" s="17"/>
      <c r="H163" s="17"/>
      <c r="I163" s="17"/>
    </row>
    <row r="164" ht="15.75" customHeight="1">
      <c r="A164" s="14"/>
      <c r="B164" s="14"/>
      <c r="C164" s="14"/>
      <c r="D164" s="19"/>
      <c r="E164" s="14"/>
      <c r="F164" s="14"/>
      <c r="G164" s="14"/>
      <c r="H164" s="14"/>
      <c r="I164" s="17"/>
    </row>
    <row r="165" ht="15.75" customHeight="1">
      <c r="A165" s="14"/>
      <c r="B165" s="14"/>
      <c r="C165" s="14"/>
      <c r="D165" s="19"/>
      <c r="E165" s="14"/>
      <c r="F165" s="14"/>
      <c r="G165" s="14"/>
      <c r="H165" s="14"/>
      <c r="I165" s="17"/>
    </row>
    <row r="166" ht="15.75" customHeight="1">
      <c r="A166" s="14"/>
      <c r="B166" s="14"/>
      <c r="C166" s="14"/>
      <c r="D166" s="19"/>
      <c r="E166" s="14"/>
      <c r="F166" s="14"/>
      <c r="G166" s="14"/>
      <c r="H166" s="14"/>
      <c r="I166" s="17"/>
    </row>
    <row r="167" ht="15.75" customHeight="1">
      <c r="A167" s="14"/>
      <c r="B167" s="14"/>
      <c r="C167" s="14"/>
      <c r="D167" s="21"/>
      <c r="E167" s="14"/>
      <c r="F167" s="14"/>
      <c r="G167" s="14"/>
      <c r="H167" s="14"/>
      <c r="I167" s="17"/>
    </row>
    <row r="168" ht="15.75" customHeight="1">
      <c r="A168" s="14"/>
      <c r="B168" s="14"/>
      <c r="C168" s="14"/>
      <c r="D168" s="19"/>
      <c r="E168" s="14"/>
      <c r="F168" s="14"/>
      <c r="G168" s="14"/>
      <c r="H168" s="14"/>
      <c r="I168" s="17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7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7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7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7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7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7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7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7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7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7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7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7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7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7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7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7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7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7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7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7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7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7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7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7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7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7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7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7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7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7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7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7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7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7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7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7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7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7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7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7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7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7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7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7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7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7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7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7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7"/>
    </row>
    <row r="218" ht="15.75" customHeight="1">
      <c r="A218" s="14"/>
      <c r="B218" s="14"/>
      <c r="C218" s="14"/>
      <c r="D218" s="14"/>
      <c r="E218" s="14"/>
      <c r="F218" s="14"/>
      <c r="G218" s="14"/>
      <c r="H218" s="18"/>
      <c r="I218" s="17"/>
    </row>
    <row r="219" ht="15.75" customHeight="1">
      <c r="A219" s="14"/>
      <c r="B219" s="14"/>
      <c r="C219" s="14"/>
      <c r="D219" s="14"/>
      <c r="E219" s="22" t="s">
        <v>66</v>
      </c>
      <c r="F219" s="3"/>
      <c r="G219" s="14"/>
    </row>
    <row r="220" ht="15.75" customHeight="1">
      <c r="A220" s="14"/>
      <c r="B220" s="14"/>
      <c r="C220" s="14"/>
      <c r="D220" s="14"/>
      <c r="E220" s="23" t="s">
        <v>12</v>
      </c>
      <c r="F220" s="24">
        <f>+SUMIF(F287:F333,E220,I119:I334)</f>
        <v>0</v>
      </c>
      <c r="G220" s="14"/>
      <c r="H220" s="14"/>
    </row>
    <row r="221" ht="15.75" customHeight="1">
      <c r="A221" s="14"/>
      <c r="B221" s="14"/>
      <c r="C221" s="14"/>
      <c r="D221" s="14"/>
      <c r="E221" s="25" t="s">
        <v>67</v>
      </c>
      <c r="F221" s="26">
        <f>+SUMIF(F287:F334,E221,I119:I334)</f>
        <v>0</v>
      </c>
      <c r="G221" s="14"/>
      <c r="H221" s="14"/>
    </row>
    <row r="222" ht="15.75" customHeight="1">
      <c r="A222" s="14"/>
      <c r="B222" s="14"/>
      <c r="C222" s="14"/>
      <c r="D222" s="14"/>
      <c r="E222" s="25" t="s">
        <v>31</v>
      </c>
      <c r="F222" s="26">
        <f>+SUMIF(F287:F334,E222,I119:I334)</f>
        <v>0</v>
      </c>
      <c r="G222" s="14"/>
      <c r="H222" s="14"/>
    </row>
    <row r="223" ht="15.75" customHeight="1">
      <c r="A223" s="14"/>
      <c r="B223" s="14"/>
      <c r="C223" s="14"/>
      <c r="D223" s="14"/>
      <c r="E223" s="25" t="s">
        <v>21</v>
      </c>
      <c r="F223" s="26">
        <f>+SUMIF(F287:F334,E223,I119:I334)</f>
        <v>0</v>
      </c>
      <c r="G223" s="14"/>
      <c r="H223" s="14"/>
    </row>
    <row r="224" ht="15.75" customHeight="1">
      <c r="A224" s="14"/>
      <c r="B224" s="14"/>
      <c r="C224" s="14"/>
      <c r="D224" s="14"/>
      <c r="E224" s="25" t="s">
        <v>13</v>
      </c>
      <c r="F224" s="26">
        <f>+SUMIF(F287:F334,E224,I119:I334)</f>
        <v>0</v>
      </c>
      <c r="G224" s="14"/>
      <c r="H224" s="14"/>
    </row>
    <row r="225" ht="15.75" customHeight="1">
      <c r="A225" s="14"/>
      <c r="B225" s="14"/>
      <c r="C225" s="14"/>
      <c r="D225" s="14"/>
      <c r="E225" s="25" t="s">
        <v>68</v>
      </c>
      <c r="F225" s="26">
        <f>+SUMIF(F287:F334,E225,I119:I334)</f>
        <v>0</v>
      </c>
      <c r="G225" s="14"/>
      <c r="H225" s="14"/>
    </row>
    <row r="226" ht="15.75" customHeight="1">
      <c r="A226" s="14"/>
      <c r="B226" s="14"/>
      <c r="C226" s="14"/>
      <c r="D226" s="14"/>
      <c r="E226" s="25" t="s">
        <v>69</v>
      </c>
      <c r="F226" s="26">
        <f>+SUMIF(F287:F334,E226,I119:I334)</f>
        <v>0</v>
      </c>
      <c r="G226" s="14"/>
      <c r="H226" s="14"/>
    </row>
    <row r="227" ht="15.75" customHeight="1">
      <c r="A227" s="14"/>
      <c r="B227" s="14"/>
      <c r="C227" s="14"/>
      <c r="D227" s="14"/>
      <c r="E227" s="27" t="s">
        <v>9</v>
      </c>
      <c r="F227" s="28">
        <f>+SUM(F220:F226)</f>
        <v>0</v>
      </c>
      <c r="G227" s="14"/>
      <c r="H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</row>
    <row r="230" ht="15.75" customHeight="1">
      <c r="A230" s="14"/>
      <c r="B230" s="14"/>
      <c r="C230" s="14"/>
      <c r="D230" s="14"/>
      <c r="E230" s="29" t="s">
        <v>70</v>
      </c>
      <c r="F230" s="30" t="s">
        <v>19</v>
      </c>
      <c r="G230" s="14"/>
      <c r="H230" s="14"/>
    </row>
    <row r="231" ht="15.75" customHeight="1">
      <c r="A231" s="14"/>
      <c r="B231" s="14"/>
      <c r="C231" s="14"/>
      <c r="D231" s="14"/>
      <c r="E231" s="31" t="s">
        <v>12</v>
      </c>
      <c r="F231" s="32">
        <f t="shared" ref="F231:F236" si="2">+SUMIFS($I$3:$I$218,$C$3:$C$218,$F$282,$F$3:$F$218,E231)</f>
        <v>84099</v>
      </c>
      <c r="G231" s="14"/>
      <c r="H231" s="14"/>
    </row>
    <row r="232" ht="15.75" customHeight="1">
      <c r="A232" s="14"/>
      <c r="B232" s="14"/>
      <c r="C232" s="14"/>
      <c r="D232" s="14"/>
      <c r="E232" s="33" t="s">
        <v>67</v>
      </c>
      <c r="F232" s="34">
        <f t="shared" si="2"/>
        <v>0</v>
      </c>
      <c r="G232" s="14"/>
      <c r="H232" s="14"/>
    </row>
    <row r="233" ht="15.75" customHeight="1">
      <c r="A233" s="14"/>
      <c r="B233" s="14"/>
      <c r="C233" s="14"/>
      <c r="D233" s="14"/>
      <c r="E233" s="33" t="s">
        <v>31</v>
      </c>
      <c r="F233" s="34">
        <f t="shared" si="2"/>
        <v>43433</v>
      </c>
      <c r="G233" s="14"/>
      <c r="H233" s="14"/>
    </row>
    <row r="234" ht="15.75" customHeight="1">
      <c r="A234" s="14"/>
      <c r="B234" s="14"/>
      <c r="C234" s="14"/>
      <c r="D234" s="14"/>
      <c r="E234" s="33" t="s">
        <v>21</v>
      </c>
      <c r="F234" s="34">
        <f t="shared" si="2"/>
        <v>0</v>
      </c>
      <c r="G234" s="14"/>
      <c r="H234" s="14"/>
    </row>
    <row r="235" ht="15.75" customHeight="1">
      <c r="A235" s="14"/>
      <c r="B235" s="14"/>
      <c r="C235" s="14"/>
      <c r="D235" s="14"/>
      <c r="E235" s="33" t="s">
        <v>13</v>
      </c>
      <c r="F235" s="34">
        <f t="shared" si="2"/>
        <v>2939751</v>
      </c>
      <c r="G235" s="14"/>
      <c r="H235" s="14"/>
    </row>
    <row r="236" ht="15.75" customHeight="1">
      <c r="A236" s="14"/>
      <c r="B236" s="14"/>
      <c r="C236" s="14"/>
      <c r="D236" s="14"/>
      <c r="E236" s="35" t="s">
        <v>68</v>
      </c>
      <c r="F236" s="36">
        <f t="shared" si="2"/>
        <v>0</v>
      </c>
      <c r="G236" s="14"/>
      <c r="H236" s="14"/>
    </row>
    <row r="237" ht="15.75" customHeight="1">
      <c r="A237" s="14"/>
      <c r="B237" s="14"/>
      <c r="C237" s="14"/>
      <c r="D237" s="14"/>
      <c r="E237" s="37" t="s">
        <v>9</v>
      </c>
      <c r="F237" s="38">
        <f>+SUM(F231:F236)</f>
        <v>3067283</v>
      </c>
      <c r="G237" s="14"/>
      <c r="H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</row>
    <row r="239" ht="15.75" customHeight="1">
      <c r="A239" s="14"/>
      <c r="B239" s="14"/>
      <c r="C239" s="14"/>
      <c r="D239" s="14"/>
      <c r="E239" s="29" t="s">
        <v>70</v>
      </c>
      <c r="F239" s="39" t="s">
        <v>11</v>
      </c>
      <c r="G239" s="14"/>
      <c r="H239" s="14"/>
    </row>
    <row r="240" ht="15.75" customHeight="1">
      <c r="A240" s="14"/>
      <c r="B240" s="14"/>
      <c r="C240" s="14"/>
      <c r="D240" s="14"/>
      <c r="E240" s="31" t="s">
        <v>12</v>
      </c>
      <c r="F240" s="32">
        <f t="shared" ref="F240:F245" si="3">+SUMIFS($I$3:$I$218,$C$3:$C$218,$F$291,$F$3:$F$218,E240)</f>
        <v>51882</v>
      </c>
      <c r="G240" s="14"/>
      <c r="H240" s="14"/>
    </row>
    <row r="241" ht="15.75" customHeight="1">
      <c r="A241" s="14"/>
      <c r="B241" s="14"/>
      <c r="C241" s="14"/>
      <c r="D241" s="14"/>
      <c r="E241" s="33" t="s">
        <v>67</v>
      </c>
      <c r="F241" s="32">
        <f t="shared" si="3"/>
        <v>0</v>
      </c>
      <c r="G241" s="14"/>
      <c r="H241" s="14"/>
    </row>
    <row r="242" ht="15.75" customHeight="1">
      <c r="A242" s="14"/>
      <c r="B242" s="14"/>
      <c r="C242" s="14"/>
      <c r="D242" s="14"/>
      <c r="E242" s="33" t="s">
        <v>31</v>
      </c>
      <c r="F242" s="32">
        <f t="shared" si="3"/>
        <v>38650</v>
      </c>
      <c r="G242" s="14"/>
      <c r="H242" s="14"/>
    </row>
    <row r="243" ht="15.75" customHeight="1">
      <c r="A243" s="14"/>
      <c r="B243" s="14"/>
      <c r="C243" s="14"/>
      <c r="D243" s="14"/>
      <c r="E243" s="33" t="s">
        <v>21</v>
      </c>
      <c r="F243" s="32">
        <f t="shared" si="3"/>
        <v>146874</v>
      </c>
      <c r="G243" s="14"/>
      <c r="H243" s="14"/>
    </row>
    <row r="244" ht="15.75" customHeight="1">
      <c r="A244" s="14"/>
      <c r="B244" s="14"/>
      <c r="C244" s="14"/>
      <c r="D244" s="14"/>
      <c r="E244" s="33" t="s">
        <v>13</v>
      </c>
      <c r="F244" s="32">
        <f t="shared" si="3"/>
        <v>365272</v>
      </c>
      <c r="G244" s="14"/>
      <c r="H244" s="14"/>
    </row>
    <row r="245" ht="15.75" customHeight="1">
      <c r="A245" s="14"/>
      <c r="B245" s="14"/>
      <c r="C245" s="14"/>
      <c r="D245" s="14"/>
      <c r="E245" s="35" t="s">
        <v>68</v>
      </c>
      <c r="F245" s="32">
        <f t="shared" si="3"/>
        <v>0</v>
      </c>
      <c r="G245" s="14"/>
      <c r="H245" s="14"/>
    </row>
    <row r="246" ht="15.75" customHeight="1">
      <c r="A246" s="14"/>
      <c r="B246" s="14"/>
      <c r="C246" s="14"/>
      <c r="D246" s="14"/>
      <c r="E246" s="37" t="s">
        <v>9</v>
      </c>
      <c r="F246" s="40">
        <f>+SUM(F240:F245)</f>
        <v>602678</v>
      </c>
      <c r="G246" s="14"/>
      <c r="H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</row>
    <row r="249" ht="15.75" customHeight="1">
      <c r="A249" s="14"/>
      <c r="B249" s="14"/>
      <c r="C249" s="14"/>
      <c r="D249" s="14"/>
      <c r="E249" s="29" t="s">
        <v>70</v>
      </c>
      <c r="F249" s="39" t="s">
        <v>15</v>
      </c>
      <c r="G249" s="14"/>
      <c r="H249" s="14"/>
    </row>
    <row r="250" ht="15.75" customHeight="1">
      <c r="A250" s="14"/>
      <c r="B250" s="14"/>
      <c r="C250" s="14"/>
      <c r="D250" s="14"/>
      <c r="E250" s="31" t="s">
        <v>12</v>
      </c>
      <c r="F250" s="32">
        <f t="shared" ref="F250:F255" si="4">+SUMIFS($I$3:$I$218,$C$3:$C$218,$F$301,$F$3:$F$218,E250)</f>
        <v>0</v>
      </c>
      <c r="G250" s="14"/>
      <c r="H250" s="14"/>
    </row>
    <row r="251" ht="15.75" customHeight="1">
      <c r="A251" s="14"/>
      <c r="B251" s="14"/>
      <c r="C251" s="14"/>
      <c r="D251" s="14"/>
      <c r="E251" s="33" t="s">
        <v>67</v>
      </c>
      <c r="F251" s="34">
        <f t="shared" si="4"/>
        <v>0</v>
      </c>
      <c r="G251" s="14"/>
      <c r="H251" s="14"/>
    </row>
    <row r="252" ht="15.75" customHeight="1">
      <c r="A252" s="14"/>
      <c r="B252" s="14"/>
      <c r="C252" s="14"/>
      <c r="D252" s="14"/>
      <c r="E252" s="33" t="s">
        <v>31</v>
      </c>
      <c r="F252" s="34">
        <f t="shared" si="4"/>
        <v>212807</v>
      </c>
      <c r="G252" s="14"/>
      <c r="H252" s="14"/>
    </row>
    <row r="253" ht="15.75" customHeight="1">
      <c r="A253" s="14"/>
      <c r="B253" s="14"/>
      <c r="C253" s="14"/>
      <c r="D253" s="14"/>
      <c r="E253" s="33" t="s">
        <v>21</v>
      </c>
      <c r="F253" s="34">
        <f t="shared" si="4"/>
        <v>193138</v>
      </c>
      <c r="G253" s="14"/>
      <c r="H253" s="14"/>
    </row>
    <row r="254" ht="15.75" customHeight="1">
      <c r="A254" s="14"/>
      <c r="B254" s="14"/>
      <c r="C254" s="14"/>
      <c r="D254" s="14"/>
      <c r="E254" s="33" t="s">
        <v>13</v>
      </c>
      <c r="F254" s="34">
        <f t="shared" si="4"/>
        <v>1564425</v>
      </c>
      <c r="G254" s="14"/>
      <c r="H254" s="14"/>
    </row>
    <row r="255" ht="15.75" customHeight="1">
      <c r="A255" s="14"/>
      <c r="B255" s="14"/>
      <c r="C255" s="14"/>
      <c r="D255" s="14"/>
      <c r="E255" s="35" t="s">
        <v>68</v>
      </c>
      <c r="F255" s="36">
        <f t="shared" si="4"/>
        <v>0</v>
      </c>
      <c r="G255" s="14"/>
      <c r="H255" s="14"/>
    </row>
    <row r="256" ht="15.75" customHeight="1">
      <c r="A256" s="14"/>
      <c r="B256" s="14"/>
      <c r="C256" s="14"/>
      <c r="D256" s="14"/>
      <c r="E256" s="37" t="s">
        <v>9</v>
      </c>
      <c r="F256" s="40">
        <f>+SUM(F250:F255)</f>
        <v>1970370</v>
      </c>
      <c r="G256" s="14"/>
      <c r="H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</row>
    <row r="259" ht="15.75" customHeight="1">
      <c r="A259" s="14"/>
      <c r="B259" s="14"/>
      <c r="C259" s="14"/>
      <c r="D259" s="14"/>
      <c r="E259" s="29" t="s">
        <v>70</v>
      </c>
      <c r="F259" s="39" t="s">
        <v>17</v>
      </c>
      <c r="G259" s="14"/>
      <c r="H259" s="14"/>
    </row>
    <row r="260" ht="15.75" customHeight="1">
      <c r="A260" s="14"/>
      <c r="B260" s="14"/>
      <c r="C260" s="14"/>
      <c r="D260" s="14"/>
      <c r="E260" s="31" t="s">
        <v>12</v>
      </c>
      <c r="F260" s="32">
        <f t="shared" ref="F260:F265" si="5">+SUMIFS($I$3:$I$218,$C$3:$C$218,$F$311,$F$3:$F$218,E260)</f>
        <v>50110</v>
      </c>
      <c r="G260" s="14"/>
      <c r="H260" s="14"/>
    </row>
    <row r="261" ht="15.75" customHeight="1">
      <c r="A261" s="14"/>
      <c r="B261" s="14"/>
      <c r="C261" s="14"/>
      <c r="D261" s="14"/>
      <c r="E261" s="33" t="s">
        <v>67</v>
      </c>
      <c r="F261" s="32">
        <f t="shared" si="5"/>
        <v>0</v>
      </c>
      <c r="G261" s="14"/>
      <c r="H261" s="14"/>
    </row>
    <row r="262" ht="15.75" customHeight="1">
      <c r="A262" s="14"/>
      <c r="B262" s="14"/>
      <c r="C262" s="14"/>
      <c r="D262" s="14"/>
      <c r="E262" s="33" t="s">
        <v>31</v>
      </c>
      <c r="F262" s="32">
        <f t="shared" si="5"/>
        <v>76810</v>
      </c>
      <c r="G262" s="14"/>
      <c r="H262" s="14"/>
    </row>
    <row r="263" ht="15.75" customHeight="1">
      <c r="A263" s="14"/>
      <c r="B263" s="14"/>
      <c r="C263" s="14"/>
      <c r="D263" s="14"/>
      <c r="E263" s="33" t="s">
        <v>21</v>
      </c>
      <c r="F263" s="32">
        <f t="shared" si="5"/>
        <v>0</v>
      </c>
      <c r="G263" s="14"/>
      <c r="H263" s="14"/>
    </row>
    <row r="264" ht="15.75" customHeight="1">
      <c r="A264" s="14"/>
      <c r="B264" s="14"/>
      <c r="C264" s="14"/>
      <c r="D264" s="14"/>
      <c r="E264" s="33" t="s">
        <v>13</v>
      </c>
      <c r="F264" s="32">
        <f t="shared" si="5"/>
        <v>132268</v>
      </c>
      <c r="G264" s="14"/>
      <c r="H264" s="14"/>
    </row>
    <row r="265" ht="15.75" customHeight="1">
      <c r="E265" s="35" t="s">
        <v>68</v>
      </c>
      <c r="F265" s="32">
        <f t="shared" si="5"/>
        <v>0</v>
      </c>
    </row>
    <row r="266" ht="15.75" customHeight="1">
      <c r="E266" s="37" t="s">
        <v>9</v>
      </c>
      <c r="F266" s="40">
        <f>+SUM(F260:F265)</f>
        <v>259188</v>
      </c>
    </row>
    <row r="267" ht="15.75" customHeight="1"/>
    <row r="268" ht="15.75" customHeight="1"/>
    <row r="269" ht="15.75" customHeight="1"/>
    <row r="270" ht="15.75" customHeight="1"/>
    <row r="271" ht="15.75" customHeight="1">
      <c r="E271" s="22" t="s">
        <v>66</v>
      </c>
      <c r="F271" s="3"/>
    </row>
    <row r="272" ht="15.75" customHeight="1">
      <c r="E272" s="23" t="s">
        <v>12</v>
      </c>
      <c r="F272" s="24">
        <f>+SUMIF(F3:F217,E272,I3:I218)</f>
        <v>186091</v>
      </c>
    </row>
    <row r="273" ht="15.75" customHeight="1">
      <c r="E273" s="25" t="s">
        <v>67</v>
      </c>
      <c r="F273" s="26">
        <f>+SUMIF(F3:F218,E273,I3:I218)</f>
        <v>0</v>
      </c>
    </row>
    <row r="274" ht="15.75" customHeight="1">
      <c r="E274" s="25" t="s">
        <v>31</v>
      </c>
      <c r="F274" s="26">
        <f>+SUMIF(F3:F218,E274,I3:I218)</f>
        <v>371700</v>
      </c>
    </row>
    <row r="275" ht="15.75" customHeight="1">
      <c r="E275" s="25" t="s">
        <v>21</v>
      </c>
      <c r="F275" s="26">
        <f>+SUMIF(F3:F218,E275,I3:I218)</f>
        <v>340012</v>
      </c>
    </row>
    <row r="276" ht="15.75" customHeight="1">
      <c r="E276" s="25" t="s">
        <v>13</v>
      </c>
      <c r="F276" s="26">
        <f>+SUMIF(F3:F218,E276,I3:I218)</f>
        <v>5001716</v>
      </c>
    </row>
    <row r="277" ht="15.75" customHeight="1">
      <c r="E277" s="25" t="s">
        <v>68</v>
      </c>
      <c r="F277" s="26">
        <f>+SUMIF(F3:F218,E277,I3:I218)</f>
        <v>0</v>
      </c>
    </row>
    <row r="278" ht="15.75" customHeight="1">
      <c r="E278" s="25" t="s">
        <v>69</v>
      </c>
      <c r="F278" s="26">
        <f>+SUMIF(F3:F218,E278,I3:I218)</f>
        <v>0</v>
      </c>
    </row>
    <row r="279" ht="15.75" customHeight="1">
      <c r="E279" s="27" t="s">
        <v>9</v>
      </c>
      <c r="F279" s="28">
        <f>+SUM(F272:F278)</f>
        <v>5899519</v>
      </c>
    </row>
    <row r="280" ht="15.75" customHeight="1">
      <c r="E280" s="14"/>
      <c r="F280" s="14"/>
    </row>
    <row r="281" ht="15.75" customHeight="1">
      <c r="E281" s="14"/>
      <c r="F281" s="14"/>
    </row>
    <row r="282" ht="15.75" customHeight="1">
      <c r="E282" s="29" t="s">
        <v>70</v>
      </c>
      <c r="F282" s="30" t="s">
        <v>19</v>
      </c>
    </row>
    <row r="283" ht="15.75" customHeight="1">
      <c r="E283" s="31" t="s">
        <v>12</v>
      </c>
      <c r="F283" s="32">
        <f t="shared" ref="F283:F288" si="6">+SUMIFS($I$3:$I$218,$C$3:$C$218,$F$282,$F$3:$F$218,E283)</f>
        <v>84099</v>
      </c>
    </row>
    <row r="284" ht="15.75" customHeight="1">
      <c r="E284" s="33" t="s">
        <v>67</v>
      </c>
      <c r="F284" s="34">
        <f t="shared" si="6"/>
        <v>0</v>
      </c>
    </row>
    <row r="285" ht="15.75" customHeight="1">
      <c r="E285" s="33" t="s">
        <v>31</v>
      </c>
      <c r="F285" s="34">
        <f t="shared" si="6"/>
        <v>43433</v>
      </c>
    </row>
    <row r="286" ht="15.75" customHeight="1">
      <c r="E286" s="33" t="s">
        <v>21</v>
      </c>
      <c r="F286" s="34">
        <f t="shared" si="6"/>
        <v>0</v>
      </c>
    </row>
    <row r="287" ht="15.75" customHeight="1">
      <c r="E287" s="33" t="s">
        <v>13</v>
      </c>
      <c r="F287" s="34">
        <f t="shared" si="6"/>
        <v>2939751</v>
      </c>
    </row>
    <row r="288" ht="15.75" customHeight="1">
      <c r="E288" s="35" t="s">
        <v>68</v>
      </c>
      <c r="F288" s="36">
        <f t="shared" si="6"/>
        <v>0</v>
      </c>
    </row>
    <row r="289" ht="15.75" customHeight="1">
      <c r="E289" s="37" t="s">
        <v>9</v>
      </c>
      <c r="F289" s="38">
        <f>+SUM(F283:F288)</f>
        <v>3067283</v>
      </c>
    </row>
    <row r="290" ht="15.75" customHeight="1">
      <c r="E290" s="14"/>
      <c r="F290" s="14"/>
    </row>
    <row r="291" ht="15.75" customHeight="1">
      <c r="E291" s="29" t="s">
        <v>70</v>
      </c>
      <c r="F291" s="39" t="s">
        <v>11</v>
      </c>
    </row>
    <row r="292" ht="15.75" customHeight="1">
      <c r="E292" s="31" t="s">
        <v>12</v>
      </c>
      <c r="F292" s="32">
        <f t="shared" ref="F292:F297" si="7">+SUMIFS($I$3:$I$218,$C$3:$C$218,$F$291,$F$3:$F$218,E292)</f>
        <v>51882</v>
      </c>
    </row>
    <row r="293" ht="15.75" customHeight="1">
      <c r="E293" s="33" t="s">
        <v>67</v>
      </c>
      <c r="F293" s="32">
        <f t="shared" si="7"/>
        <v>0</v>
      </c>
    </row>
    <row r="294" ht="15.75" customHeight="1">
      <c r="E294" s="33" t="s">
        <v>31</v>
      </c>
      <c r="F294" s="32">
        <f t="shared" si="7"/>
        <v>38650</v>
      </c>
    </row>
    <row r="295" ht="15.75" customHeight="1">
      <c r="E295" s="33" t="s">
        <v>21</v>
      </c>
      <c r="F295" s="32">
        <f t="shared" si="7"/>
        <v>146874</v>
      </c>
    </row>
    <row r="296" ht="15.75" customHeight="1">
      <c r="E296" s="33" t="s">
        <v>13</v>
      </c>
      <c r="F296" s="32">
        <f t="shared" si="7"/>
        <v>365272</v>
      </c>
    </row>
    <row r="297" ht="15.75" customHeight="1">
      <c r="E297" s="35" t="s">
        <v>68</v>
      </c>
      <c r="F297" s="32">
        <f t="shared" si="7"/>
        <v>0</v>
      </c>
    </row>
    <row r="298" ht="15.75" customHeight="1">
      <c r="E298" s="37" t="s">
        <v>9</v>
      </c>
      <c r="F298" s="40">
        <f>+SUM(F292:F297)</f>
        <v>602678</v>
      </c>
    </row>
    <row r="299" ht="15.75" customHeight="1">
      <c r="E299" s="14"/>
      <c r="F299" s="14"/>
    </row>
    <row r="300" ht="15.75" customHeight="1">
      <c r="E300" s="14"/>
      <c r="F300" s="14"/>
    </row>
    <row r="301" ht="15.75" customHeight="1">
      <c r="E301" s="29" t="s">
        <v>70</v>
      </c>
      <c r="F301" s="39" t="s">
        <v>15</v>
      </c>
    </row>
    <row r="302" ht="15.75" customHeight="1">
      <c r="E302" s="31" t="s">
        <v>12</v>
      </c>
      <c r="F302" s="32">
        <f t="shared" ref="F302:F307" si="8">+SUMIFS($I$3:$I$218,$C$3:$C$218,$F$301,$F$3:$F$218,E302)</f>
        <v>0</v>
      </c>
    </row>
    <row r="303" ht="15.75" customHeight="1">
      <c r="E303" s="33" t="s">
        <v>67</v>
      </c>
      <c r="F303" s="34">
        <f t="shared" si="8"/>
        <v>0</v>
      </c>
    </row>
    <row r="304" ht="15.75" customHeight="1">
      <c r="E304" s="33" t="s">
        <v>31</v>
      </c>
      <c r="F304" s="34">
        <f t="shared" si="8"/>
        <v>212807</v>
      </c>
    </row>
    <row r="305" ht="15.75" customHeight="1">
      <c r="E305" s="33" t="s">
        <v>21</v>
      </c>
      <c r="F305" s="34">
        <f t="shared" si="8"/>
        <v>193138</v>
      </c>
    </row>
    <row r="306" ht="15.75" customHeight="1">
      <c r="E306" s="33" t="s">
        <v>13</v>
      </c>
      <c r="F306" s="34">
        <f t="shared" si="8"/>
        <v>1564425</v>
      </c>
    </row>
    <row r="307" ht="15.75" customHeight="1">
      <c r="E307" s="35" t="s">
        <v>68</v>
      </c>
      <c r="F307" s="36">
        <f t="shared" si="8"/>
        <v>0</v>
      </c>
    </row>
    <row r="308" ht="15.75" customHeight="1">
      <c r="E308" s="37" t="s">
        <v>9</v>
      </c>
      <c r="F308" s="40">
        <f>+SUM(F302:F307)</f>
        <v>1970370</v>
      </c>
    </row>
    <row r="309" ht="15.75" customHeight="1">
      <c r="E309" s="14"/>
      <c r="F309" s="14"/>
    </row>
    <row r="310" ht="15.75" customHeight="1">
      <c r="E310" s="14"/>
      <c r="F310" s="14"/>
    </row>
    <row r="311" ht="15.75" customHeight="1">
      <c r="E311" s="29" t="s">
        <v>70</v>
      </c>
      <c r="F311" s="39" t="s">
        <v>17</v>
      </c>
    </row>
    <row r="312" ht="15.75" customHeight="1">
      <c r="E312" s="31" t="s">
        <v>12</v>
      </c>
      <c r="F312" s="32">
        <f t="shared" ref="F312:F317" si="9">+SUMIFS($I$3:$I$218,$C$3:$C$218,$F$311,$F$3:$F$218,E312)</f>
        <v>50110</v>
      </c>
    </row>
    <row r="313" ht="15.75" customHeight="1">
      <c r="E313" s="33" t="s">
        <v>67</v>
      </c>
      <c r="F313" s="32">
        <f t="shared" si="9"/>
        <v>0</v>
      </c>
    </row>
    <row r="314" ht="15.75" customHeight="1">
      <c r="E314" s="33" t="s">
        <v>31</v>
      </c>
      <c r="F314" s="32">
        <f t="shared" si="9"/>
        <v>76810</v>
      </c>
    </row>
    <row r="315" ht="15.75" customHeight="1">
      <c r="E315" s="33" t="s">
        <v>21</v>
      </c>
      <c r="F315" s="32">
        <f t="shared" si="9"/>
        <v>0</v>
      </c>
    </row>
    <row r="316" ht="15.75" customHeight="1">
      <c r="E316" s="33" t="s">
        <v>13</v>
      </c>
      <c r="F316" s="32">
        <f t="shared" si="9"/>
        <v>132268</v>
      </c>
    </row>
    <row r="317" ht="15.75" customHeight="1">
      <c r="E317" s="35" t="s">
        <v>68</v>
      </c>
      <c r="F317" s="32">
        <f t="shared" si="9"/>
        <v>0</v>
      </c>
    </row>
    <row r="318" ht="15.75" customHeight="1">
      <c r="E318" s="37" t="s">
        <v>9</v>
      </c>
      <c r="F318" s="40">
        <f>+SUM(F312:F317)</f>
        <v>259188</v>
      </c>
    </row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E219:F219"/>
    <mergeCell ref="E271:F271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24.57"/>
    <col customWidth="1" min="3" max="3" width="10.14"/>
    <col customWidth="1" min="4" max="4" width="8.14"/>
    <col customWidth="1" min="5" max="5" width="33.86"/>
    <col customWidth="1" min="6" max="6" width="15.29"/>
    <col customWidth="1" min="7" max="7" width="6.71"/>
    <col customWidth="1" min="8" max="8" width="12.0"/>
    <col customWidth="1" min="9" max="9" width="13.14"/>
    <col customWidth="1" min="10" max="10" width="10.71"/>
    <col customWidth="1" min="11" max="11" width="14.0"/>
  </cols>
  <sheetData>
    <row r="1" ht="27.75" customHeight="1">
      <c r="A1" s="41" t="s">
        <v>71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>
      <c r="A3" s="6">
        <v>46056.0</v>
      </c>
      <c r="B3" s="7" t="s">
        <v>72</v>
      </c>
      <c r="C3" s="7" t="s">
        <v>15</v>
      </c>
      <c r="D3" s="7">
        <v>463.0</v>
      </c>
      <c r="E3" s="10" t="str">
        <f>+VLOOKUP(D3,ARTICULO!$A$2:$B$1048576,2,FALSE)</f>
        <v>MAIZ QUEBRADO</v>
      </c>
      <c r="F3" s="7" t="s">
        <v>73</v>
      </c>
      <c r="G3" s="7">
        <v>1.0</v>
      </c>
      <c r="H3" s="8">
        <v>18685.0</v>
      </c>
      <c r="I3" s="8">
        <f t="shared" ref="I3:I216" si="1">SUM(G3*H3)</f>
        <v>18685</v>
      </c>
      <c r="K3" s="9"/>
    </row>
    <row r="4">
      <c r="A4" s="6">
        <v>46056.0</v>
      </c>
      <c r="B4" s="7" t="s">
        <v>72</v>
      </c>
      <c r="C4" s="7" t="s">
        <v>15</v>
      </c>
      <c r="D4" s="7">
        <v>652.0</v>
      </c>
      <c r="E4" s="10" t="str">
        <f>+VLOOKUP(D4,ARTICULO!$A$2:$B$1048576,2,FALSE)</f>
        <v>MANI SABORIZADO</v>
      </c>
      <c r="F4" s="7" t="s">
        <v>74</v>
      </c>
      <c r="G4" s="7">
        <v>2.0</v>
      </c>
      <c r="H4" s="8">
        <v>4200.0</v>
      </c>
      <c r="I4" s="8">
        <f t="shared" si="1"/>
        <v>8400</v>
      </c>
      <c r="K4" s="9"/>
    </row>
    <row r="5">
      <c r="A5" s="6">
        <v>46056.0</v>
      </c>
      <c r="B5" s="7" t="s">
        <v>75</v>
      </c>
      <c r="C5" s="7" t="s">
        <v>11</v>
      </c>
      <c r="D5" s="7">
        <v>716.0</v>
      </c>
      <c r="E5" s="10" t="str">
        <f>+VLOOKUP(D5,ARTICULO!$A$2:$B$1048576,2,FALSE)</f>
        <v>HARINA P/TAMALES</v>
      </c>
      <c r="F5" s="7" t="s">
        <v>31</v>
      </c>
      <c r="G5" s="7">
        <v>25.0</v>
      </c>
      <c r="H5" s="8">
        <v>449.0</v>
      </c>
      <c r="I5" s="8">
        <f t="shared" si="1"/>
        <v>11225</v>
      </c>
      <c r="K5" s="9"/>
    </row>
    <row r="6">
      <c r="A6" s="6">
        <v>46056.0</v>
      </c>
      <c r="B6" s="7" t="s">
        <v>76</v>
      </c>
      <c r="C6" s="7" t="s">
        <v>17</v>
      </c>
      <c r="D6" s="7">
        <v>722.0</v>
      </c>
      <c r="E6" s="10" t="str">
        <f>+VLOOKUP(D6,ARTICULO!$A$2:$B$1048576,2,FALSE)</f>
        <v>POLENTA</v>
      </c>
      <c r="F6" s="7" t="s">
        <v>31</v>
      </c>
      <c r="G6" s="7">
        <v>25.0</v>
      </c>
      <c r="H6" s="8">
        <v>782.0</v>
      </c>
      <c r="I6" s="8">
        <f t="shared" si="1"/>
        <v>19550</v>
      </c>
      <c r="K6" s="9"/>
    </row>
    <row r="7">
      <c r="A7" s="6">
        <v>46056.0</v>
      </c>
      <c r="B7" s="7" t="s">
        <v>77</v>
      </c>
      <c r="C7" s="7" t="s">
        <v>11</v>
      </c>
      <c r="D7" s="7">
        <v>722.0</v>
      </c>
      <c r="E7" s="10" t="str">
        <f>+VLOOKUP(D7,ARTICULO!$A$2:$B$1048576,2,FALSE)</f>
        <v>POLENTA</v>
      </c>
      <c r="F7" s="7" t="s">
        <v>31</v>
      </c>
      <c r="G7" s="7">
        <v>75.0</v>
      </c>
      <c r="H7" s="8">
        <v>782.0</v>
      </c>
      <c r="I7" s="8">
        <f t="shared" si="1"/>
        <v>58650</v>
      </c>
      <c r="K7" s="9"/>
    </row>
    <row r="8">
      <c r="A8" s="6">
        <v>46056.0</v>
      </c>
      <c r="B8" s="7" t="s">
        <v>78</v>
      </c>
      <c r="C8" s="7" t="s">
        <v>19</v>
      </c>
      <c r="D8" s="7">
        <v>59.0</v>
      </c>
      <c r="E8" s="10" t="str">
        <f>+VLOOKUP(D8,ARTICULO!$A$2:$B$1048576,2,FALSE)</f>
        <v>INICIADOR X 40 KG</v>
      </c>
      <c r="F8" s="7" t="s">
        <v>73</v>
      </c>
      <c r="G8" s="7">
        <v>1.0</v>
      </c>
      <c r="H8" s="8">
        <v>32303.0</v>
      </c>
      <c r="I8" s="8">
        <f t="shared" si="1"/>
        <v>32303</v>
      </c>
      <c r="K8" s="9"/>
    </row>
    <row r="9">
      <c r="A9" s="6">
        <v>46056.0</v>
      </c>
      <c r="B9" s="7" t="s">
        <v>78</v>
      </c>
      <c r="C9" s="7" t="s">
        <v>19</v>
      </c>
      <c r="D9" s="7">
        <v>704.0</v>
      </c>
      <c r="E9" s="10" t="str">
        <f>+VLOOKUP(D9,ARTICULO!$A$2:$B$1048576,2,FALSE)</f>
        <v>AVENA INSTANTANEA</v>
      </c>
      <c r="F9" s="7" t="s">
        <v>73</v>
      </c>
      <c r="G9" s="7">
        <v>10.0</v>
      </c>
      <c r="H9" s="8">
        <v>1557.0</v>
      </c>
      <c r="I9" s="8">
        <f t="shared" si="1"/>
        <v>15570</v>
      </c>
      <c r="K9" s="9"/>
    </row>
    <row r="10">
      <c r="A10" s="6">
        <v>46056.0</v>
      </c>
      <c r="B10" s="7" t="s">
        <v>79</v>
      </c>
      <c r="C10" s="7" t="s">
        <v>19</v>
      </c>
      <c r="D10" s="7">
        <v>604.0</v>
      </c>
      <c r="E10" s="10" t="str">
        <f>+VLOOKUP(D10,ARTICULO!$A$2:$B$1048576,2,FALSE)</f>
        <v>CIRUELA PRESIDENTA</v>
      </c>
      <c r="F10" s="7" t="s">
        <v>73</v>
      </c>
      <c r="G10" s="7">
        <v>5.0</v>
      </c>
      <c r="H10" s="8">
        <v>9720.0</v>
      </c>
      <c r="I10" s="8">
        <f t="shared" si="1"/>
        <v>48600</v>
      </c>
    </row>
    <row r="11">
      <c r="A11" s="6">
        <v>46056.0</v>
      </c>
      <c r="B11" s="7" t="s">
        <v>80</v>
      </c>
      <c r="C11" s="7" t="s">
        <v>19</v>
      </c>
      <c r="D11" s="7">
        <v>477.0</v>
      </c>
      <c r="E11" s="10" t="str">
        <f>+VLOOKUP(D11,ARTICULO!$A$2:$B$1048576,2,FALSE)</f>
        <v>MAIZ QUEBRADO MEDIANO X 30 KG</v>
      </c>
      <c r="F11" s="7" t="s">
        <v>74</v>
      </c>
      <c r="G11" s="7">
        <v>1.0</v>
      </c>
      <c r="H11" s="8">
        <v>19528.0</v>
      </c>
      <c r="I11" s="8">
        <f t="shared" si="1"/>
        <v>19528</v>
      </c>
    </row>
    <row r="12">
      <c r="A12" s="6">
        <v>46025.0</v>
      </c>
      <c r="B12" s="7" t="s">
        <v>80</v>
      </c>
      <c r="C12" s="7" t="s">
        <v>19</v>
      </c>
      <c r="D12" s="7">
        <v>478.0</v>
      </c>
      <c r="E12" s="10" t="str">
        <f>+VLOOKUP(D12,ARTICULO!$A$2:$B$1048576,2,FALSE)</f>
        <v>MAIZ QUEBRADO GRUESO X 30 KG</v>
      </c>
      <c r="F12" s="7" t="s">
        <v>74</v>
      </c>
      <c r="G12" s="7">
        <v>1.0</v>
      </c>
      <c r="H12" s="8">
        <v>19528.0</v>
      </c>
      <c r="I12" s="8">
        <f t="shared" si="1"/>
        <v>19528</v>
      </c>
    </row>
    <row r="13">
      <c r="A13" s="6">
        <v>46057.0</v>
      </c>
      <c r="B13" s="7" t="s">
        <v>81</v>
      </c>
      <c r="C13" s="7" t="s">
        <v>17</v>
      </c>
      <c r="D13" s="7">
        <v>212.0</v>
      </c>
      <c r="E13" s="10" t="str">
        <f>+VLOOKUP(D13,ARTICULO!$A$2:$B$1048576,2,FALSE)</f>
        <v>9 LIVES GATITO x 8 KG</v>
      </c>
      <c r="F13" s="7" t="s">
        <v>73</v>
      </c>
      <c r="G13" s="7">
        <v>1.0</v>
      </c>
      <c r="H13" s="8">
        <v>28375.0</v>
      </c>
      <c r="I13" s="8">
        <f t="shared" si="1"/>
        <v>28375</v>
      </c>
      <c r="K13" s="42"/>
    </row>
    <row r="14">
      <c r="A14" s="6">
        <v>46057.0</v>
      </c>
      <c r="B14" s="7" t="s">
        <v>82</v>
      </c>
      <c r="C14" s="7" t="s">
        <v>11</v>
      </c>
      <c r="D14" s="7">
        <v>605.0</v>
      </c>
      <c r="E14" s="10" t="str">
        <f>+VLOOKUP(D14,ARTICULO!$A$2:$B$1048576,2,FALSE)</f>
        <v>CIRUELA SIN CAROZO</v>
      </c>
      <c r="F14" s="7" t="s">
        <v>74</v>
      </c>
      <c r="G14" s="7">
        <v>2.0</v>
      </c>
      <c r="H14" s="8">
        <v>7800.0</v>
      </c>
      <c r="I14" s="8">
        <f t="shared" si="1"/>
        <v>15600</v>
      </c>
    </row>
    <row r="15">
      <c r="A15" s="6">
        <v>46057.0</v>
      </c>
      <c r="B15" s="7" t="s">
        <v>83</v>
      </c>
      <c r="C15" s="7" t="s">
        <v>11</v>
      </c>
      <c r="D15" s="7">
        <v>135.0</v>
      </c>
      <c r="E15" s="10" t="str">
        <f>+VLOOKUP(D15,ARTICULO!$A$2:$B$1048576,2,FALSE)</f>
        <v>BELCAN CACHORRO X 15KG</v>
      </c>
      <c r="F15" s="7" t="s">
        <v>73</v>
      </c>
      <c r="G15" s="7">
        <v>1.0</v>
      </c>
      <c r="H15" s="8">
        <v>19212.0</v>
      </c>
      <c r="I15" s="8">
        <f t="shared" si="1"/>
        <v>19212</v>
      </c>
    </row>
    <row r="16">
      <c r="A16" s="6">
        <v>46057.0</v>
      </c>
      <c r="B16" s="7" t="s">
        <v>84</v>
      </c>
      <c r="C16" s="7" t="s">
        <v>11</v>
      </c>
      <c r="D16" s="7">
        <v>311.0</v>
      </c>
      <c r="E16" s="10" t="str">
        <f>+VLOOKUP(D16,ARTICULO!$A$2:$B$1048576,2,FALSE)</f>
        <v>ANILLOS FRUTADOS x 2.5 Kg</v>
      </c>
      <c r="F16" s="7" t="s">
        <v>73</v>
      </c>
      <c r="G16" s="7">
        <v>7.0</v>
      </c>
      <c r="H16" s="8">
        <v>9251.0</v>
      </c>
      <c r="I16" s="8">
        <f t="shared" si="1"/>
        <v>64757</v>
      </c>
    </row>
    <row r="17">
      <c r="A17" s="6">
        <v>46057.0</v>
      </c>
      <c r="B17" s="7" t="s">
        <v>85</v>
      </c>
      <c r="C17" s="7" t="s">
        <v>11</v>
      </c>
      <c r="D17" s="7">
        <v>720.0</v>
      </c>
      <c r="E17" s="10" t="str">
        <f>+VLOOKUP(D17,ARTICULO!$A$2:$B$1048576,2,FALSE)</f>
        <v>MAIZ MOLIDO BLANCO</v>
      </c>
      <c r="F17" s="7" t="s">
        <v>73</v>
      </c>
      <c r="G17" s="7">
        <v>5.0</v>
      </c>
      <c r="H17" s="8">
        <v>1953.0</v>
      </c>
      <c r="I17" s="8">
        <f t="shared" si="1"/>
        <v>9765</v>
      </c>
    </row>
    <row r="18">
      <c r="A18" s="6">
        <v>46057.0</v>
      </c>
      <c r="B18" s="7" t="s">
        <v>86</v>
      </c>
      <c r="C18" s="7" t="s">
        <v>11</v>
      </c>
      <c r="D18" s="7">
        <v>311.0</v>
      </c>
      <c r="E18" s="10" t="str">
        <f>+VLOOKUP(D18,ARTICULO!$A$2:$B$1048576,2,FALSE)</f>
        <v>ANILLOS FRUTADOS x 2.5 Kg</v>
      </c>
      <c r="F18" s="7" t="s">
        <v>73</v>
      </c>
      <c r="G18" s="7">
        <v>5.0</v>
      </c>
      <c r="H18" s="8">
        <v>9251.0</v>
      </c>
      <c r="I18" s="8">
        <f t="shared" si="1"/>
        <v>46255</v>
      </c>
    </row>
    <row r="19">
      <c r="A19" s="6">
        <v>46057.0</v>
      </c>
      <c r="B19" s="7" t="s">
        <v>87</v>
      </c>
      <c r="C19" s="7" t="s">
        <v>17</v>
      </c>
      <c r="D19" s="7">
        <v>724.0</v>
      </c>
      <c r="E19" s="10" t="str">
        <f>+VLOOKUP(D19,ARTICULO!$A$2:$B$1048576,2,FALSE)</f>
        <v>POROTO PALLARES</v>
      </c>
      <c r="F19" s="7" t="s">
        <v>31</v>
      </c>
      <c r="G19" s="7">
        <v>7.0</v>
      </c>
      <c r="H19" s="8">
        <v>4995.0</v>
      </c>
      <c r="I19" s="8">
        <f t="shared" si="1"/>
        <v>34965</v>
      </c>
    </row>
    <row r="20">
      <c r="A20" s="6">
        <v>46057.0</v>
      </c>
      <c r="B20" s="7" t="s">
        <v>88</v>
      </c>
      <c r="C20" s="7" t="s">
        <v>17</v>
      </c>
      <c r="D20" s="7">
        <v>401.0</v>
      </c>
      <c r="E20" s="10" t="str">
        <f>+VLOOKUP(D20,ARTICULO!$A$2:$B$1048576,2,FALSE)</f>
        <v>LINO</v>
      </c>
      <c r="F20" s="7" t="s">
        <v>73</v>
      </c>
      <c r="G20" s="7">
        <v>1.0</v>
      </c>
      <c r="H20" s="8">
        <v>2162.0</v>
      </c>
      <c r="I20" s="8">
        <f t="shared" si="1"/>
        <v>2162</v>
      </c>
    </row>
    <row r="21" ht="15.75" customHeight="1">
      <c r="A21" s="6">
        <v>46057.0</v>
      </c>
      <c r="B21" s="7" t="s">
        <v>89</v>
      </c>
      <c r="C21" s="7" t="s">
        <v>15</v>
      </c>
      <c r="D21" s="7">
        <v>485.0</v>
      </c>
      <c r="E21" s="10" t="str">
        <f>+VLOOKUP(D21,ARTICULO!$A$2:$B$1048576,2,FALSE)</f>
        <v>PELLET DE ALFA</v>
      </c>
      <c r="F21" s="7" t="s">
        <v>73</v>
      </c>
      <c r="G21" s="7">
        <v>4.0</v>
      </c>
      <c r="H21" s="8">
        <v>14674.0</v>
      </c>
      <c r="I21" s="8">
        <f t="shared" si="1"/>
        <v>58696</v>
      </c>
    </row>
    <row r="22" ht="15.75" customHeight="1">
      <c r="A22" s="6">
        <v>46058.0</v>
      </c>
      <c r="B22" s="7" t="s">
        <v>53</v>
      </c>
      <c r="C22" s="7" t="s">
        <v>19</v>
      </c>
      <c r="D22" s="7">
        <v>508.0</v>
      </c>
      <c r="E22" s="10" t="str">
        <f>+VLOOKUP(D22,ARTICULO!$A$2:$B$1048576,2,FALSE)</f>
        <v>COCO RALLADO</v>
      </c>
      <c r="F22" s="7" t="s">
        <v>73</v>
      </c>
      <c r="G22" s="7">
        <v>2.0</v>
      </c>
      <c r="H22" s="8">
        <v>12750.0</v>
      </c>
      <c r="I22" s="8">
        <f t="shared" si="1"/>
        <v>25500</v>
      </c>
    </row>
    <row r="23" ht="15.75" customHeight="1">
      <c r="A23" s="6">
        <v>46058.0</v>
      </c>
      <c r="B23" s="7" t="s">
        <v>90</v>
      </c>
      <c r="C23" s="7" t="s">
        <v>15</v>
      </c>
      <c r="D23" s="7">
        <v>454.0</v>
      </c>
      <c r="E23" s="10" t="str">
        <f>+VLOOKUP(D23,ARTICULO!$A$2:$B$1048576,2,FALSE)</f>
        <v>AVENA PELADA</v>
      </c>
      <c r="F23" s="7" t="s">
        <v>73</v>
      </c>
      <c r="G23" s="7">
        <v>40.0</v>
      </c>
      <c r="H23" s="8">
        <v>1736.0</v>
      </c>
      <c r="I23" s="8">
        <f t="shared" si="1"/>
        <v>69440</v>
      </c>
    </row>
    <row r="24" ht="15.75" customHeight="1">
      <c r="A24" s="6">
        <v>46058.0</v>
      </c>
      <c r="B24" s="7" t="s">
        <v>55</v>
      </c>
      <c r="C24" s="7" t="s">
        <v>15</v>
      </c>
      <c r="D24" s="7">
        <v>485.0</v>
      </c>
      <c r="E24" s="10" t="str">
        <f>+VLOOKUP(D24,ARTICULO!$A$2:$B$1048576,2,FALSE)</f>
        <v>PELLET DE ALFA</v>
      </c>
      <c r="F24" s="7" t="s">
        <v>73</v>
      </c>
      <c r="G24" s="7">
        <v>1.0</v>
      </c>
      <c r="H24" s="8">
        <v>16305.0</v>
      </c>
      <c r="I24" s="8">
        <f t="shared" si="1"/>
        <v>16305</v>
      </c>
    </row>
    <row r="25" ht="15.75" customHeight="1">
      <c r="A25" s="43">
        <v>46058.0</v>
      </c>
      <c r="B25" s="44" t="s">
        <v>91</v>
      </c>
      <c r="C25" s="44" t="s">
        <v>19</v>
      </c>
      <c r="D25" s="44">
        <v>311.0</v>
      </c>
      <c r="E25" s="45" t="str">
        <f>+VLOOKUP(D25,ARTICULO!$A$2:$B$1048576,2,FALSE)</f>
        <v>ANILLOS FRUTADOS x 2.5 Kg</v>
      </c>
      <c r="F25" s="44" t="s">
        <v>92</v>
      </c>
      <c r="G25" s="44">
        <v>37.0</v>
      </c>
      <c r="H25" s="46">
        <v>15420.0</v>
      </c>
      <c r="I25" s="46">
        <f t="shared" si="1"/>
        <v>570540</v>
      </c>
    </row>
    <row r="26" ht="15.75" customHeight="1">
      <c r="A26" s="6">
        <v>46058.0</v>
      </c>
      <c r="B26" s="7" t="s">
        <v>93</v>
      </c>
      <c r="C26" s="7" t="s">
        <v>15</v>
      </c>
      <c r="D26" s="7">
        <v>478.0</v>
      </c>
      <c r="E26" s="10" t="str">
        <f>+VLOOKUP(D26,ARTICULO!$A$2:$B$1048576,2,FALSE)</f>
        <v>MAIZ QUEBRADO GRUESO X 30 KG</v>
      </c>
      <c r="F26" s="7" t="s">
        <v>21</v>
      </c>
      <c r="G26" s="7">
        <v>1.0</v>
      </c>
      <c r="H26" s="8">
        <v>15882.0</v>
      </c>
      <c r="I26" s="8">
        <f t="shared" si="1"/>
        <v>15882</v>
      </c>
    </row>
    <row r="27" ht="15.75" customHeight="1">
      <c r="A27" s="6">
        <v>46058.0</v>
      </c>
      <c r="B27" s="7" t="s">
        <v>93</v>
      </c>
      <c r="C27" s="7" t="s">
        <v>15</v>
      </c>
      <c r="D27" s="7">
        <v>166.0</v>
      </c>
      <c r="E27" s="10" t="str">
        <f>+VLOOKUP(D27,ARTICULO!$A$2:$B$1048576,2,FALSE)</f>
        <v>FLECKY ADULTO CARNE  X 21 KG</v>
      </c>
      <c r="F27" s="7" t="s">
        <v>21</v>
      </c>
      <c r="G27" s="7">
        <v>2.0</v>
      </c>
      <c r="H27" s="8">
        <v>14392.0</v>
      </c>
      <c r="I27" s="8">
        <f t="shared" si="1"/>
        <v>28784</v>
      </c>
    </row>
    <row r="28" ht="15.75" customHeight="1">
      <c r="A28" s="6">
        <v>46058.0</v>
      </c>
      <c r="B28" s="7" t="s">
        <v>93</v>
      </c>
      <c r="C28" s="7" t="s">
        <v>15</v>
      </c>
      <c r="D28" s="7">
        <v>483.0</v>
      </c>
      <c r="E28" s="10" t="str">
        <f>+VLOOKUP(D28,ARTICULO!$A$2:$B$1048576,2,FALSE)</f>
        <v>CABALLO PREMIUM X 30 KG</v>
      </c>
      <c r="F28" s="7" t="s">
        <v>21</v>
      </c>
      <c r="G28" s="7">
        <v>2.0</v>
      </c>
      <c r="H28" s="8">
        <v>15259.0</v>
      </c>
      <c r="I28" s="8">
        <f t="shared" si="1"/>
        <v>30518</v>
      </c>
    </row>
    <row r="29" ht="15.75" customHeight="1">
      <c r="A29" s="6">
        <v>46059.0</v>
      </c>
      <c r="B29" s="7" t="s">
        <v>94</v>
      </c>
      <c r="C29" s="7" t="s">
        <v>17</v>
      </c>
      <c r="D29" s="7">
        <v>131.0</v>
      </c>
      <c r="E29" s="10" t="str">
        <f>+VLOOKUP(D29,ARTICULO!$A$2:$B$1048576,2,FALSE)</f>
        <v>GRAN CAMPEON CACHORRO X 10 KG</v>
      </c>
      <c r="F29" s="7" t="s">
        <v>68</v>
      </c>
      <c r="G29" s="7">
        <v>5.0</v>
      </c>
      <c r="H29" s="8">
        <v>15517.0</v>
      </c>
      <c r="I29" s="8">
        <f t="shared" si="1"/>
        <v>77585</v>
      </c>
    </row>
    <row r="30" ht="15.75" customHeight="1">
      <c r="A30" s="6">
        <v>46059.0</v>
      </c>
      <c r="B30" s="7" t="s">
        <v>94</v>
      </c>
      <c r="C30" s="7" t="s">
        <v>17</v>
      </c>
      <c r="D30" s="7">
        <v>7.0</v>
      </c>
      <c r="E30" s="10" t="str">
        <f>+VLOOKUP(D30,ARTICULO!$A$2:$B$1048576,2,FALSE)</f>
        <v>CONEJO X 25 KG - GEPSA</v>
      </c>
      <c r="F30" s="7" t="s">
        <v>68</v>
      </c>
      <c r="G30" s="7">
        <v>2.0</v>
      </c>
      <c r="H30" s="8">
        <v>15569.0</v>
      </c>
      <c r="I30" s="8">
        <f t="shared" si="1"/>
        <v>31138</v>
      </c>
    </row>
    <row r="31" ht="15.75" customHeight="1">
      <c r="A31" s="6">
        <v>46059.0</v>
      </c>
      <c r="B31" s="7" t="s">
        <v>94</v>
      </c>
      <c r="C31" s="7" t="s">
        <v>17</v>
      </c>
      <c r="D31" s="7">
        <v>962.0</v>
      </c>
      <c r="E31" s="10" t="str">
        <f>+VLOOKUP(D31,ARTICULO!$A$2:$B$1048576,2,FALSE)</f>
        <v>PIPETA CHICA</v>
      </c>
      <c r="F31" s="7" t="s">
        <v>68</v>
      </c>
      <c r="G31" s="7">
        <v>5.0</v>
      </c>
      <c r="H31" s="8">
        <v>1821.0</v>
      </c>
      <c r="I31" s="8">
        <f t="shared" si="1"/>
        <v>9105</v>
      </c>
    </row>
    <row r="32" ht="15.75" customHeight="1">
      <c r="A32" s="6">
        <v>46059.0</v>
      </c>
      <c r="B32" s="7" t="s">
        <v>94</v>
      </c>
      <c r="C32" s="7" t="s">
        <v>17</v>
      </c>
      <c r="D32" s="7">
        <v>966.0</v>
      </c>
      <c r="E32" s="10" t="str">
        <f>+VLOOKUP(D32,ARTICULO!$A$2:$B$1048576,2,FALSE)</f>
        <v>PIPETA MEDIANA</v>
      </c>
      <c r="F32" s="7" t="s">
        <v>68</v>
      </c>
      <c r="G32" s="7">
        <v>5.0</v>
      </c>
      <c r="H32" s="8">
        <v>1986.0</v>
      </c>
      <c r="I32" s="8">
        <f t="shared" si="1"/>
        <v>9930</v>
      </c>
    </row>
    <row r="33" ht="15.75" customHeight="1">
      <c r="A33" s="6">
        <v>46059.0</v>
      </c>
      <c r="B33" s="7" t="s">
        <v>94</v>
      </c>
      <c r="C33" s="7" t="s">
        <v>17</v>
      </c>
      <c r="D33" s="7">
        <v>458.0</v>
      </c>
      <c r="E33" s="10" t="str">
        <f>+VLOOKUP(D33,ARTICULO!$A$2:$B$1048576,2,FALSE)</f>
        <v>GIRASOL GRANDE</v>
      </c>
      <c r="F33" s="7" t="s">
        <v>68</v>
      </c>
      <c r="G33" s="7">
        <v>20.0</v>
      </c>
      <c r="H33" s="8">
        <v>1760.0</v>
      </c>
      <c r="I33" s="8">
        <f t="shared" si="1"/>
        <v>35200</v>
      </c>
    </row>
    <row r="34" ht="15.75" customHeight="1">
      <c r="A34" s="6">
        <v>46059.0</v>
      </c>
      <c r="B34" s="7" t="s">
        <v>95</v>
      </c>
      <c r="C34" s="7" t="s">
        <v>19</v>
      </c>
      <c r="D34" s="7">
        <v>131.0</v>
      </c>
      <c r="E34" s="10" t="str">
        <f>+VLOOKUP(D34,ARTICULO!$A$2:$B$1048576,2,FALSE)</f>
        <v>GRAN CAMPEON CACHORRO X 10 KG</v>
      </c>
      <c r="F34" s="7" t="s">
        <v>21</v>
      </c>
      <c r="G34" s="7">
        <v>10.0</v>
      </c>
      <c r="H34" s="8">
        <v>15514.0</v>
      </c>
      <c r="I34" s="8">
        <f t="shared" si="1"/>
        <v>155140</v>
      </c>
    </row>
    <row r="35" ht="15.75" customHeight="1">
      <c r="A35" s="6">
        <v>46059.0</v>
      </c>
      <c r="B35" s="7" t="s">
        <v>95</v>
      </c>
      <c r="C35" s="7" t="s">
        <v>19</v>
      </c>
      <c r="D35" s="7">
        <v>995.0</v>
      </c>
      <c r="E35" s="10" t="str">
        <f>+VLOOKUP(D35,ARTICULO!$A$2:$B$1048576,2,FALSE)</f>
        <v>PIEDRAS SANITARIAS MI NINO 12,5</v>
      </c>
      <c r="F35" s="7" t="s">
        <v>21</v>
      </c>
      <c r="G35" s="7">
        <v>10.0</v>
      </c>
      <c r="H35" s="8">
        <v>4058.0</v>
      </c>
      <c r="I35" s="8">
        <f t="shared" si="1"/>
        <v>40580</v>
      </c>
    </row>
    <row r="36" ht="15.75" customHeight="1">
      <c r="A36" s="6">
        <v>46059.0</v>
      </c>
      <c r="B36" s="7" t="s">
        <v>95</v>
      </c>
      <c r="C36" s="7" t="s">
        <v>19</v>
      </c>
      <c r="D36" s="7">
        <v>507.0</v>
      </c>
      <c r="E36" s="10" t="str">
        <f>+VLOOKUP(D36,ARTICULO!$A$2:$B$1048576,2,FALSE)</f>
        <v>BICARBONATO</v>
      </c>
      <c r="F36" s="7" t="s">
        <v>21</v>
      </c>
      <c r="G36" s="7">
        <v>5.0</v>
      </c>
      <c r="H36" s="8">
        <v>3382.0</v>
      </c>
      <c r="I36" s="8">
        <f t="shared" si="1"/>
        <v>16910</v>
      </c>
    </row>
    <row r="37" ht="15.75" customHeight="1">
      <c r="A37" s="6">
        <v>46059.0</v>
      </c>
      <c r="B37" s="7" t="s">
        <v>95</v>
      </c>
      <c r="C37" s="7" t="s">
        <v>19</v>
      </c>
      <c r="D37" s="7">
        <v>459.0</v>
      </c>
      <c r="E37" s="10" t="str">
        <f>+VLOOKUP(D37,ARTICULO!$A$2:$B$1048576,2,FALSE)</f>
        <v>GIRASOL PELADO</v>
      </c>
      <c r="F37" s="7" t="s">
        <v>21</v>
      </c>
      <c r="G37" s="7">
        <v>1.0</v>
      </c>
      <c r="H37" s="8">
        <v>4417.0</v>
      </c>
      <c r="I37" s="8">
        <f t="shared" si="1"/>
        <v>4417</v>
      </c>
    </row>
    <row r="38" ht="15.75" customHeight="1">
      <c r="A38" s="6">
        <v>46059.0</v>
      </c>
      <c r="B38" s="7" t="s">
        <v>95</v>
      </c>
      <c r="C38" s="7" t="s">
        <v>19</v>
      </c>
      <c r="D38" s="7">
        <v>505.0</v>
      </c>
      <c r="E38" s="10" t="str">
        <f>+VLOOKUP(D38,ARTICULO!$A$2:$B$1048576,2,FALSE)</f>
        <v>AZUCAR IMPALPABLE</v>
      </c>
      <c r="F38" s="7" t="s">
        <v>21</v>
      </c>
      <c r="G38" s="7">
        <v>3.0</v>
      </c>
      <c r="H38" s="8">
        <v>2034.0</v>
      </c>
      <c r="I38" s="8">
        <f t="shared" si="1"/>
        <v>6102</v>
      </c>
    </row>
    <row r="39" ht="15.75" customHeight="1">
      <c r="A39" s="6">
        <v>46059.0</v>
      </c>
      <c r="B39" s="7" t="s">
        <v>95</v>
      </c>
      <c r="C39" s="7" t="s">
        <v>19</v>
      </c>
      <c r="D39" s="7">
        <v>718.0</v>
      </c>
      <c r="E39" s="10" t="str">
        <f>+VLOOKUP(D39,ARTICULO!$A$2:$B$1048576,2,FALSE)</f>
        <v>MAICENA</v>
      </c>
      <c r="F39" s="7" t="s">
        <v>21</v>
      </c>
      <c r="G39" s="7">
        <v>10.0</v>
      </c>
      <c r="H39" s="8">
        <v>1690.0</v>
      </c>
      <c r="I39" s="8">
        <f t="shared" si="1"/>
        <v>16900</v>
      </c>
    </row>
    <row r="40" ht="15.75" customHeight="1">
      <c r="A40" s="6">
        <v>46059.0</v>
      </c>
      <c r="B40" s="7" t="s">
        <v>95</v>
      </c>
      <c r="C40" s="7" t="s">
        <v>19</v>
      </c>
      <c r="D40" s="7">
        <v>704.0</v>
      </c>
      <c r="E40" s="10" t="str">
        <f>+VLOOKUP(D40,ARTICULO!$A$2:$B$1048576,2,FALSE)</f>
        <v>AVENA INSTANTANEA</v>
      </c>
      <c r="F40" s="7" t="s">
        <v>21</v>
      </c>
      <c r="G40" s="7">
        <v>10.0</v>
      </c>
      <c r="H40" s="8">
        <v>1797.0</v>
      </c>
      <c r="I40" s="8">
        <f t="shared" si="1"/>
        <v>17970</v>
      </c>
    </row>
    <row r="41" ht="15.75" customHeight="1">
      <c r="A41" s="6">
        <v>46059.0</v>
      </c>
      <c r="B41" s="7" t="s">
        <v>95</v>
      </c>
      <c r="C41" s="7" t="s">
        <v>19</v>
      </c>
      <c r="D41" s="7">
        <v>523.0</v>
      </c>
      <c r="E41" s="10" t="str">
        <f>+VLOOKUP(D41,ARTICULO!$A$2:$B$1048576,2,FALSE)</f>
        <v>CHIMICHURRI</v>
      </c>
      <c r="F41" s="7" t="s">
        <v>21</v>
      </c>
      <c r="G41" s="7">
        <v>1.0</v>
      </c>
      <c r="H41" s="8">
        <v>3775.0</v>
      </c>
      <c r="I41" s="8">
        <f t="shared" si="1"/>
        <v>3775</v>
      </c>
    </row>
    <row r="42" ht="15.75" customHeight="1">
      <c r="A42" s="6">
        <v>46059.0</v>
      </c>
      <c r="B42" s="7" t="s">
        <v>95</v>
      </c>
      <c r="C42" s="7" t="s">
        <v>19</v>
      </c>
      <c r="D42" s="7">
        <v>766.0</v>
      </c>
      <c r="E42" s="10" t="str">
        <f>+VLOOKUP(D42,ARTICULO!$A$2:$B$1048576,2,FALSE)</f>
        <v>SHULET AGUA FRIA X 1 KG</v>
      </c>
      <c r="F42" s="7" t="s">
        <v>21</v>
      </c>
      <c r="G42" s="7">
        <v>0.5</v>
      </c>
      <c r="H42" s="8">
        <v>54966.0</v>
      </c>
      <c r="I42" s="8">
        <f t="shared" si="1"/>
        <v>27483</v>
      </c>
    </row>
    <row r="43" ht="15.75" customHeight="1">
      <c r="A43" s="6">
        <v>46059.0</v>
      </c>
      <c r="B43" s="7" t="s">
        <v>95</v>
      </c>
      <c r="C43" s="7" t="s">
        <v>19</v>
      </c>
      <c r="D43" s="7">
        <v>946.0</v>
      </c>
      <c r="E43" s="10" t="str">
        <f>+VLOOKUP(D43,ARTICULO!$A$2:$B$1048576,2,FALSE)</f>
        <v>CURABICHERA PLATA AM NORT</v>
      </c>
      <c r="F43" s="7" t="s">
        <v>21</v>
      </c>
      <c r="G43" s="7">
        <v>3.0</v>
      </c>
      <c r="H43" s="8">
        <v>6745.0</v>
      </c>
      <c r="I43" s="8">
        <f t="shared" si="1"/>
        <v>20235</v>
      </c>
    </row>
    <row r="44" ht="15.75" customHeight="1">
      <c r="A44" s="6">
        <v>46059.0</v>
      </c>
      <c r="B44" s="7" t="s">
        <v>95</v>
      </c>
      <c r="C44" s="7" t="s">
        <v>19</v>
      </c>
      <c r="D44" s="7">
        <v>951.0</v>
      </c>
      <c r="E44" s="10" t="str">
        <f>+VLOOKUP(D44,ARTICULO!$A$2:$B$1048576,2,FALSE)</f>
        <v>HUESITO N░ 5</v>
      </c>
      <c r="F44" s="7" t="s">
        <v>21</v>
      </c>
      <c r="G44" s="7">
        <v>5.0</v>
      </c>
      <c r="H44" s="8">
        <v>1357.0</v>
      </c>
      <c r="I44" s="8">
        <f t="shared" si="1"/>
        <v>6785</v>
      </c>
    </row>
    <row r="45" ht="15.75" customHeight="1">
      <c r="A45" s="6">
        <v>46059.0</v>
      </c>
      <c r="B45" s="7" t="s">
        <v>95</v>
      </c>
      <c r="C45" s="7" t="s">
        <v>19</v>
      </c>
      <c r="D45" s="7">
        <v>950.0</v>
      </c>
      <c r="E45" s="10" t="str">
        <f>+VLOOKUP(D45,ARTICULO!$A$2:$B$1048576,2,FALSE)</f>
        <v>HUESITO N░ 3</v>
      </c>
      <c r="F45" s="7" t="s">
        <v>21</v>
      </c>
      <c r="G45" s="7">
        <v>5.0</v>
      </c>
      <c r="H45" s="8">
        <v>740.0</v>
      </c>
      <c r="I45" s="8">
        <f t="shared" si="1"/>
        <v>3700</v>
      </c>
    </row>
    <row r="46" ht="15.75" customHeight="1">
      <c r="A46" s="6">
        <v>46059.0</v>
      </c>
      <c r="B46" s="7" t="s">
        <v>95</v>
      </c>
      <c r="C46" s="7" t="s">
        <v>19</v>
      </c>
      <c r="D46" s="7">
        <v>948.0</v>
      </c>
      <c r="E46" s="10" t="str">
        <f>+VLOOKUP(D46,ARTICULO!$A$2:$B$1048576,2,FALSE)</f>
        <v>ECTHOL x 70 CC</v>
      </c>
      <c r="F46" s="7" t="s">
        <v>21</v>
      </c>
      <c r="G46" s="7">
        <v>5.0</v>
      </c>
      <c r="H46" s="8">
        <v>4979.0</v>
      </c>
      <c r="I46" s="8">
        <f t="shared" si="1"/>
        <v>24895</v>
      </c>
    </row>
    <row r="47" ht="15.75" customHeight="1">
      <c r="A47" s="6">
        <v>46059.0</v>
      </c>
      <c r="B47" s="7" t="s">
        <v>96</v>
      </c>
      <c r="C47" s="7" t="s">
        <v>15</v>
      </c>
      <c r="D47" s="7">
        <v>662.0</v>
      </c>
      <c r="E47" s="10" t="str">
        <f>+VLOOKUP(D47,ARTICULO!$A$2:$B$1048576,2,FALSE)</f>
        <v>PASTA DE MANI ORIGINAL X 350GR X 12U- Mani king</v>
      </c>
      <c r="F47" s="7" t="s">
        <v>31</v>
      </c>
      <c r="G47" s="7">
        <v>4.0</v>
      </c>
      <c r="H47" s="8">
        <v>22616.0</v>
      </c>
      <c r="I47" s="8">
        <f t="shared" si="1"/>
        <v>90464</v>
      </c>
    </row>
    <row r="48" ht="15.75" customHeight="1">
      <c r="A48" s="6">
        <v>46059.0</v>
      </c>
      <c r="B48" s="7" t="s">
        <v>97</v>
      </c>
      <c r="C48" s="7" t="s">
        <v>19</v>
      </c>
      <c r="D48" s="7">
        <v>1920.0</v>
      </c>
      <c r="E48" s="10" t="str">
        <f>+VLOOKUP(D48,ARTICULO!$A$2:$B$1048576,2,FALSE)</f>
        <v>TIERRA</v>
      </c>
      <c r="F48" s="7" t="s">
        <v>31</v>
      </c>
      <c r="G48" s="7">
        <v>30.0</v>
      </c>
      <c r="H48" s="8">
        <v>760.0</v>
      </c>
      <c r="I48" s="8">
        <f t="shared" si="1"/>
        <v>22800</v>
      </c>
    </row>
    <row r="49" ht="15.75" customHeight="1">
      <c r="A49" s="6">
        <v>46059.0</v>
      </c>
      <c r="B49" s="7" t="s">
        <v>98</v>
      </c>
      <c r="C49" s="7" t="s">
        <v>15</v>
      </c>
      <c r="D49" s="7">
        <v>10670.0</v>
      </c>
      <c r="E49" s="10" t="str">
        <f>+VLOOKUP(D49,ARTICULO!$A$2:$B$1048576,2,FALSE)</f>
        <v>MANI TOSTADO KING X KG</v>
      </c>
      <c r="F49" s="7" t="s">
        <v>31</v>
      </c>
      <c r="G49" s="7">
        <v>3.0</v>
      </c>
      <c r="H49" s="8">
        <v>4442.0</v>
      </c>
      <c r="I49" s="8">
        <f t="shared" si="1"/>
        <v>13326</v>
      </c>
    </row>
    <row r="50" ht="15.75" customHeight="1">
      <c r="A50" s="6">
        <v>46059.0</v>
      </c>
      <c r="B50" s="7" t="s">
        <v>98</v>
      </c>
      <c r="C50" s="7" t="s">
        <v>15</v>
      </c>
      <c r="D50" s="7">
        <v>10672.0</v>
      </c>
      <c r="E50" s="10" t="str">
        <f>+VLOOKUP(D50,ARTICULO!$A$2:$B$1048576,2,FALSE)</f>
        <v>MANI TOSTADO SALADO X KG - Mani king</v>
      </c>
      <c r="F50" s="7" t="s">
        <v>74</v>
      </c>
      <c r="G50" s="7">
        <v>18.0</v>
      </c>
      <c r="H50" s="8">
        <v>4444.0</v>
      </c>
      <c r="I50" s="8">
        <f t="shared" si="1"/>
        <v>79992</v>
      </c>
    </row>
    <row r="51" ht="15.75" customHeight="1">
      <c r="A51" s="6">
        <v>46059.0</v>
      </c>
      <c r="B51" s="7" t="s">
        <v>99</v>
      </c>
      <c r="C51" s="7" t="s">
        <v>15</v>
      </c>
      <c r="D51" s="7">
        <v>311.0</v>
      </c>
      <c r="E51" s="10" t="str">
        <f>+VLOOKUP(D51,ARTICULO!$A$2:$B$1048576,2,FALSE)</f>
        <v>ANILLOS FRUTADOS x 2.5 Kg</v>
      </c>
      <c r="F51" s="7" t="s">
        <v>31</v>
      </c>
      <c r="G51" s="7">
        <v>10.0</v>
      </c>
      <c r="H51" s="8">
        <v>9621.0</v>
      </c>
      <c r="I51" s="8">
        <f t="shared" si="1"/>
        <v>96210</v>
      </c>
    </row>
    <row r="52" ht="15.75" customHeight="1">
      <c r="A52" s="6">
        <v>46059.0</v>
      </c>
      <c r="B52" s="7" t="s">
        <v>100</v>
      </c>
      <c r="C52" s="7" t="s">
        <v>19</v>
      </c>
      <c r="D52" s="7">
        <v>57.0</v>
      </c>
      <c r="E52" s="10" t="str">
        <f>+VLOOKUP(D52,ARTICULO!$A$2:$B$1048576,2,FALSE)</f>
        <v>PONEDORA POSTURA X 40 KG</v>
      </c>
      <c r="F52" s="7" t="s">
        <v>73</v>
      </c>
      <c r="G52" s="7">
        <v>2.0</v>
      </c>
      <c r="H52" s="8">
        <v>21765.0</v>
      </c>
      <c r="I52" s="8">
        <f t="shared" si="1"/>
        <v>43530</v>
      </c>
    </row>
    <row r="53" ht="15.75" customHeight="1">
      <c r="A53" s="6">
        <v>46059.0</v>
      </c>
      <c r="B53" s="7" t="s">
        <v>39</v>
      </c>
      <c r="C53" s="7" t="s">
        <v>15</v>
      </c>
      <c r="D53" s="7">
        <v>165.0</v>
      </c>
      <c r="E53" s="10" t="str">
        <f>+VLOOKUP(D53,ARTICULO!$A$2:$B$1048576,2,FALSE)</f>
        <v>FLECKY ADULTO CARNE  X 15 KG</v>
      </c>
      <c r="F53" s="7" t="s">
        <v>31</v>
      </c>
      <c r="G53" s="7">
        <v>1.0</v>
      </c>
      <c r="H53" s="8">
        <v>10473.0</v>
      </c>
      <c r="I53" s="8">
        <f t="shared" si="1"/>
        <v>10473</v>
      </c>
    </row>
    <row r="54" ht="15.75" customHeight="1">
      <c r="A54" s="6">
        <v>46060.0</v>
      </c>
      <c r="B54" s="7" t="s">
        <v>101</v>
      </c>
      <c r="C54" s="7" t="s">
        <v>11</v>
      </c>
      <c r="D54" s="7">
        <v>332.0</v>
      </c>
      <c r="E54" s="10" t="str">
        <f>+VLOOKUP(D54,ARTICULO!$A$2:$B$1048576,2,FALSE)</f>
        <v>CEREAL SIN AZUCAR X 2.5 KG</v>
      </c>
      <c r="F54" s="7" t="s">
        <v>73</v>
      </c>
      <c r="G54" s="7">
        <v>16.0</v>
      </c>
      <c r="H54" s="8">
        <v>9226.0</v>
      </c>
      <c r="I54" s="8">
        <f t="shared" si="1"/>
        <v>147616</v>
      </c>
    </row>
    <row r="55" ht="15.75" customHeight="1">
      <c r="A55" s="6">
        <v>46060.0</v>
      </c>
      <c r="B55" s="7" t="s">
        <v>102</v>
      </c>
      <c r="C55" s="7" t="s">
        <v>11</v>
      </c>
      <c r="D55" s="7">
        <v>1949.0</v>
      </c>
      <c r="E55" s="10" t="str">
        <f>+VLOOKUP(D55,ARTICULO!$A$2:$B$1048576,2,FALSE)</f>
        <v>CUCAXAN JERINGA X 6 GR</v>
      </c>
      <c r="F55" s="7" t="s">
        <v>73</v>
      </c>
      <c r="G55" s="7">
        <v>10.0</v>
      </c>
      <c r="H55" s="8">
        <v>2700.0</v>
      </c>
      <c r="I55" s="8">
        <f t="shared" si="1"/>
        <v>27000</v>
      </c>
    </row>
    <row r="56" ht="15.75" customHeight="1">
      <c r="A56" s="6">
        <v>46060.0</v>
      </c>
      <c r="B56" s="7" t="s">
        <v>103</v>
      </c>
      <c r="C56" s="7" t="s">
        <v>11</v>
      </c>
      <c r="D56" s="7">
        <v>11.0</v>
      </c>
      <c r="E56" s="10" t="str">
        <f>+VLOOKUP(D56,ARTICULO!$A$2:$B$1048576,2,FALSE)</f>
        <v>PAJARO 3 mm x 25 kg - GEPSA</v>
      </c>
      <c r="F56" s="7" t="s">
        <v>74</v>
      </c>
      <c r="G56" s="7">
        <v>1.0</v>
      </c>
      <c r="H56" s="8">
        <v>46698.0</v>
      </c>
      <c r="I56" s="8">
        <f t="shared" si="1"/>
        <v>46698</v>
      </c>
    </row>
    <row r="57" ht="15.75" customHeight="1">
      <c r="A57" s="6">
        <v>46060.0</v>
      </c>
      <c r="B57" s="7" t="s">
        <v>103</v>
      </c>
      <c r="C57" s="7" t="s">
        <v>11</v>
      </c>
      <c r="D57" s="7">
        <v>703.0</v>
      </c>
      <c r="E57" s="10" t="str">
        <f>+VLOOKUP(D57,ARTICULO!$A$2:$B$1048576,2,FALSE)</f>
        <v>AVENA ARROLLADA</v>
      </c>
      <c r="F57" s="7" t="s">
        <v>73</v>
      </c>
      <c r="G57" s="7">
        <v>40.0</v>
      </c>
      <c r="H57" s="8">
        <v>1505.0</v>
      </c>
      <c r="I57" s="8">
        <f t="shared" si="1"/>
        <v>60200</v>
      </c>
    </row>
    <row r="58" ht="15.75" customHeight="1">
      <c r="A58" s="6">
        <v>46062.0</v>
      </c>
      <c r="B58" s="7" t="s">
        <v>104</v>
      </c>
      <c r="C58" s="7" t="s">
        <v>19</v>
      </c>
      <c r="D58" s="7">
        <v>243.0</v>
      </c>
      <c r="E58" s="10" t="str">
        <f>+VLOOKUP(D58,ARTICULO!$A$2:$B$1048576,2,FALSE)</f>
        <v>CHEF CAT GATOS ADULTOS X 15 KG</v>
      </c>
      <c r="F58" s="7" t="s">
        <v>68</v>
      </c>
      <c r="G58" s="7">
        <v>1.0</v>
      </c>
      <c r="H58" s="8">
        <v>20718.0</v>
      </c>
      <c r="I58" s="8">
        <f t="shared" si="1"/>
        <v>20718</v>
      </c>
    </row>
    <row r="59" ht="15.75" customHeight="1">
      <c r="A59" s="6">
        <v>46062.0</v>
      </c>
      <c r="B59" s="7" t="s">
        <v>104</v>
      </c>
      <c r="C59" s="7" t="s">
        <v>19</v>
      </c>
      <c r="D59" s="7">
        <v>242.0</v>
      </c>
      <c r="E59" s="10" t="str">
        <f>+VLOOKUP(D59,ARTICULO!$A$2:$B$1048576,2,FALSE)</f>
        <v>CHEF CAT GATOS ADULTOS X 8 KG</v>
      </c>
      <c r="F59" s="7" t="s">
        <v>68</v>
      </c>
      <c r="G59" s="7">
        <v>1.0</v>
      </c>
      <c r="H59" s="8">
        <v>13374.0</v>
      </c>
      <c r="I59" s="8">
        <f t="shared" si="1"/>
        <v>13374</v>
      </c>
    </row>
    <row r="60" ht="15.75" customHeight="1">
      <c r="A60" s="6">
        <v>46062.0</v>
      </c>
      <c r="B60" s="7" t="s">
        <v>104</v>
      </c>
      <c r="C60" s="7" t="s">
        <v>19</v>
      </c>
      <c r="D60" s="7">
        <v>718.0</v>
      </c>
      <c r="E60" s="10" t="str">
        <f>+VLOOKUP(D60,ARTICULO!$A$2:$B$1048576,2,FALSE)</f>
        <v>MAICENA</v>
      </c>
      <c r="F60" s="7" t="s">
        <v>68</v>
      </c>
      <c r="G60" s="7">
        <v>10.0</v>
      </c>
      <c r="H60" s="8">
        <v>1950.0</v>
      </c>
      <c r="I60" s="8">
        <f t="shared" si="1"/>
        <v>19500</v>
      </c>
    </row>
    <row r="61" ht="15.75" customHeight="1">
      <c r="A61" s="6">
        <v>46062.0</v>
      </c>
      <c r="B61" s="7" t="s">
        <v>46</v>
      </c>
      <c r="C61" s="7" t="s">
        <v>11</v>
      </c>
      <c r="D61" s="7">
        <v>57.0</v>
      </c>
      <c r="E61" s="10" t="str">
        <f>+VLOOKUP(D61,ARTICULO!$A$2:$B$1048576,2,FALSE)</f>
        <v>PONEDORA POSTURA X 40 KG</v>
      </c>
      <c r="F61" s="7" t="s">
        <v>31</v>
      </c>
      <c r="G61" s="7">
        <v>2.0</v>
      </c>
      <c r="H61" s="8">
        <v>21973.0</v>
      </c>
      <c r="I61" s="8">
        <f t="shared" si="1"/>
        <v>43946</v>
      </c>
    </row>
    <row r="62" ht="15.75" customHeight="1">
      <c r="A62" s="6">
        <v>46062.0</v>
      </c>
      <c r="B62" s="7" t="s">
        <v>105</v>
      </c>
      <c r="C62" s="7" t="s">
        <v>19</v>
      </c>
      <c r="D62" s="7">
        <v>330.0</v>
      </c>
      <c r="E62" s="10" t="str">
        <f>+VLOOKUP(D62,ARTICULO!$A$2:$B$1048576,2,FALSE)</f>
        <v>CEREAL CON AZUCAR x 2.5 Kg</v>
      </c>
      <c r="F62" s="7" t="s">
        <v>73</v>
      </c>
      <c r="G62" s="7">
        <v>10.0</v>
      </c>
      <c r="H62" s="8">
        <v>9395.0</v>
      </c>
      <c r="I62" s="8">
        <f t="shared" si="1"/>
        <v>93950</v>
      </c>
    </row>
    <row r="63" ht="15.75" customHeight="1">
      <c r="A63" s="6">
        <v>46062.0</v>
      </c>
      <c r="B63" s="7" t="s">
        <v>106</v>
      </c>
      <c r="C63" s="7" t="s">
        <v>17</v>
      </c>
      <c r="D63" s="7">
        <v>233.0</v>
      </c>
      <c r="E63" s="10" t="str">
        <f>+VLOOKUP(D63,ARTICULO!$A$2:$B$1048576,2,FALSE)</f>
        <v>EXACT PREMIUM GATO URINARIO 8KG</v>
      </c>
      <c r="F63" s="7" t="s">
        <v>73</v>
      </c>
      <c r="G63" s="7">
        <v>5.0</v>
      </c>
      <c r="H63" s="47">
        <v>19459.0</v>
      </c>
      <c r="I63" s="8">
        <f t="shared" si="1"/>
        <v>97295</v>
      </c>
    </row>
    <row r="64" ht="15.75" customHeight="1">
      <c r="A64" s="6">
        <v>46062.0</v>
      </c>
      <c r="B64" s="7" t="s">
        <v>107</v>
      </c>
      <c r="C64" s="7" t="s">
        <v>19</v>
      </c>
      <c r="D64" s="7">
        <v>3.0</v>
      </c>
      <c r="E64" s="10" t="str">
        <f>+VLOOKUP(D64,ARTICULO!$A$2:$B$1048576,2,FALSE)</f>
        <v>ENGORDE x 25 Kg</v>
      </c>
      <c r="F64" s="7" t="s">
        <v>74</v>
      </c>
      <c r="G64" s="7">
        <v>1.0</v>
      </c>
      <c r="H64" s="8">
        <v>17478.0</v>
      </c>
      <c r="I64" s="8">
        <f t="shared" si="1"/>
        <v>17478</v>
      </c>
    </row>
    <row r="65" ht="15.75" customHeight="1">
      <c r="A65" s="6">
        <v>46062.0</v>
      </c>
      <c r="B65" s="7" t="s">
        <v>108</v>
      </c>
      <c r="C65" s="7" t="s">
        <v>17</v>
      </c>
      <c r="D65" s="7">
        <v>478.0</v>
      </c>
      <c r="E65" s="10" t="str">
        <f>+VLOOKUP(D65,ARTICULO!$A$2:$B$1048576,2,FALSE)</f>
        <v>MAIZ QUEBRADO GRUESO X 30 KG</v>
      </c>
      <c r="F65" s="7" t="s">
        <v>73</v>
      </c>
      <c r="G65" s="7">
        <v>4.0</v>
      </c>
      <c r="H65" s="8">
        <v>18685.0</v>
      </c>
      <c r="I65" s="8">
        <f t="shared" si="1"/>
        <v>74740</v>
      </c>
    </row>
    <row r="66" ht="15.75" customHeight="1">
      <c r="A66" s="6">
        <v>46063.0</v>
      </c>
      <c r="B66" s="7" t="s">
        <v>109</v>
      </c>
      <c r="C66" s="7" t="s">
        <v>11</v>
      </c>
      <c r="D66" s="7">
        <v>525.0</v>
      </c>
      <c r="E66" s="10" t="str">
        <f>+VLOOKUP(D66,ARTICULO!$A$2:$B$1048576,2,FALSE)</f>
        <v>PIMENTON MORRON</v>
      </c>
      <c r="F66" s="7" t="s">
        <v>73</v>
      </c>
      <c r="G66" s="7">
        <v>2.0</v>
      </c>
      <c r="H66" s="8">
        <v>3875.0</v>
      </c>
      <c r="I66" s="8">
        <f t="shared" si="1"/>
        <v>7750</v>
      </c>
    </row>
    <row r="67" ht="15.75" customHeight="1">
      <c r="A67" s="6">
        <v>46063.0</v>
      </c>
      <c r="B67" s="7" t="s">
        <v>109</v>
      </c>
      <c r="C67" s="7" t="s">
        <v>11</v>
      </c>
      <c r="D67" s="7">
        <v>131.0</v>
      </c>
      <c r="E67" s="10" t="str">
        <f>+VLOOKUP(D67,ARTICULO!$A$2:$B$1048576,2,FALSE)</f>
        <v>GRAN CAMPEON CACHORRO X 10 KG</v>
      </c>
      <c r="F67" s="7" t="s">
        <v>73</v>
      </c>
      <c r="G67" s="7">
        <v>9.0</v>
      </c>
      <c r="H67" s="8">
        <v>15514.0</v>
      </c>
      <c r="I67" s="8">
        <f t="shared" si="1"/>
        <v>139626</v>
      </c>
    </row>
    <row r="68" ht="15.75" customHeight="1">
      <c r="A68" s="6">
        <v>46064.0</v>
      </c>
      <c r="B68" s="7" t="s">
        <v>110</v>
      </c>
      <c r="C68" s="7" t="s">
        <v>11</v>
      </c>
      <c r="D68" s="7">
        <v>508.0</v>
      </c>
      <c r="E68" s="10" t="str">
        <f>+VLOOKUP(D68,ARTICULO!$A$2:$B$1048576,2,FALSE)</f>
        <v>COCO RALLADO</v>
      </c>
      <c r="F68" s="7" t="s">
        <v>74</v>
      </c>
      <c r="G68" s="7">
        <v>1.0</v>
      </c>
      <c r="H68" s="8">
        <v>12750.0</v>
      </c>
      <c r="I68" s="8">
        <f t="shared" si="1"/>
        <v>12750</v>
      </c>
    </row>
    <row r="69" ht="15.75" customHeight="1">
      <c r="A69" s="6">
        <v>46064.0</v>
      </c>
      <c r="B69" s="7" t="s">
        <v>111</v>
      </c>
      <c r="C69" s="7" t="s">
        <v>11</v>
      </c>
      <c r="D69" s="7">
        <v>478.0</v>
      </c>
      <c r="E69" s="10" t="str">
        <f>+VLOOKUP(D69,ARTICULO!$A$2:$B$1048576,2,FALSE)</f>
        <v>MAIZ QUEBRADO GRUESO X 30 KG</v>
      </c>
      <c r="F69" s="7" t="s">
        <v>73</v>
      </c>
      <c r="G69" s="7">
        <v>1.0</v>
      </c>
      <c r="H69" s="8">
        <v>18685.0</v>
      </c>
      <c r="I69" s="8">
        <f t="shared" si="1"/>
        <v>18685</v>
      </c>
    </row>
    <row r="70" ht="15.75" customHeight="1">
      <c r="A70" s="6">
        <v>46064.0</v>
      </c>
      <c r="B70" s="7" t="s">
        <v>111</v>
      </c>
      <c r="C70" s="7" t="s">
        <v>11</v>
      </c>
      <c r="D70" s="7">
        <v>610.0</v>
      </c>
      <c r="E70" s="10" t="str">
        <f>+VLOOKUP(D70,ARTICULO!$A$2:$B$1048576,2,FALSE)</f>
        <v>MIX ENERGETICO S/C</v>
      </c>
      <c r="F70" s="7" t="s">
        <v>73</v>
      </c>
      <c r="G70" s="7">
        <v>1.0</v>
      </c>
      <c r="H70" s="8">
        <v>8994.0</v>
      </c>
      <c r="I70" s="8">
        <f t="shared" si="1"/>
        <v>8994</v>
      </c>
    </row>
    <row r="71" ht="15.75" customHeight="1">
      <c r="A71" s="6">
        <v>46064.0</v>
      </c>
      <c r="B71" s="7" t="s">
        <v>112</v>
      </c>
      <c r="C71" s="7" t="s">
        <v>15</v>
      </c>
      <c r="D71" s="7">
        <v>140.0</v>
      </c>
      <c r="E71" s="10" t="str">
        <f>+VLOOKUP(D71,ARTICULO!$A$2:$B$1048576,2,FALSE)</f>
        <v>GRAN CAMPEON MANTENIMIENTO x 21KG</v>
      </c>
      <c r="F71" s="7" t="s">
        <v>68</v>
      </c>
      <c r="G71" s="7">
        <v>5.0</v>
      </c>
      <c r="H71" s="8">
        <v>25392.0</v>
      </c>
      <c r="I71" s="8">
        <f t="shared" si="1"/>
        <v>126960</v>
      </c>
    </row>
    <row r="72" ht="15.75" customHeight="1">
      <c r="A72" s="6">
        <v>46064.0</v>
      </c>
      <c r="B72" s="7" t="s">
        <v>112</v>
      </c>
      <c r="C72" s="7" t="s">
        <v>15</v>
      </c>
      <c r="D72" s="7">
        <v>131.0</v>
      </c>
      <c r="E72" s="10" t="str">
        <f>+VLOOKUP(D72,ARTICULO!$A$2:$B$1048576,2,FALSE)</f>
        <v>GRAN CAMPEON CACHORRO X 10 KG</v>
      </c>
      <c r="F72" s="7" t="s">
        <v>68</v>
      </c>
      <c r="G72" s="7">
        <v>2.0</v>
      </c>
      <c r="H72" s="8">
        <v>15514.0</v>
      </c>
      <c r="I72" s="8">
        <f t="shared" si="1"/>
        <v>31028</v>
      </c>
    </row>
    <row r="73" ht="15.75" customHeight="1">
      <c r="A73" s="6">
        <v>46064.0</v>
      </c>
      <c r="B73" s="7" t="s">
        <v>113</v>
      </c>
      <c r="C73" s="7" t="s">
        <v>15</v>
      </c>
      <c r="D73" s="7">
        <v>718.0</v>
      </c>
      <c r="E73" s="10" t="str">
        <f>+VLOOKUP(D73,ARTICULO!$A$2:$B$1048576,2,FALSE)</f>
        <v>MAICENA</v>
      </c>
      <c r="F73" s="7" t="s">
        <v>73</v>
      </c>
      <c r="G73" s="7">
        <v>10.0</v>
      </c>
      <c r="H73" s="8">
        <v>1690.0</v>
      </c>
      <c r="I73" s="8">
        <f t="shared" si="1"/>
        <v>16900</v>
      </c>
    </row>
    <row r="74" ht="15.75" customHeight="1">
      <c r="A74" s="6">
        <v>46064.0</v>
      </c>
      <c r="B74" s="7" t="s">
        <v>114</v>
      </c>
      <c r="C74" s="7" t="s">
        <v>15</v>
      </c>
      <c r="D74" s="7">
        <v>320.0</v>
      </c>
      <c r="E74" s="10" t="str">
        <f>+VLOOKUP(D74,ARTICULO!$A$2:$B$1048576,2,FALSE)</f>
        <v>BOLITAS DE CHOCOLATE x 2.5 Kg</v>
      </c>
      <c r="F74" s="7" t="s">
        <v>73</v>
      </c>
      <c r="G74" s="7">
        <v>4.0</v>
      </c>
      <c r="H74" s="8">
        <v>10838.0</v>
      </c>
      <c r="I74" s="8">
        <f t="shared" si="1"/>
        <v>43352</v>
      </c>
    </row>
    <row r="75" ht="15.75" customHeight="1">
      <c r="A75" s="6">
        <v>46064.0</v>
      </c>
      <c r="B75" s="7" t="s">
        <v>114</v>
      </c>
      <c r="C75" s="7" t="s">
        <v>15</v>
      </c>
      <c r="D75" s="7">
        <v>508.0</v>
      </c>
      <c r="E75" s="10" t="str">
        <f>+VLOOKUP(D75,ARTICULO!$A$2:$B$1048576,2,FALSE)</f>
        <v>COCO RALLADO</v>
      </c>
      <c r="F75" s="7" t="s">
        <v>31</v>
      </c>
      <c r="G75" s="7">
        <v>2.0</v>
      </c>
      <c r="H75" s="8">
        <v>12240.0</v>
      </c>
      <c r="I75" s="8">
        <f t="shared" si="1"/>
        <v>24480</v>
      </c>
    </row>
    <row r="76" ht="15.75" customHeight="1">
      <c r="A76" s="6">
        <v>46065.0</v>
      </c>
      <c r="B76" s="7" t="s">
        <v>115</v>
      </c>
      <c r="C76" s="7" t="s">
        <v>19</v>
      </c>
      <c r="D76" s="7">
        <v>482.0</v>
      </c>
      <c r="E76" s="10" t="str">
        <f>+VLOOKUP(D76,ARTICULO!$A$2:$B$1048576,2,FALSE)</f>
        <v>MEZCLA FINA ESPECIAL (CARDENAL)</v>
      </c>
      <c r="F76" s="7" t="s">
        <v>73</v>
      </c>
      <c r="G76" s="7">
        <v>60.0</v>
      </c>
      <c r="H76" s="8">
        <v>719.0</v>
      </c>
      <c r="I76" s="8">
        <f t="shared" si="1"/>
        <v>43140</v>
      </c>
    </row>
    <row r="77" ht="15.75" customHeight="1">
      <c r="A77" s="6">
        <v>46065.0</v>
      </c>
      <c r="B77" s="7" t="s">
        <v>116</v>
      </c>
      <c r="C77" s="7" t="s">
        <v>17</v>
      </c>
      <c r="D77" s="7">
        <v>402.0</v>
      </c>
      <c r="E77" s="10" t="str">
        <f>+VLOOKUP(D77,ARTICULO!$A$2:$B$1048576,2,FALSE)</f>
        <v>MIJO</v>
      </c>
      <c r="F77" s="7" t="s">
        <v>73</v>
      </c>
      <c r="G77" s="7">
        <v>25.0</v>
      </c>
      <c r="H77" s="8">
        <v>606.0</v>
      </c>
      <c r="I77" s="8">
        <f t="shared" si="1"/>
        <v>15150</v>
      </c>
    </row>
    <row r="78" ht="15.75" customHeight="1">
      <c r="A78" s="6">
        <v>46065.0</v>
      </c>
      <c r="B78" s="7" t="s">
        <v>58</v>
      </c>
      <c r="C78" s="7" t="s">
        <v>19</v>
      </c>
      <c r="D78" s="7">
        <v>1920.0</v>
      </c>
      <c r="E78" s="10" t="str">
        <f>+VLOOKUP(D78,ARTICULO!$A$2:$B$1048576,2,FALSE)</f>
        <v>TIERRA</v>
      </c>
      <c r="F78" s="7" t="s">
        <v>74</v>
      </c>
      <c r="G78" s="7">
        <v>10.0</v>
      </c>
      <c r="H78" s="8">
        <v>800.0</v>
      </c>
      <c r="I78" s="8">
        <f t="shared" si="1"/>
        <v>8000</v>
      </c>
    </row>
    <row r="79" ht="15.75" customHeight="1">
      <c r="A79" s="6">
        <v>46065.0</v>
      </c>
      <c r="B79" s="7" t="s">
        <v>58</v>
      </c>
      <c r="C79" s="7" t="s">
        <v>19</v>
      </c>
      <c r="D79" s="7">
        <v>402.0</v>
      </c>
      <c r="E79" s="10" t="str">
        <f>+VLOOKUP(D79,ARTICULO!$A$2:$B$1048576,2,FALSE)</f>
        <v>MIJO</v>
      </c>
      <c r="F79" s="7" t="s">
        <v>74</v>
      </c>
      <c r="G79" s="7">
        <v>25.0</v>
      </c>
      <c r="H79" s="8">
        <v>627.0</v>
      </c>
      <c r="I79" s="8">
        <f t="shared" si="1"/>
        <v>15675</v>
      </c>
    </row>
    <row r="80" ht="15.75" customHeight="1">
      <c r="A80" s="6">
        <v>46065.0</v>
      </c>
      <c r="B80" s="7" t="s">
        <v>58</v>
      </c>
      <c r="C80" s="7" t="s">
        <v>19</v>
      </c>
      <c r="D80" s="7">
        <v>708.0</v>
      </c>
      <c r="E80" s="10" t="str">
        <f>+VLOOKUP(D80,ARTICULO!$A$2:$B$1048576,2,FALSE)</f>
        <v>CHIA</v>
      </c>
      <c r="F80" s="7" t="s">
        <v>74</v>
      </c>
      <c r="G80" s="7">
        <v>8.0</v>
      </c>
      <c r="H80" s="8">
        <v>5980.0</v>
      </c>
      <c r="I80" s="8">
        <f t="shared" si="1"/>
        <v>47840</v>
      </c>
    </row>
    <row r="81" ht="15.75" customHeight="1">
      <c r="A81" s="6">
        <v>46065.0</v>
      </c>
      <c r="B81" s="7" t="s">
        <v>58</v>
      </c>
      <c r="C81" s="7" t="s">
        <v>19</v>
      </c>
      <c r="D81" s="7">
        <v>301.0</v>
      </c>
      <c r="E81" s="10" t="str">
        <f>+VLOOKUP(D81,ARTICULO!$A$2:$B$1048576,2,FALSE)</f>
        <v>ALMOHADITA DE FRUTILLA X 2.5 KG</v>
      </c>
      <c r="F81" s="7" t="s">
        <v>74</v>
      </c>
      <c r="G81" s="7">
        <v>1.0</v>
      </c>
      <c r="H81" s="8">
        <v>15020.0</v>
      </c>
      <c r="I81" s="8">
        <f t="shared" si="1"/>
        <v>15020</v>
      </c>
    </row>
    <row r="82" ht="15.75" customHeight="1">
      <c r="A82" s="6">
        <v>46065.0</v>
      </c>
      <c r="B82" s="7" t="s">
        <v>58</v>
      </c>
      <c r="C82" s="7" t="s">
        <v>19</v>
      </c>
      <c r="D82" s="7">
        <v>602.0</v>
      </c>
      <c r="E82" s="10" t="str">
        <f>+VLOOKUP(D82,ARTICULO!$A$2:$B$1048576,2,FALSE)</f>
        <v>CIRUELA</v>
      </c>
      <c r="F82" s="7" t="s">
        <v>74</v>
      </c>
      <c r="G82" s="7">
        <v>10.0</v>
      </c>
      <c r="H82" s="8">
        <v>4970.0</v>
      </c>
      <c r="I82" s="8">
        <f t="shared" si="1"/>
        <v>49700</v>
      </c>
    </row>
    <row r="83" ht="15.75" customHeight="1">
      <c r="A83" s="6">
        <v>46065.0</v>
      </c>
      <c r="B83" s="7" t="s">
        <v>91</v>
      </c>
      <c r="C83" s="7" t="s">
        <v>19</v>
      </c>
      <c r="D83" s="7">
        <v>703.0</v>
      </c>
      <c r="E83" s="10" t="str">
        <f>+VLOOKUP(D83,ARTICULO!$A$2:$B$1048576,2,FALSE)</f>
        <v>AVENA ARROLLADA</v>
      </c>
      <c r="F83" s="7" t="s">
        <v>73</v>
      </c>
      <c r="G83" s="7">
        <v>25.0</v>
      </c>
      <c r="H83" s="8">
        <v>1505.0</v>
      </c>
      <c r="I83" s="8">
        <f t="shared" si="1"/>
        <v>37625</v>
      </c>
    </row>
    <row r="84" ht="15.75" customHeight="1">
      <c r="A84" s="6">
        <v>46065.0</v>
      </c>
      <c r="B84" s="7" t="s">
        <v>91</v>
      </c>
      <c r="C84" s="7" t="s">
        <v>19</v>
      </c>
      <c r="D84" s="7">
        <v>704.0</v>
      </c>
      <c r="E84" s="10" t="str">
        <f>+VLOOKUP(D84,ARTICULO!$A$2:$B$1048576,2,FALSE)</f>
        <v>AVENA INSTANTANEA</v>
      </c>
      <c r="F84" s="7" t="s">
        <v>73</v>
      </c>
      <c r="G84" s="7">
        <v>20.0</v>
      </c>
      <c r="H84" s="8">
        <v>1557.0</v>
      </c>
      <c r="I84" s="8">
        <f t="shared" si="1"/>
        <v>31140</v>
      </c>
    </row>
    <row r="85" ht="15.75" customHeight="1">
      <c r="A85" s="6">
        <v>46066.0</v>
      </c>
      <c r="B85" s="7" t="s">
        <v>30</v>
      </c>
      <c r="C85" s="7" t="s">
        <v>17</v>
      </c>
      <c r="D85" s="7">
        <v>528.0</v>
      </c>
      <c r="E85" s="10" t="str">
        <f>+VLOOKUP(D85,ARTICULO!$A$2:$B$1048576,2,FALSE)</f>
        <v>CACAO AMARGO</v>
      </c>
      <c r="F85" s="7" t="s">
        <v>31</v>
      </c>
      <c r="G85" s="11">
        <v>2.0</v>
      </c>
      <c r="H85" s="8">
        <v>10353.0</v>
      </c>
      <c r="I85" s="8">
        <f t="shared" si="1"/>
        <v>20706</v>
      </c>
    </row>
    <row r="86" ht="15.75" customHeight="1">
      <c r="A86" s="6">
        <v>46066.0</v>
      </c>
      <c r="B86" s="7" t="s">
        <v>117</v>
      </c>
      <c r="C86" s="7" t="s">
        <v>19</v>
      </c>
      <c r="D86" s="7">
        <v>131.0</v>
      </c>
      <c r="E86" s="10" t="str">
        <f>+VLOOKUP(D86,ARTICULO!$A$2:$B$1048576,2,FALSE)</f>
        <v>GRAN CAMPEON CACHORRO X 10 KG</v>
      </c>
      <c r="F86" s="7" t="s">
        <v>73</v>
      </c>
      <c r="G86" s="7">
        <v>5.0</v>
      </c>
      <c r="H86" s="8">
        <v>15514.0</v>
      </c>
      <c r="I86" s="8">
        <f t="shared" si="1"/>
        <v>77570</v>
      </c>
    </row>
    <row r="87" ht="15.75" customHeight="1">
      <c r="A87" s="6">
        <v>46066.0</v>
      </c>
      <c r="B87" s="7" t="s">
        <v>117</v>
      </c>
      <c r="C87" s="7" t="s">
        <v>19</v>
      </c>
      <c r="D87" s="7">
        <v>6.0</v>
      </c>
      <c r="E87" s="10" t="str">
        <f>+VLOOKUP(D87,ARTICULO!$A$2:$B$1048576,2,FALSE)</f>
        <v>CONEJO X 25 KG - CONECAR</v>
      </c>
      <c r="F87" s="7" t="s">
        <v>74</v>
      </c>
      <c r="G87" s="7">
        <v>5.0</v>
      </c>
      <c r="H87" s="8">
        <v>14702.0</v>
      </c>
      <c r="I87" s="8">
        <f t="shared" si="1"/>
        <v>73510</v>
      </c>
    </row>
    <row r="88" ht="15.75" customHeight="1">
      <c r="A88" s="6">
        <v>46066.0</v>
      </c>
      <c r="B88" s="7" t="s">
        <v>118</v>
      </c>
      <c r="C88" s="7" t="s">
        <v>17</v>
      </c>
      <c r="D88" s="7">
        <v>507.0</v>
      </c>
      <c r="E88" s="10" t="str">
        <f>+VLOOKUP(D88,ARTICULO!$A$2:$B$1048576,2,FALSE)</f>
        <v>BICARBONATO</v>
      </c>
      <c r="F88" s="7" t="s">
        <v>74</v>
      </c>
      <c r="G88" s="7">
        <v>1.0</v>
      </c>
      <c r="H88" s="8">
        <v>3382.0</v>
      </c>
      <c r="I88" s="8">
        <f t="shared" si="1"/>
        <v>3382</v>
      </c>
    </row>
    <row r="89" ht="15.75" customHeight="1">
      <c r="A89" s="6">
        <v>46066.0</v>
      </c>
      <c r="B89" s="7" t="s">
        <v>119</v>
      </c>
      <c r="C89" s="7" t="s">
        <v>19</v>
      </c>
      <c r="D89" s="7">
        <v>722.0</v>
      </c>
      <c r="E89" s="10" t="str">
        <f>+VLOOKUP(D89,ARTICULO!$A$2:$B$1048576,2,FALSE)</f>
        <v>POLENTA</v>
      </c>
      <c r="F89" s="7" t="s">
        <v>73</v>
      </c>
      <c r="G89" s="7">
        <v>25.0</v>
      </c>
      <c r="H89" s="8">
        <v>782.0</v>
      </c>
      <c r="I89" s="8">
        <f t="shared" si="1"/>
        <v>19550</v>
      </c>
    </row>
    <row r="90" ht="15.75" customHeight="1">
      <c r="A90" s="6">
        <v>46066.0</v>
      </c>
      <c r="B90" s="7" t="s">
        <v>107</v>
      </c>
      <c r="C90" s="7" t="s">
        <v>19</v>
      </c>
      <c r="D90" s="7">
        <v>1949.0</v>
      </c>
      <c r="E90" s="10" t="str">
        <f>+VLOOKUP(D90,ARTICULO!$A$2:$B$1048576,2,FALSE)</f>
        <v>CUCAXAN JERINGA X 6 GR</v>
      </c>
      <c r="F90" s="7" t="s">
        <v>74</v>
      </c>
      <c r="G90" s="7">
        <v>24.0</v>
      </c>
      <c r="H90" s="8">
        <v>2362.0</v>
      </c>
      <c r="I90" s="8">
        <f t="shared" si="1"/>
        <v>56688</v>
      </c>
    </row>
    <row r="91" ht="15.75" customHeight="1">
      <c r="A91" s="6">
        <v>46066.0</v>
      </c>
      <c r="B91" s="7" t="s">
        <v>120</v>
      </c>
      <c r="C91" s="7" t="s">
        <v>11</v>
      </c>
      <c r="D91" s="7">
        <v>130.0</v>
      </c>
      <c r="E91" s="10" t="str">
        <f>+VLOOKUP(D91,ARTICULO!$A$2:$B$1048576,2,FALSE)</f>
        <v>GRAN CAMPEON AD ROJO Carne y Pollo X 21 KG</v>
      </c>
      <c r="F91" s="7" t="s">
        <v>73</v>
      </c>
      <c r="G91" s="7">
        <v>1.0</v>
      </c>
      <c r="H91" s="8">
        <v>25392.0</v>
      </c>
      <c r="I91" s="8">
        <f t="shared" si="1"/>
        <v>25392</v>
      </c>
    </row>
    <row r="92" ht="15.75" customHeight="1">
      <c r="A92" s="6">
        <v>46066.0</v>
      </c>
      <c r="B92" s="7" t="s">
        <v>35</v>
      </c>
      <c r="C92" s="7" t="s">
        <v>15</v>
      </c>
      <c r="D92" s="7">
        <v>406.0</v>
      </c>
      <c r="E92" s="10" t="str">
        <f>+VLOOKUP(D92,ARTICULO!$A$2:$B$1048576,2,FALSE)</f>
        <v>MIX SEMILLAS</v>
      </c>
      <c r="F92" s="7" t="s">
        <v>73</v>
      </c>
      <c r="G92" s="7">
        <v>1.0</v>
      </c>
      <c r="H92" s="8">
        <v>4097.0</v>
      </c>
      <c r="I92" s="8">
        <f t="shared" si="1"/>
        <v>4097</v>
      </c>
    </row>
    <row r="93" ht="15.75" customHeight="1">
      <c r="A93" s="6">
        <v>46066.0</v>
      </c>
      <c r="B93" s="7" t="s">
        <v>121</v>
      </c>
      <c r="C93" s="7" t="s">
        <v>15</v>
      </c>
      <c r="D93" s="7">
        <v>350.0</v>
      </c>
      <c r="E93" s="10" t="str">
        <f>+VLOOKUP(D93,ARTICULO!$A$2:$B$1048576,2,FALSE)</f>
        <v>GRANOLA CHOCOLATE X 1KG</v>
      </c>
      <c r="F93" s="7" t="s">
        <v>31</v>
      </c>
      <c r="G93" s="7">
        <v>14.0</v>
      </c>
      <c r="H93" s="8">
        <v>6647.0</v>
      </c>
      <c r="I93" s="8">
        <f t="shared" si="1"/>
        <v>93058</v>
      </c>
    </row>
    <row r="94" ht="15.75" customHeight="1">
      <c r="A94" s="6">
        <v>46066.0</v>
      </c>
      <c r="B94" s="7" t="s">
        <v>122</v>
      </c>
      <c r="C94" s="7" t="s">
        <v>19</v>
      </c>
      <c r="D94" s="7">
        <v>651.0</v>
      </c>
      <c r="E94" s="10" t="str">
        <f>+VLOOKUP(D94,ARTICULO!$A$2:$B$1048576,2,FALSE)</f>
        <v>MANI PELADO</v>
      </c>
      <c r="F94" s="7" t="s">
        <v>73</v>
      </c>
      <c r="G94" s="7">
        <v>6.0</v>
      </c>
      <c r="H94" s="8">
        <v>3879.0</v>
      </c>
      <c r="I94" s="8">
        <f t="shared" si="1"/>
        <v>23274</v>
      </c>
    </row>
    <row r="95" ht="15.75" customHeight="1">
      <c r="A95" s="43">
        <v>46066.0</v>
      </c>
      <c r="B95" s="44" t="s">
        <v>123</v>
      </c>
      <c r="C95" s="44" t="s">
        <v>19</v>
      </c>
      <c r="D95" s="44">
        <v>301.0</v>
      </c>
      <c r="E95" s="45" t="str">
        <f>+VLOOKUP(D95,ARTICULO!$A$2:$B$1048576,2,FALSE)</f>
        <v>ALMOHADITA DE FRUTILLA X 2.5 KG</v>
      </c>
      <c r="F95" s="44" t="s">
        <v>92</v>
      </c>
      <c r="G95" s="44">
        <v>28.0</v>
      </c>
      <c r="H95" s="46">
        <v>23108.0</v>
      </c>
      <c r="I95" s="46">
        <f t="shared" si="1"/>
        <v>647024</v>
      </c>
    </row>
    <row r="96" ht="15.75" customHeight="1">
      <c r="A96" s="6">
        <v>46066.0</v>
      </c>
      <c r="B96" s="7" t="s">
        <v>124</v>
      </c>
      <c r="C96" s="7" t="s">
        <v>15</v>
      </c>
      <c r="D96" s="7">
        <v>235.0</v>
      </c>
      <c r="E96" s="7" t="str">
        <f>+VLOOKUP(D96,ARTICULO!$A$2:$B$1048576,2,FALSE)</f>
        <v>EXACT CRIADORES CACHORRO X15</v>
      </c>
      <c r="F96" s="7" t="s">
        <v>31</v>
      </c>
      <c r="G96" s="7">
        <v>4.0</v>
      </c>
      <c r="H96" s="8">
        <v>13874.0</v>
      </c>
      <c r="I96" s="8">
        <f t="shared" si="1"/>
        <v>55496</v>
      </c>
    </row>
    <row r="97" ht="15.75" customHeight="1">
      <c r="A97" s="6">
        <v>46066.0</v>
      </c>
      <c r="B97" s="7" t="s">
        <v>125</v>
      </c>
      <c r="C97" s="7" t="s">
        <v>15</v>
      </c>
      <c r="D97" s="7">
        <v>471.0</v>
      </c>
      <c r="E97" s="10" t="str">
        <f>+VLOOKUP(D97,ARTICULO!$A$2:$B$1048576,2,FALSE)</f>
        <v>PELLET</v>
      </c>
      <c r="F97" s="7" t="s">
        <v>31</v>
      </c>
      <c r="G97" s="7">
        <v>2.0</v>
      </c>
      <c r="H97" s="8">
        <v>14230.0</v>
      </c>
      <c r="I97" s="8">
        <f t="shared" si="1"/>
        <v>28460</v>
      </c>
    </row>
    <row r="98" ht="15.75" customHeight="1">
      <c r="A98" s="6">
        <v>46067.0</v>
      </c>
      <c r="B98" s="7" t="s">
        <v>100</v>
      </c>
      <c r="C98" s="7" t="s">
        <v>19</v>
      </c>
      <c r="D98" s="7">
        <v>476.0</v>
      </c>
      <c r="E98" s="10" t="str">
        <f>+VLOOKUP(D98,ARTICULO!$A$2:$B$1048576,2,FALSE)</f>
        <v>MAIZ QUEBRADO FINO X 30 KG</v>
      </c>
      <c r="F98" s="7" t="s">
        <v>31</v>
      </c>
      <c r="G98" s="7">
        <v>50.0</v>
      </c>
      <c r="H98" s="8">
        <v>616.0</v>
      </c>
      <c r="I98" s="8">
        <f t="shared" si="1"/>
        <v>30800</v>
      </c>
    </row>
    <row r="99" ht="15.75" customHeight="1">
      <c r="A99" s="6">
        <v>46067.0</v>
      </c>
      <c r="B99" s="7" t="s">
        <v>126</v>
      </c>
      <c r="C99" s="7" t="s">
        <v>11</v>
      </c>
      <c r="D99" s="7">
        <v>519.0</v>
      </c>
      <c r="E99" s="10" t="str">
        <f>+VLOOKUP(D99,ARTICULO!$A$2:$B$1048576,2,FALSE)</f>
        <v>PIMIENTA BLANCA</v>
      </c>
      <c r="F99" s="7" t="s">
        <v>73</v>
      </c>
      <c r="G99" s="7">
        <v>1.0</v>
      </c>
      <c r="H99" s="8">
        <v>7500.0</v>
      </c>
      <c r="I99" s="8">
        <f t="shared" si="1"/>
        <v>7500</v>
      </c>
    </row>
    <row r="100" ht="15.75" customHeight="1">
      <c r="A100" s="6">
        <v>46071.0</v>
      </c>
      <c r="B100" s="7" t="s">
        <v>127</v>
      </c>
      <c r="C100" s="7" t="s">
        <v>17</v>
      </c>
      <c r="D100" s="7">
        <v>59.0</v>
      </c>
      <c r="E100" s="10" t="str">
        <f>+VLOOKUP(D100,ARTICULO!$A$2:$B$1048576,2,FALSE)</f>
        <v>INICIADOR X 40 KG</v>
      </c>
      <c r="F100" s="7" t="s">
        <v>73</v>
      </c>
      <c r="G100" s="7">
        <v>1.0</v>
      </c>
      <c r="H100" s="8">
        <v>31913.0</v>
      </c>
      <c r="I100" s="8">
        <f t="shared" si="1"/>
        <v>31913</v>
      </c>
    </row>
    <row r="101" ht="15.75" customHeight="1">
      <c r="A101" s="6">
        <v>46071.0</v>
      </c>
      <c r="B101" s="7" t="s">
        <v>127</v>
      </c>
      <c r="C101" s="7" t="s">
        <v>17</v>
      </c>
      <c r="D101" s="7">
        <v>130.0</v>
      </c>
      <c r="E101" s="10" t="str">
        <f>+VLOOKUP(D101,ARTICULO!$A$2:$B$1048576,2,FALSE)</f>
        <v>GRAN CAMPEON AD ROJO Carne y Pollo X 21 KG</v>
      </c>
      <c r="F101" s="7" t="s">
        <v>73</v>
      </c>
      <c r="G101" s="7">
        <v>2.0</v>
      </c>
      <c r="H101" s="8">
        <v>25392.0</v>
      </c>
      <c r="I101" s="8">
        <f t="shared" si="1"/>
        <v>50784</v>
      </c>
    </row>
    <row r="102" ht="15.75" customHeight="1">
      <c r="A102" s="6">
        <v>46071.0</v>
      </c>
      <c r="B102" s="7" t="s">
        <v>47</v>
      </c>
      <c r="C102" s="7" t="s">
        <v>17</v>
      </c>
      <c r="D102" s="7">
        <v>602.0</v>
      </c>
      <c r="E102" s="10" t="str">
        <f>+VLOOKUP(D102,ARTICULO!$A$2:$B$1048576,2,FALSE)</f>
        <v>CIRUELA</v>
      </c>
      <c r="F102" s="7" t="s">
        <v>73</v>
      </c>
      <c r="G102" s="7">
        <v>1.0</v>
      </c>
      <c r="H102" s="8">
        <v>5325.0</v>
      </c>
      <c r="I102" s="8">
        <f t="shared" si="1"/>
        <v>5325</v>
      </c>
    </row>
    <row r="103" ht="15.75" customHeight="1">
      <c r="A103" s="6">
        <v>46071.0</v>
      </c>
      <c r="B103" s="7" t="s">
        <v>128</v>
      </c>
      <c r="C103" s="7" t="s">
        <v>17</v>
      </c>
      <c r="D103" s="7">
        <v>6.0</v>
      </c>
      <c r="E103" s="10" t="str">
        <f>+VLOOKUP(D103,ARTICULO!$A$2:$B$1048576,2,FALSE)</f>
        <v>CONEJO X 25 KG - CONECAR</v>
      </c>
      <c r="F103" s="7" t="s">
        <v>73</v>
      </c>
      <c r="G103" s="7">
        <v>1.0</v>
      </c>
      <c r="H103" s="8">
        <v>19226.0</v>
      </c>
      <c r="I103" s="8">
        <f t="shared" si="1"/>
        <v>19226</v>
      </c>
    </row>
    <row r="104" ht="15.75" customHeight="1">
      <c r="A104" s="6">
        <v>46071.0</v>
      </c>
      <c r="B104" s="7" t="s">
        <v>129</v>
      </c>
      <c r="C104" s="7" t="s">
        <v>11</v>
      </c>
      <c r="D104" s="7">
        <v>476.0</v>
      </c>
      <c r="E104" s="10" t="str">
        <f>+VLOOKUP(D104,ARTICULO!$A$2:$B$1048576,2,FALSE)</f>
        <v>MAIZ QUEBRADO FINO X 30 KG</v>
      </c>
      <c r="F104" s="7" t="s">
        <v>74</v>
      </c>
      <c r="G104" s="7">
        <v>2.0</v>
      </c>
      <c r="H104" s="8">
        <v>16817.0</v>
      </c>
      <c r="I104" s="8">
        <f t="shared" si="1"/>
        <v>33634</v>
      </c>
    </row>
    <row r="105" ht="15.75" customHeight="1">
      <c r="A105" s="6">
        <v>46071.0</v>
      </c>
      <c r="B105" s="7" t="s">
        <v>46</v>
      </c>
      <c r="C105" s="7" t="s">
        <v>11</v>
      </c>
      <c r="D105" s="7">
        <v>1135.0</v>
      </c>
      <c r="E105" s="10" t="str">
        <f>+VLOOKUP(D105,ARTICULO!$A$2:$B$1048576,2,FALSE)</f>
        <v>JARDINERA N░ 35</v>
      </c>
      <c r="F105" s="7" t="s">
        <v>74</v>
      </c>
      <c r="G105" s="7">
        <v>2.0</v>
      </c>
      <c r="H105" s="8">
        <v>1911.0</v>
      </c>
      <c r="I105" s="8">
        <f t="shared" si="1"/>
        <v>3822</v>
      </c>
    </row>
    <row r="106" ht="15.75" customHeight="1">
      <c r="A106" s="6">
        <v>46071.0</v>
      </c>
      <c r="B106" s="7" t="s">
        <v>130</v>
      </c>
      <c r="C106" s="7" t="s">
        <v>19</v>
      </c>
      <c r="D106" s="7">
        <v>992.0</v>
      </c>
      <c r="E106" s="10" t="str">
        <f>+VLOOKUP(D106,ARTICULO!$A$2:$B$1048576,2,FALSE)</f>
        <v>SHAMPOO OSSPRET TRAD. X 250 CC</v>
      </c>
      <c r="F106" s="7" t="s">
        <v>73</v>
      </c>
      <c r="G106" s="7">
        <v>24.0</v>
      </c>
      <c r="H106" s="8">
        <v>7417.0</v>
      </c>
      <c r="I106" s="8">
        <f t="shared" si="1"/>
        <v>178008</v>
      </c>
    </row>
    <row r="107" ht="15.75" customHeight="1">
      <c r="A107" s="6">
        <v>46071.0</v>
      </c>
      <c r="B107" s="7" t="s">
        <v>131</v>
      </c>
      <c r="C107" s="7" t="s">
        <v>11</v>
      </c>
      <c r="D107" s="7">
        <v>182.0</v>
      </c>
      <c r="E107" s="10" t="str">
        <f>+VLOOKUP(D107,ARTICULO!$A$2:$B$1048576,2,FALSE)</f>
        <v>PREMIUM GATO URINARY X 7,5KG</v>
      </c>
      <c r="F107" s="7" t="s">
        <v>74</v>
      </c>
      <c r="G107" s="7">
        <v>1.0</v>
      </c>
      <c r="H107" s="8">
        <v>31763.0</v>
      </c>
      <c r="I107" s="8">
        <f t="shared" si="1"/>
        <v>31763</v>
      </c>
    </row>
    <row r="108" ht="15.75" customHeight="1">
      <c r="A108" s="6">
        <v>46071.0</v>
      </c>
      <c r="B108" s="7" t="s">
        <v>132</v>
      </c>
      <c r="C108" s="7" t="s">
        <v>11</v>
      </c>
      <c r="D108" s="7">
        <v>466.0</v>
      </c>
      <c r="E108" s="10" t="str">
        <f>+VLOOKUP(D108,ARTICULO!$A$2:$B$1048576,2,FALSE)</f>
        <v>MEZCLA CON VIT. (CANARIO)</v>
      </c>
      <c r="F108" s="44" t="s">
        <v>92</v>
      </c>
      <c r="G108" s="7">
        <v>5.0</v>
      </c>
      <c r="H108" s="8">
        <v>1304.0</v>
      </c>
      <c r="I108" s="8">
        <f t="shared" si="1"/>
        <v>6520</v>
      </c>
    </row>
    <row r="109" ht="15.75" customHeight="1">
      <c r="A109" s="6">
        <v>46071.0</v>
      </c>
      <c r="B109" s="7" t="s">
        <v>132</v>
      </c>
      <c r="C109" s="7" t="s">
        <v>11</v>
      </c>
      <c r="D109" s="7">
        <v>470.0</v>
      </c>
      <c r="E109" s="10" t="str">
        <f>+VLOOKUP(D109,ARTICULO!$A$2:$B$1048576,2,FALSE)</f>
        <v>MEZCLA P/PAJARO</v>
      </c>
      <c r="F109" s="44" t="s">
        <v>92</v>
      </c>
      <c r="G109" s="7">
        <v>5.0</v>
      </c>
      <c r="H109" s="8">
        <v>1043.0</v>
      </c>
      <c r="I109" s="8">
        <f t="shared" si="1"/>
        <v>5215</v>
      </c>
    </row>
    <row r="110" ht="15.75" customHeight="1">
      <c r="A110" s="6">
        <v>46072.0</v>
      </c>
      <c r="B110" s="7" t="s">
        <v>133</v>
      </c>
      <c r="C110" s="7" t="s">
        <v>17</v>
      </c>
      <c r="D110" s="7">
        <v>610.0</v>
      </c>
      <c r="E110" s="10" t="str">
        <f>+VLOOKUP(D110,ARTICULO!$A$2:$B$1048576,2,FALSE)</f>
        <v>MIX ENERGETICO S/C</v>
      </c>
      <c r="F110" s="7" t="s">
        <v>73</v>
      </c>
      <c r="G110" s="7">
        <v>5.0</v>
      </c>
      <c r="H110" s="8">
        <v>9241.0</v>
      </c>
      <c r="I110" s="8">
        <f t="shared" si="1"/>
        <v>46205</v>
      </c>
    </row>
    <row r="111" ht="15.75" customHeight="1">
      <c r="A111" s="6">
        <v>46072.0</v>
      </c>
      <c r="B111" s="7" t="s">
        <v>134</v>
      </c>
      <c r="C111" s="7" t="s">
        <v>11</v>
      </c>
      <c r="D111" s="7">
        <v>685.0</v>
      </c>
      <c r="E111" s="7" t="str">
        <f>+VLOOKUP(D111,ARTICULO!$A$2:$B$1048576,2,FALSE)</f>
        <v>PASTA MANI NATURAL 4KG x 2U-Mani king</v>
      </c>
      <c r="F111" s="7" t="s">
        <v>73</v>
      </c>
      <c r="G111" s="7">
        <v>1.0</v>
      </c>
      <c r="H111" s="8">
        <v>15852.0</v>
      </c>
      <c r="I111" s="8">
        <f t="shared" si="1"/>
        <v>15852</v>
      </c>
    </row>
    <row r="112" ht="15.75" customHeight="1">
      <c r="A112" s="6">
        <v>46073.0</v>
      </c>
      <c r="B112" s="7" t="s">
        <v>135</v>
      </c>
      <c r="C112" s="7" t="s">
        <v>17</v>
      </c>
      <c r="D112" s="7">
        <v>528.0</v>
      </c>
      <c r="E112" s="10" t="str">
        <f>+VLOOKUP(D112,ARTICULO!$A$2:$B$1048576,2,FALSE)</f>
        <v>CACAO AMARGO</v>
      </c>
      <c r="F112" s="7" t="s">
        <v>31</v>
      </c>
      <c r="G112" s="7">
        <v>5.0</v>
      </c>
      <c r="H112" s="8">
        <v>12618.0</v>
      </c>
      <c r="I112" s="8">
        <f t="shared" si="1"/>
        <v>63090</v>
      </c>
    </row>
    <row r="113" ht="15.75" customHeight="1">
      <c r="A113" s="6">
        <v>46073.0</v>
      </c>
      <c r="B113" s="7" t="s">
        <v>30</v>
      </c>
      <c r="C113" s="7" t="s">
        <v>17</v>
      </c>
      <c r="D113" s="7">
        <v>528.0</v>
      </c>
      <c r="E113" s="10" t="str">
        <f>+VLOOKUP(D113,ARTICULO!$A$2:$B$1048576,2,FALSE)</f>
        <v>CACAO AMARGO</v>
      </c>
      <c r="F113" s="7" t="s">
        <v>31</v>
      </c>
      <c r="G113" s="7">
        <v>2.0</v>
      </c>
      <c r="H113" s="8">
        <v>12618.0</v>
      </c>
      <c r="I113" s="8">
        <f t="shared" si="1"/>
        <v>25236</v>
      </c>
    </row>
    <row r="114" ht="15.75" customHeight="1">
      <c r="A114" s="6">
        <v>46073.0</v>
      </c>
      <c r="B114" s="7" t="s">
        <v>136</v>
      </c>
      <c r="C114" s="7" t="s">
        <v>19</v>
      </c>
      <c r="D114" s="7">
        <v>521.0</v>
      </c>
      <c r="E114" s="10" t="str">
        <f>+VLOOKUP(D114,ARTICULO!$A$2:$B$1048576,2,FALSE)</f>
        <v>PROVENZAL</v>
      </c>
      <c r="F114" s="7" t="s">
        <v>73</v>
      </c>
      <c r="G114" s="7">
        <v>5.0</v>
      </c>
      <c r="H114" s="8">
        <v>2872.0</v>
      </c>
      <c r="I114" s="8">
        <f t="shared" si="1"/>
        <v>14360</v>
      </c>
    </row>
    <row r="115" ht="15.75" customHeight="1">
      <c r="A115" s="6">
        <v>46073.0</v>
      </c>
      <c r="B115" s="7" t="s">
        <v>107</v>
      </c>
      <c r="C115" s="7" t="s">
        <v>19</v>
      </c>
      <c r="D115" s="7">
        <v>362.0</v>
      </c>
      <c r="E115" s="10" t="str">
        <f>+VLOOKUP(D115,ARTICULO!$A$2:$B$1048576,2,FALSE)</f>
        <v>OSITOS DE MIEL x 2.5 Kg</v>
      </c>
      <c r="F115" s="44" t="s">
        <v>92</v>
      </c>
      <c r="G115" s="7">
        <v>6.0</v>
      </c>
      <c r="H115" s="8">
        <v>9553.0</v>
      </c>
      <c r="I115" s="8">
        <f t="shared" si="1"/>
        <v>57318</v>
      </c>
    </row>
    <row r="116" ht="15.75" customHeight="1">
      <c r="A116" s="6">
        <v>46073.0</v>
      </c>
      <c r="B116" s="7" t="s">
        <v>107</v>
      </c>
      <c r="C116" s="7" t="s">
        <v>19</v>
      </c>
      <c r="D116" s="7">
        <v>361.0</v>
      </c>
      <c r="E116" s="10" t="str">
        <f>+VLOOKUP(D116,ARTICULO!$A$2:$B$1048576,2,FALSE)</f>
        <v>OSITOS DE FRUTILLA x 2.5 Kg</v>
      </c>
      <c r="F116" s="44" t="s">
        <v>92</v>
      </c>
      <c r="G116" s="7">
        <v>3.0</v>
      </c>
      <c r="H116" s="8">
        <v>10687.0</v>
      </c>
      <c r="I116" s="8">
        <f t="shared" si="1"/>
        <v>32061</v>
      </c>
    </row>
    <row r="117" ht="15.75" customHeight="1">
      <c r="A117" s="6">
        <v>46073.0</v>
      </c>
      <c r="B117" s="7" t="s">
        <v>137</v>
      </c>
      <c r="C117" s="7" t="s">
        <v>19</v>
      </c>
      <c r="D117" s="7">
        <v>57.0</v>
      </c>
      <c r="E117" s="10" t="str">
        <f>+VLOOKUP(D117,ARTICULO!$A$2:$B$1048576,2,FALSE)</f>
        <v>PONEDORA POSTURA X 40 KG</v>
      </c>
      <c r="F117" s="7" t="s">
        <v>73</v>
      </c>
      <c r="G117" s="7">
        <v>1.0</v>
      </c>
      <c r="H117" s="8">
        <v>24028.0</v>
      </c>
      <c r="I117" s="8">
        <f t="shared" si="1"/>
        <v>24028</v>
      </c>
    </row>
    <row r="118" ht="15.75" customHeight="1">
      <c r="A118" s="6">
        <v>46073.0</v>
      </c>
      <c r="B118" s="7" t="s">
        <v>137</v>
      </c>
      <c r="C118" s="7" t="s">
        <v>19</v>
      </c>
      <c r="D118" s="7">
        <v>703.0</v>
      </c>
      <c r="E118" s="10" t="str">
        <f>+VLOOKUP(D118,ARTICULO!$A$2:$B$1048576,2,FALSE)</f>
        <v>AVENA ARROLLADA</v>
      </c>
      <c r="F118" s="7" t="s">
        <v>73</v>
      </c>
      <c r="G118" s="7">
        <v>10.0</v>
      </c>
      <c r="H118" s="8">
        <v>1505.0</v>
      </c>
      <c r="I118" s="8">
        <f t="shared" si="1"/>
        <v>15050</v>
      </c>
    </row>
    <row r="119" ht="15.75" customHeight="1">
      <c r="A119" s="6">
        <v>46073.0</v>
      </c>
      <c r="B119" s="7" t="s">
        <v>35</v>
      </c>
      <c r="C119" s="7" t="s">
        <v>19</v>
      </c>
      <c r="D119" s="7">
        <v>137.0</v>
      </c>
      <c r="E119" s="10" t="str">
        <f>+VLOOKUP(D119,ARTICULO!$A$2:$B$1048576,2,FALSE)</f>
        <v>GRAN CAMPEON GATO X 10 KG</v>
      </c>
      <c r="F119" s="7" t="s">
        <v>73</v>
      </c>
      <c r="G119" s="7">
        <v>1.0</v>
      </c>
      <c r="H119" s="8">
        <v>20264.0</v>
      </c>
      <c r="I119" s="8">
        <f t="shared" si="1"/>
        <v>20264</v>
      </c>
    </row>
    <row r="120" ht="15.75" customHeight="1">
      <c r="A120" s="6">
        <v>46073.0</v>
      </c>
      <c r="B120" s="7" t="s">
        <v>138</v>
      </c>
      <c r="C120" s="7" t="s">
        <v>19</v>
      </c>
      <c r="D120" s="7">
        <v>353.0</v>
      </c>
      <c r="E120" s="10" t="str">
        <f>+VLOOKUP(D120,ARTICULO!$A$2:$B$1048576,2,FALSE)</f>
        <v>GRANOLA 5 SEMILLAS X 1KG</v>
      </c>
      <c r="F120" s="7" t="s">
        <v>73</v>
      </c>
      <c r="G120" s="7">
        <v>15.0</v>
      </c>
      <c r="H120" s="8">
        <v>6679.0</v>
      </c>
      <c r="I120" s="8">
        <f t="shared" si="1"/>
        <v>100185</v>
      </c>
    </row>
    <row r="121" ht="15.75" customHeight="1">
      <c r="A121" s="6">
        <v>46073.0</v>
      </c>
      <c r="B121" s="7" t="s">
        <v>138</v>
      </c>
      <c r="C121" s="7" t="s">
        <v>19</v>
      </c>
      <c r="D121" s="7">
        <v>352.0</v>
      </c>
      <c r="E121" s="10" t="str">
        <f>+VLOOKUP(D121,ARTICULO!$A$2:$B$1048576,2,FALSE)</f>
        <v>GRANOLA x 1.5 kg</v>
      </c>
      <c r="F121" s="7" t="s">
        <v>74</v>
      </c>
      <c r="G121" s="7">
        <v>15.0</v>
      </c>
      <c r="H121" s="8">
        <v>8599.0</v>
      </c>
      <c r="I121" s="8">
        <f t="shared" si="1"/>
        <v>128985</v>
      </c>
    </row>
    <row r="122" ht="15.75" customHeight="1">
      <c r="A122" s="6">
        <v>46074.0</v>
      </c>
      <c r="B122" s="7" t="s">
        <v>139</v>
      </c>
      <c r="C122" s="7" t="s">
        <v>11</v>
      </c>
      <c r="D122" s="7">
        <v>302.0</v>
      </c>
      <c r="E122" s="10" t="str">
        <f>+VLOOKUP(D122,ARTICULO!$A$2:$B$1048576,2,FALSE)</f>
        <v>ALMOHADITA DE LIMON X 2.5 KG</v>
      </c>
      <c r="F122" s="7" t="s">
        <v>74</v>
      </c>
      <c r="G122" s="7">
        <v>1.0</v>
      </c>
      <c r="H122" s="8">
        <v>15711.0</v>
      </c>
      <c r="I122" s="8">
        <f t="shared" si="1"/>
        <v>15711</v>
      </c>
    </row>
    <row r="123" ht="15.75" customHeight="1">
      <c r="A123" s="6">
        <v>46074.0</v>
      </c>
      <c r="B123" s="7" t="s">
        <v>140</v>
      </c>
      <c r="C123" s="7" t="s">
        <v>11</v>
      </c>
      <c r="D123" s="7">
        <v>6.0</v>
      </c>
      <c r="E123" s="10" t="str">
        <f>+VLOOKUP(D123,ARTICULO!$A$2:$B$1048576,2,FALSE)</f>
        <v>CONEJO X 25 KG - CONECAR</v>
      </c>
      <c r="F123" s="7" t="s">
        <v>73</v>
      </c>
      <c r="G123" s="7">
        <v>2.0</v>
      </c>
      <c r="H123" s="8">
        <v>19226.0</v>
      </c>
      <c r="I123" s="8">
        <f t="shared" si="1"/>
        <v>38452</v>
      </c>
    </row>
    <row r="124" ht="15.75" customHeight="1">
      <c r="A124" s="6">
        <v>46074.0</v>
      </c>
      <c r="B124" s="7" t="s">
        <v>141</v>
      </c>
      <c r="C124" s="7" t="s">
        <v>11</v>
      </c>
      <c r="D124" s="7">
        <v>366.0</v>
      </c>
      <c r="E124" s="10" t="str">
        <f>+VLOOKUP(D124,ARTICULO!$A$2:$B$1048576,2,FALSE)</f>
        <v>FRAC. ANILLOS FRUTADOS NF 10X1KG</v>
      </c>
      <c r="F124" s="7" t="s">
        <v>73</v>
      </c>
      <c r="G124" s="7">
        <v>3.0</v>
      </c>
      <c r="H124" s="8">
        <v>29948.0</v>
      </c>
      <c r="I124" s="8">
        <f t="shared" si="1"/>
        <v>89844</v>
      </c>
    </row>
    <row r="125" ht="15.75" customHeight="1">
      <c r="A125" s="6">
        <v>46074.0</v>
      </c>
      <c r="B125" s="7" t="s">
        <v>20</v>
      </c>
      <c r="C125" s="7" t="s">
        <v>11</v>
      </c>
      <c r="D125" s="7">
        <v>507.0</v>
      </c>
      <c r="E125" s="10" t="str">
        <f>+VLOOKUP(D125,ARTICULO!$A$2:$B$1048576,2,FALSE)</f>
        <v>BICARBONATO</v>
      </c>
      <c r="F125" s="7" t="s">
        <v>21</v>
      </c>
      <c r="G125" s="7">
        <v>2.0</v>
      </c>
      <c r="H125" s="8">
        <v>3382.0</v>
      </c>
      <c r="I125" s="8">
        <f t="shared" si="1"/>
        <v>6764</v>
      </c>
    </row>
    <row r="126" ht="15.75" customHeight="1">
      <c r="A126" s="6">
        <v>46074.0</v>
      </c>
      <c r="B126" s="7" t="s">
        <v>20</v>
      </c>
      <c r="C126" s="7" t="s">
        <v>11</v>
      </c>
      <c r="D126" s="7">
        <v>705.0</v>
      </c>
      <c r="E126" s="10" t="str">
        <f>+VLOOKUP(D126,ARTICULO!$A$2:$B$1048576,2,FALSE)</f>
        <v>BURGOL FINO</v>
      </c>
      <c r="F126" s="7" t="s">
        <v>21</v>
      </c>
      <c r="G126" s="7">
        <v>5.0</v>
      </c>
      <c r="H126" s="8">
        <v>1695.0</v>
      </c>
      <c r="I126" s="8">
        <f t="shared" si="1"/>
        <v>8475</v>
      </c>
    </row>
    <row r="127" ht="15.75" customHeight="1">
      <c r="A127" s="6">
        <v>46074.0</v>
      </c>
      <c r="B127" s="7" t="s">
        <v>20</v>
      </c>
      <c r="C127" s="7" t="s">
        <v>11</v>
      </c>
      <c r="D127" s="7">
        <v>704.0</v>
      </c>
      <c r="E127" s="10" t="str">
        <f>+VLOOKUP(D127,ARTICULO!$A$2:$B$1048576,2,FALSE)</f>
        <v>AVENA INSTANTANEA</v>
      </c>
      <c r="F127" s="7" t="s">
        <v>21</v>
      </c>
      <c r="G127" s="7">
        <v>5.0</v>
      </c>
      <c r="H127" s="8">
        <v>1797.0</v>
      </c>
      <c r="I127" s="8">
        <f t="shared" si="1"/>
        <v>8985</v>
      </c>
    </row>
    <row r="128" ht="15.75" customHeight="1">
      <c r="A128" s="6">
        <v>46074.0</v>
      </c>
      <c r="B128" s="7" t="s">
        <v>20</v>
      </c>
      <c r="C128" s="7" t="s">
        <v>11</v>
      </c>
      <c r="D128" s="7">
        <v>130.0</v>
      </c>
      <c r="E128" s="10" t="str">
        <f>+VLOOKUP(D128,ARTICULO!$A$2:$B$1048576,2,FALSE)</f>
        <v>GRAN CAMPEON AD ROJO Carne y Pollo X 21 KG</v>
      </c>
      <c r="F128" s="7" t="s">
        <v>21</v>
      </c>
      <c r="G128" s="7">
        <v>1.0</v>
      </c>
      <c r="H128" s="8">
        <v>25392.0</v>
      </c>
      <c r="I128" s="8">
        <f t="shared" si="1"/>
        <v>25392</v>
      </c>
    </row>
    <row r="129" ht="15.75" customHeight="1">
      <c r="A129" s="6">
        <v>46074.0</v>
      </c>
      <c r="B129" s="7" t="s">
        <v>20</v>
      </c>
      <c r="C129" s="7" t="s">
        <v>11</v>
      </c>
      <c r="D129" s="7">
        <v>995.0</v>
      </c>
      <c r="E129" s="10" t="str">
        <f>+VLOOKUP(D129,ARTICULO!$A$2:$B$1048576,2,FALSE)</f>
        <v>PIEDRAS SANITARIAS MI NINO 12,5</v>
      </c>
      <c r="F129" s="7" t="s">
        <v>21</v>
      </c>
      <c r="G129" s="7">
        <v>1.0</v>
      </c>
      <c r="H129" s="8">
        <v>4975.0</v>
      </c>
      <c r="I129" s="8">
        <f t="shared" si="1"/>
        <v>4975</v>
      </c>
    </row>
    <row r="130" ht="15.75" customHeight="1">
      <c r="A130" s="6">
        <v>46074.0</v>
      </c>
      <c r="B130" s="7" t="s">
        <v>142</v>
      </c>
      <c r="C130" s="7" t="s">
        <v>11</v>
      </c>
      <c r="D130" s="7">
        <v>7.0</v>
      </c>
      <c r="E130" s="10" t="str">
        <f>+VLOOKUP(D130,ARTICULO!$A$2:$B$1048576,2,FALSE)</f>
        <v>CONEJO X 25 KG - GEPSA</v>
      </c>
      <c r="F130" s="7" t="s">
        <v>73</v>
      </c>
      <c r="G130" s="7">
        <v>1.0</v>
      </c>
      <c r="H130" s="8">
        <v>17992.0</v>
      </c>
      <c r="I130" s="8">
        <f t="shared" si="1"/>
        <v>17992</v>
      </c>
    </row>
    <row r="131" ht="15.75" customHeight="1">
      <c r="A131" s="6">
        <v>46074.0</v>
      </c>
      <c r="B131" s="7" t="s">
        <v>142</v>
      </c>
      <c r="C131" s="7" t="s">
        <v>11</v>
      </c>
      <c r="D131" s="7">
        <v>689.0</v>
      </c>
      <c r="E131" s="7" t="str">
        <f>+VLOOKUP(D131,ARTICULO!$A$2:$B$1048576,2,FALSE)</f>
        <v>PASTA MANI NATURAL BORIS X 400G X12U</v>
      </c>
      <c r="F131" s="7" t="s">
        <v>73</v>
      </c>
      <c r="G131" s="7">
        <v>2.0</v>
      </c>
      <c r="H131" s="8">
        <v>29850.0</v>
      </c>
      <c r="I131" s="8">
        <f t="shared" si="1"/>
        <v>59700</v>
      </c>
    </row>
    <row r="132" ht="15.75" customHeight="1">
      <c r="A132" s="6">
        <v>46076.0</v>
      </c>
      <c r="B132" s="7" t="s">
        <v>143</v>
      </c>
      <c r="C132" s="7" t="s">
        <v>11</v>
      </c>
      <c r="D132" s="7">
        <v>716.0</v>
      </c>
      <c r="E132" s="10" t="str">
        <f>+VLOOKUP(D132,ARTICULO!$A$2:$B$1048576,2,FALSE)</f>
        <v>HARINA P/TAMALES</v>
      </c>
      <c r="F132" s="7" t="s">
        <v>73</v>
      </c>
      <c r="G132" s="7">
        <v>25.0</v>
      </c>
      <c r="H132" s="8">
        <v>616.0</v>
      </c>
      <c r="I132" s="8">
        <f t="shared" si="1"/>
        <v>15400</v>
      </c>
    </row>
    <row r="133" ht="15.75" customHeight="1">
      <c r="A133" s="6">
        <v>46076.0</v>
      </c>
      <c r="B133" s="7" t="s">
        <v>144</v>
      </c>
      <c r="C133" s="7" t="s">
        <v>11</v>
      </c>
      <c r="D133" s="7">
        <v>133.0</v>
      </c>
      <c r="E133" s="10" t="str">
        <f>+VLOOKUP(D133,ARTICULO!$A$2:$B$1048576,2,FALSE)</f>
        <v>PACHA MIX X 22 KG</v>
      </c>
      <c r="F133" s="7" t="s">
        <v>73</v>
      </c>
      <c r="G133" s="7">
        <v>1.0</v>
      </c>
      <c r="H133" s="8">
        <v>27323.0</v>
      </c>
      <c r="I133" s="8">
        <f t="shared" si="1"/>
        <v>27323</v>
      </c>
    </row>
    <row r="134" ht="15.75" customHeight="1">
      <c r="A134" s="6">
        <v>46076.0</v>
      </c>
      <c r="B134" s="7" t="s">
        <v>145</v>
      </c>
      <c r="C134" s="7" t="s">
        <v>11</v>
      </c>
      <c r="D134" s="7">
        <v>135.0</v>
      </c>
      <c r="E134" s="10" t="str">
        <f>+VLOOKUP(D134,ARTICULO!$A$2:$B$1048576,2,FALSE)</f>
        <v>BELCAN CACHORRO X 15KG</v>
      </c>
      <c r="F134" s="7" t="s">
        <v>73</v>
      </c>
      <c r="G134" s="7">
        <v>1.0</v>
      </c>
      <c r="H134" s="8">
        <v>20870.0</v>
      </c>
      <c r="I134" s="8">
        <f t="shared" si="1"/>
        <v>20870</v>
      </c>
    </row>
    <row r="135" ht="15.75" customHeight="1">
      <c r="A135" s="6">
        <v>46076.0</v>
      </c>
      <c r="B135" s="7" t="s">
        <v>145</v>
      </c>
      <c r="C135" s="7" t="s">
        <v>11</v>
      </c>
      <c r="D135" s="7">
        <v>1965.0</v>
      </c>
      <c r="E135" s="10" t="str">
        <f>+VLOOKUP(D135,ARTICULO!$A$2:$B$1048576,2,FALSE)</f>
        <v>TRAMPAS LAUCHA MADERA</v>
      </c>
      <c r="F135" s="7" t="s">
        <v>73</v>
      </c>
      <c r="G135" s="7">
        <v>3.0</v>
      </c>
      <c r="H135" s="8">
        <v>1648.0</v>
      </c>
      <c r="I135" s="8">
        <f t="shared" si="1"/>
        <v>4944</v>
      </c>
    </row>
    <row r="136" ht="15.75" customHeight="1">
      <c r="A136" s="6">
        <v>46076.0</v>
      </c>
      <c r="B136" s="7" t="s">
        <v>146</v>
      </c>
      <c r="C136" s="7" t="s">
        <v>19</v>
      </c>
      <c r="D136" s="7">
        <v>57.0</v>
      </c>
      <c r="E136" s="10" t="str">
        <f>+VLOOKUP(D136,ARTICULO!$A$2:$B$1048576,2,FALSE)</f>
        <v>PONEDORA POSTURA X 40 KG</v>
      </c>
      <c r="F136" s="7" t="s">
        <v>73</v>
      </c>
      <c r="G136" s="7">
        <v>1.0</v>
      </c>
      <c r="H136" s="8">
        <v>22826.0</v>
      </c>
      <c r="I136" s="8">
        <f t="shared" si="1"/>
        <v>22826</v>
      </c>
    </row>
    <row r="137" ht="15.75" customHeight="1">
      <c r="A137" s="6">
        <v>46076.0</v>
      </c>
      <c r="B137" s="7" t="s">
        <v>25</v>
      </c>
      <c r="C137" s="7" t="s">
        <v>11</v>
      </c>
      <c r="D137" s="7">
        <v>310.0</v>
      </c>
      <c r="E137" s="10" t="str">
        <f>+VLOOKUP(D137,ARTICULO!$A$2:$B$1048576,2,FALSE)</f>
        <v>ANILLOS DE MIEL X 2.5 KG</v>
      </c>
      <c r="F137" s="7" t="s">
        <v>74</v>
      </c>
      <c r="G137" s="7">
        <v>1.0</v>
      </c>
      <c r="H137" s="8">
        <v>17924.0</v>
      </c>
      <c r="I137" s="8">
        <f t="shared" si="1"/>
        <v>17924</v>
      </c>
    </row>
    <row r="138" ht="15.75" customHeight="1">
      <c r="A138" s="6">
        <v>46077.0</v>
      </c>
      <c r="B138" s="7" t="s">
        <v>147</v>
      </c>
      <c r="C138" s="7" t="s">
        <v>17</v>
      </c>
      <c r="D138" s="7">
        <v>311.0</v>
      </c>
      <c r="E138" s="10" t="str">
        <f>+VLOOKUP(D138,ARTICULO!$A$2:$B$1048576,2,FALSE)</f>
        <v>ANILLOS FRUTADOS x 2.5 Kg</v>
      </c>
      <c r="F138" s="7" t="s">
        <v>31</v>
      </c>
      <c r="G138" s="7">
        <v>4.0</v>
      </c>
      <c r="H138" s="8">
        <v>9621.0</v>
      </c>
      <c r="I138" s="8">
        <f t="shared" si="1"/>
        <v>38484</v>
      </c>
    </row>
    <row r="139" ht="15.75" customHeight="1">
      <c r="A139" s="6">
        <v>46077.0</v>
      </c>
      <c r="B139" s="7" t="s">
        <v>147</v>
      </c>
      <c r="C139" s="7" t="s">
        <v>17</v>
      </c>
      <c r="D139" s="7">
        <v>303.0</v>
      </c>
      <c r="E139" s="10" t="str">
        <f>+VLOOKUP(D139,ARTICULO!$A$2:$B$1048576,2,FALSE)</f>
        <v>ALMOHADITAS DE CHOCOLATE</v>
      </c>
      <c r="F139" s="7" t="s">
        <v>74</v>
      </c>
      <c r="G139" s="7">
        <v>2.0</v>
      </c>
      <c r="H139" s="8">
        <v>14692.0</v>
      </c>
      <c r="I139" s="8">
        <f t="shared" si="1"/>
        <v>29384</v>
      </c>
    </row>
    <row r="140" ht="15.75" customHeight="1">
      <c r="A140" s="6">
        <v>46077.0</v>
      </c>
      <c r="B140" s="7" t="s">
        <v>49</v>
      </c>
      <c r="C140" s="7" t="s">
        <v>17</v>
      </c>
      <c r="D140" s="7">
        <v>169.0</v>
      </c>
      <c r="E140" s="10" t="str">
        <f>+VLOOKUP(D140,ARTICULO!$A$2:$B$1048576,2,FALSE)</f>
        <v>COMPLETE PERRO ADULTO RAZA MED Y GDE X 20KG</v>
      </c>
      <c r="F140" s="7" t="s">
        <v>74</v>
      </c>
      <c r="G140" s="7">
        <v>1.0</v>
      </c>
      <c r="H140" s="8">
        <v>46602.0</v>
      </c>
      <c r="I140" s="8">
        <f t="shared" si="1"/>
        <v>46602</v>
      </c>
    </row>
    <row r="141" ht="15.75" customHeight="1">
      <c r="A141" s="6">
        <v>46077.0</v>
      </c>
      <c r="B141" s="7" t="s">
        <v>148</v>
      </c>
      <c r="C141" s="7" t="s">
        <v>17</v>
      </c>
      <c r="D141" s="7">
        <v>661.0</v>
      </c>
      <c r="E141" s="10" t="str">
        <f>+VLOOKUP(D141,ARTICULO!$A$2:$B$1048576,2,FALSE)</f>
        <v>PASTA DE MANI NATURAL X 485GR X 12U- Mani king</v>
      </c>
      <c r="F141" s="7" t="s">
        <v>73</v>
      </c>
      <c r="G141" s="7">
        <v>1.0</v>
      </c>
      <c r="H141" s="8">
        <v>29510.0</v>
      </c>
      <c r="I141" s="8">
        <f t="shared" si="1"/>
        <v>29510</v>
      </c>
    </row>
    <row r="142" ht="15.75" customHeight="1">
      <c r="A142" s="6">
        <v>46077.0</v>
      </c>
      <c r="B142" s="7" t="s">
        <v>49</v>
      </c>
      <c r="C142" s="7" t="s">
        <v>17</v>
      </c>
      <c r="D142" s="7">
        <v>718.0</v>
      </c>
      <c r="E142" s="10" t="str">
        <f>+VLOOKUP(D142,ARTICULO!$A$2:$B$1048576,2,FALSE)</f>
        <v>MAICENA</v>
      </c>
      <c r="F142" s="7" t="s">
        <v>74</v>
      </c>
      <c r="G142" s="7">
        <v>10.0</v>
      </c>
      <c r="H142" s="8">
        <v>1690.0</v>
      </c>
      <c r="I142" s="8">
        <f t="shared" si="1"/>
        <v>16900</v>
      </c>
    </row>
    <row r="143" ht="15.75" customHeight="1">
      <c r="A143" s="6">
        <v>46077.0</v>
      </c>
      <c r="B143" s="7" t="s">
        <v>49</v>
      </c>
      <c r="C143" s="7" t="s">
        <v>17</v>
      </c>
      <c r="D143" s="7">
        <v>612.0</v>
      </c>
      <c r="E143" s="10" t="str">
        <f>+VLOOKUP(D143,ARTICULO!$A$2:$B$1048576,2,FALSE)</f>
        <v>NUEZ PELADA AMBAR</v>
      </c>
      <c r="F143" s="7" t="s">
        <v>73</v>
      </c>
      <c r="G143" s="7">
        <v>2.0</v>
      </c>
      <c r="H143" s="8">
        <v>17131.0</v>
      </c>
      <c r="I143" s="8">
        <f t="shared" si="1"/>
        <v>34262</v>
      </c>
    </row>
    <row r="144" ht="15.75" customHeight="1">
      <c r="A144" s="6">
        <v>46078.0</v>
      </c>
      <c r="B144" s="7" t="s">
        <v>81</v>
      </c>
      <c r="C144" s="7" t="s">
        <v>17</v>
      </c>
      <c r="D144" s="7">
        <v>136.0</v>
      </c>
      <c r="E144" s="10" t="str">
        <f>+VLOOKUP(D144,ARTICULO!$A$2:$B$1048576,2,FALSE)</f>
        <v>BELCAT X 10KG</v>
      </c>
      <c r="F144" s="7" t="s">
        <v>68</v>
      </c>
      <c r="G144" s="7">
        <v>1.0</v>
      </c>
      <c r="H144" s="8">
        <v>21055.0</v>
      </c>
      <c r="I144" s="8">
        <f t="shared" si="1"/>
        <v>21055</v>
      </c>
    </row>
    <row r="145" ht="15.75" customHeight="1">
      <c r="A145" s="6">
        <v>46078.0</v>
      </c>
      <c r="B145" s="7" t="s">
        <v>81</v>
      </c>
      <c r="C145" s="7" t="s">
        <v>17</v>
      </c>
      <c r="D145" s="7">
        <v>134.0</v>
      </c>
      <c r="E145" s="10" t="str">
        <f>+VLOOKUP(D145,ARTICULO!$A$2:$B$1048576,2,FALSE)</f>
        <v>BELCAN ADULTOS X 22KG</v>
      </c>
      <c r="F145" s="7" t="s">
        <v>68</v>
      </c>
      <c r="G145" s="7">
        <v>1.0</v>
      </c>
      <c r="H145" s="8">
        <v>25588.0</v>
      </c>
      <c r="I145" s="8">
        <f t="shared" si="1"/>
        <v>25588</v>
      </c>
    </row>
    <row r="146" ht="15.75" customHeight="1">
      <c r="A146" s="6">
        <v>46078.0</v>
      </c>
      <c r="B146" s="7" t="s">
        <v>81</v>
      </c>
      <c r="C146" s="7" t="s">
        <v>17</v>
      </c>
      <c r="D146" s="7">
        <v>135.0</v>
      </c>
      <c r="E146" s="10" t="str">
        <f>+VLOOKUP(D146,ARTICULO!$A$2:$B$1048576,2,FALSE)</f>
        <v>BELCAN CACHORRO X 15KG</v>
      </c>
      <c r="F146" s="7" t="s">
        <v>68</v>
      </c>
      <c r="G146" s="7">
        <v>1.0</v>
      </c>
      <c r="H146" s="8">
        <v>20870.0</v>
      </c>
      <c r="I146" s="8">
        <f t="shared" si="1"/>
        <v>20870</v>
      </c>
    </row>
    <row r="147" ht="15.75" customHeight="1">
      <c r="A147" s="6">
        <v>46078.0</v>
      </c>
      <c r="B147" s="7" t="s">
        <v>81</v>
      </c>
      <c r="C147" s="7" t="s">
        <v>17</v>
      </c>
      <c r="D147" s="7">
        <v>140.0</v>
      </c>
      <c r="E147" s="10" t="str">
        <f>+VLOOKUP(D147,ARTICULO!$A$2:$B$1048576,2,FALSE)</f>
        <v>GRAN CAMPEON MANTENIMIENTO x 21KG</v>
      </c>
      <c r="F147" s="7" t="s">
        <v>68</v>
      </c>
      <c r="G147" s="7">
        <v>1.0</v>
      </c>
      <c r="H147" s="8">
        <v>22218.0</v>
      </c>
      <c r="I147" s="8">
        <f t="shared" si="1"/>
        <v>22218</v>
      </c>
    </row>
    <row r="148" ht="15.75" customHeight="1">
      <c r="A148" s="6">
        <v>46078.0</v>
      </c>
      <c r="B148" s="7" t="s">
        <v>81</v>
      </c>
      <c r="C148" s="7" t="s">
        <v>17</v>
      </c>
      <c r="D148" s="7">
        <v>131.0</v>
      </c>
      <c r="E148" s="10" t="str">
        <f>+VLOOKUP(D148,ARTICULO!$A$2:$B$1048576,2,FALSE)</f>
        <v>GRAN CAMPEON CACHORRO X 10 KG</v>
      </c>
      <c r="F148" s="7" t="s">
        <v>68</v>
      </c>
      <c r="G148" s="7">
        <v>2.0</v>
      </c>
      <c r="H148" s="8">
        <v>15514.0</v>
      </c>
      <c r="I148" s="8">
        <f t="shared" si="1"/>
        <v>31028</v>
      </c>
    </row>
    <row r="149" ht="15.75" customHeight="1">
      <c r="A149" s="6">
        <v>46078.0</v>
      </c>
      <c r="B149" s="7" t="s">
        <v>81</v>
      </c>
      <c r="C149" s="7" t="s">
        <v>17</v>
      </c>
      <c r="D149" s="7">
        <v>170.0</v>
      </c>
      <c r="E149" s="10" t="str">
        <f>+VLOOKUP(D149,ARTICULO!$A$2:$B$1048576,2,FALSE)</f>
        <v>COMPLETE GATO ADULTO X 15KG</v>
      </c>
      <c r="F149" s="7" t="s">
        <v>68</v>
      </c>
      <c r="G149" s="7">
        <v>1.0</v>
      </c>
      <c r="H149" s="8">
        <v>59012.0</v>
      </c>
      <c r="I149" s="8">
        <f t="shared" si="1"/>
        <v>59012</v>
      </c>
    </row>
    <row r="150" ht="15.75" customHeight="1">
      <c r="A150" s="6">
        <v>46078.0</v>
      </c>
      <c r="B150" s="7" t="s">
        <v>111</v>
      </c>
      <c r="C150" s="7" t="s">
        <v>11</v>
      </c>
      <c r="D150" s="7">
        <v>130.0</v>
      </c>
      <c r="E150" s="10" t="str">
        <f>+VLOOKUP(D150,ARTICULO!$A$2:$B$1048576,2,FALSE)</f>
        <v>GRAN CAMPEON AD ROJO Carne y Pollo X 21 KG</v>
      </c>
      <c r="F150" s="7" t="s">
        <v>68</v>
      </c>
      <c r="G150" s="7">
        <v>1.0</v>
      </c>
      <c r="H150" s="8">
        <v>25392.0</v>
      </c>
      <c r="I150" s="8">
        <f t="shared" si="1"/>
        <v>25392</v>
      </c>
    </row>
    <row r="151" ht="15.75" customHeight="1">
      <c r="A151" s="6">
        <v>46078.0</v>
      </c>
      <c r="B151" s="7" t="s">
        <v>111</v>
      </c>
      <c r="C151" s="7" t="s">
        <v>11</v>
      </c>
      <c r="D151" s="7">
        <v>7.0</v>
      </c>
      <c r="E151" s="10" t="str">
        <f>+VLOOKUP(D151,ARTICULO!$A$2:$B$1048576,2,FALSE)</f>
        <v>CONEJO X 25 KG - GEPSA</v>
      </c>
      <c r="F151" s="7" t="s">
        <v>68</v>
      </c>
      <c r="G151" s="7">
        <v>1.0</v>
      </c>
      <c r="H151" s="8">
        <v>17992.0</v>
      </c>
      <c r="I151" s="8">
        <f t="shared" si="1"/>
        <v>17992</v>
      </c>
    </row>
    <row r="152" ht="15.75" customHeight="1">
      <c r="A152" s="6">
        <v>46078.0</v>
      </c>
      <c r="B152" s="7" t="s">
        <v>111</v>
      </c>
      <c r="C152" s="7" t="s">
        <v>11</v>
      </c>
      <c r="D152" s="7">
        <v>1009.0</v>
      </c>
      <c r="E152" s="10" t="str">
        <f>+VLOOKUP(D152,ARTICULO!$A$2:$B$1048576,2,FALSE)</f>
        <v>PIEDRAS SANITARIAS X 20 KG</v>
      </c>
      <c r="F152" s="7" t="s">
        <v>68</v>
      </c>
      <c r="G152" s="7">
        <v>1.0</v>
      </c>
      <c r="H152" s="8">
        <v>8046.0</v>
      </c>
      <c r="I152" s="8">
        <f t="shared" si="1"/>
        <v>8046</v>
      </c>
    </row>
    <row r="153" ht="15.75" customHeight="1">
      <c r="A153" s="6">
        <v>46078.0</v>
      </c>
      <c r="B153" s="7" t="s">
        <v>83</v>
      </c>
      <c r="C153" s="7" t="s">
        <v>11</v>
      </c>
      <c r="D153" s="7">
        <v>1918.0</v>
      </c>
      <c r="E153" s="10" t="str">
        <f>+VLOOKUP(D153,ARTICULO!$A$2:$B$1048576,2,FALSE)</f>
        <v>SEMILLAS HORTALIZAS</v>
      </c>
      <c r="F153" s="7" t="s">
        <v>73</v>
      </c>
      <c r="G153" s="7">
        <v>20.0</v>
      </c>
      <c r="H153" s="8">
        <v>1451.0</v>
      </c>
      <c r="I153" s="8">
        <f t="shared" si="1"/>
        <v>29020</v>
      </c>
    </row>
    <row r="154" ht="15.75" customHeight="1">
      <c r="A154" s="6">
        <v>46078.0</v>
      </c>
      <c r="B154" s="7" t="s">
        <v>149</v>
      </c>
      <c r="C154" s="7" t="s">
        <v>19</v>
      </c>
      <c r="D154" s="7">
        <v>453.0</v>
      </c>
      <c r="E154" s="10" t="str">
        <f>+VLOOKUP(D154,ARTICULO!$A$2:$B$1048576,2,FALSE)</f>
        <v>AVENA FORRAJERA X KG</v>
      </c>
      <c r="F154" s="44" t="s">
        <v>92</v>
      </c>
      <c r="G154" s="7">
        <v>300.0</v>
      </c>
      <c r="H154" s="8">
        <v>505.0</v>
      </c>
      <c r="I154" s="8">
        <f t="shared" si="1"/>
        <v>151500</v>
      </c>
    </row>
    <row r="155" ht="15.75" customHeight="1">
      <c r="A155" s="6">
        <v>46079.0</v>
      </c>
      <c r="B155" s="7" t="s">
        <v>150</v>
      </c>
      <c r="C155" s="7" t="s">
        <v>17</v>
      </c>
      <c r="D155" s="7">
        <v>458.0</v>
      </c>
      <c r="E155" s="10" t="str">
        <f>+VLOOKUP(D155,ARTICULO!$A$2:$B$1048576,2,FALSE)</f>
        <v>GIRASOL GRANDE</v>
      </c>
      <c r="F155" s="7" t="s">
        <v>73</v>
      </c>
      <c r="G155" s="7">
        <v>20.0</v>
      </c>
      <c r="H155" s="8">
        <v>1766.0</v>
      </c>
      <c r="I155" s="8">
        <f t="shared" si="1"/>
        <v>35320</v>
      </c>
    </row>
    <row r="156" ht="15.75" customHeight="1">
      <c r="A156" s="6">
        <v>46079.0</v>
      </c>
      <c r="B156" s="7" t="s">
        <v>61</v>
      </c>
      <c r="C156" s="7" t="s">
        <v>15</v>
      </c>
      <c r="D156" s="7">
        <v>1514.0</v>
      </c>
      <c r="E156" s="10" t="str">
        <f>+VLOOKUP(D156,ARTICULO!$A$2:$B$1048576,2,FALSE)</f>
        <v>MACETA DECORATIVA N░ 14</v>
      </c>
      <c r="F156" s="7" t="s">
        <v>73</v>
      </c>
      <c r="G156" s="7">
        <v>1.0</v>
      </c>
      <c r="H156" s="8">
        <v>1929.0</v>
      </c>
      <c r="I156" s="8">
        <f t="shared" si="1"/>
        <v>1929</v>
      </c>
    </row>
    <row r="157" ht="15.75" customHeight="1">
      <c r="A157" s="6">
        <v>46079.0</v>
      </c>
      <c r="B157" s="7" t="s">
        <v>61</v>
      </c>
      <c r="C157" s="7" t="s">
        <v>15</v>
      </c>
      <c r="D157" s="7">
        <v>1512.0</v>
      </c>
      <c r="E157" s="10" t="str">
        <f>+VLOOKUP(D157,ARTICULO!$A$2:$B$1048576,2,FALSE)</f>
        <v>MACETA DECORATIVA N░ 12</v>
      </c>
      <c r="F157" s="7" t="s">
        <v>73</v>
      </c>
      <c r="G157" s="7">
        <v>1.0</v>
      </c>
      <c r="H157" s="8">
        <v>1750.0</v>
      </c>
      <c r="I157" s="8">
        <f t="shared" si="1"/>
        <v>1750</v>
      </c>
    </row>
    <row r="158" ht="15.75" customHeight="1">
      <c r="A158" s="6">
        <v>46079.0</v>
      </c>
      <c r="B158" s="7" t="s">
        <v>61</v>
      </c>
      <c r="C158" s="7" t="s">
        <v>15</v>
      </c>
      <c r="D158" s="7">
        <v>1516.0</v>
      </c>
      <c r="E158" s="10" t="str">
        <f>+VLOOKUP(D158,ARTICULO!$A$2:$B$1048576,2,FALSE)</f>
        <v>MACETA DECORATIVA N░ 16</v>
      </c>
      <c r="F158" s="7" t="s">
        <v>73</v>
      </c>
      <c r="G158" s="7">
        <v>1.0</v>
      </c>
      <c r="H158" s="8">
        <v>2805.0</v>
      </c>
      <c r="I158" s="8">
        <f t="shared" si="1"/>
        <v>2805</v>
      </c>
    </row>
    <row r="159" ht="15.75" customHeight="1">
      <c r="A159" s="6">
        <v>46079.0</v>
      </c>
      <c r="B159" s="7" t="s">
        <v>151</v>
      </c>
      <c r="C159" s="7" t="s">
        <v>19</v>
      </c>
      <c r="D159" s="7">
        <v>723.0</v>
      </c>
      <c r="E159" s="10" t="str">
        <f>+VLOOKUP(D159,ARTICULO!$A$2:$B$1048576,2,FALSE)</f>
        <v>POROTO ALUBIA</v>
      </c>
      <c r="F159" s="7" t="s">
        <v>73</v>
      </c>
      <c r="G159" s="7">
        <v>5.0</v>
      </c>
      <c r="H159" s="48">
        <v>3840.0</v>
      </c>
      <c r="I159" s="8">
        <f t="shared" si="1"/>
        <v>19200</v>
      </c>
    </row>
    <row r="160" ht="15.75" customHeight="1">
      <c r="A160" s="49">
        <v>46079.0</v>
      </c>
      <c r="B160" s="7" t="s">
        <v>134</v>
      </c>
      <c r="C160" s="7" t="s">
        <v>11</v>
      </c>
      <c r="D160" s="7">
        <v>692.0</v>
      </c>
      <c r="E160" s="7" t="str">
        <f>+VLOOKUP(D160,ARTICULO!$A$2:$B$1048576,2,FALSE)</f>
        <v>PASTA MANI DULCE BORIS X400 X12U</v>
      </c>
      <c r="F160" s="7" t="s">
        <v>73</v>
      </c>
      <c r="G160" s="7">
        <v>3.0</v>
      </c>
      <c r="H160" s="8">
        <v>29510.0</v>
      </c>
      <c r="I160" s="8">
        <f t="shared" si="1"/>
        <v>88530</v>
      </c>
    </row>
    <row r="161" ht="15.75" customHeight="1">
      <c r="A161" s="49">
        <v>46080.0</v>
      </c>
      <c r="B161" s="7" t="s">
        <v>152</v>
      </c>
      <c r="C161" s="7" t="s">
        <v>19</v>
      </c>
      <c r="D161" s="50">
        <v>477.0</v>
      </c>
      <c r="E161" s="10" t="str">
        <f>+VLOOKUP(D161,ARTICULO!$A$2:$B$1048576,2,FALSE)</f>
        <v>MAIZ QUEBRADO MEDIANO X 30 KG</v>
      </c>
      <c r="F161" s="7" t="s">
        <v>74</v>
      </c>
      <c r="G161" s="7">
        <v>3.0</v>
      </c>
      <c r="H161" s="51">
        <v>14689.0</v>
      </c>
      <c r="I161" s="8">
        <f t="shared" si="1"/>
        <v>44067</v>
      </c>
    </row>
    <row r="162" ht="15.75" customHeight="1">
      <c r="A162" s="49">
        <v>46080.0</v>
      </c>
      <c r="B162" s="7" t="s">
        <v>153</v>
      </c>
      <c r="C162" s="7"/>
      <c r="D162" s="52">
        <v>605.0</v>
      </c>
      <c r="E162" s="10" t="str">
        <f>+VLOOKUP(D162,ARTICULO!$A$2:$B$1048576,2,FALSE)</f>
        <v>CIRUELA SIN CAROZO</v>
      </c>
      <c r="F162" s="7" t="s">
        <v>73</v>
      </c>
      <c r="G162" s="7">
        <v>10.0</v>
      </c>
      <c r="H162" s="8">
        <v>7809.0</v>
      </c>
      <c r="I162" s="8">
        <f t="shared" si="1"/>
        <v>78090</v>
      </c>
    </row>
    <row r="163" ht="15.75" customHeight="1">
      <c r="A163" s="49">
        <v>46080.0</v>
      </c>
      <c r="B163" s="7" t="s">
        <v>154</v>
      </c>
      <c r="C163" s="7"/>
      <c r="D163" s="50">
        <v>6.0</v>
      </c>
      <c r="E163" s="10" t="str">
        <f>+VLOOKUP(D163,ARTICULO!$A$2:$B$1048576,2,FALSE)</f>
        <v>CONEJO X 25 KG - CONECAR</v>
      </c>
      <c r="F163" s="7" t="s">
        <v>31</v>
      </c>
      <c r="G163" s="7">
        <v>1.0</v>
      </c>
      <c r="H163" s="47">
        <v>18264.0</v>
      </c>
      <c r="I163" s="8">
        <f t="shared" si="1"/>
        <v>18264</v>
      </c>
    </row>
    <row r="164" ht="15.75" customHeight="1">
      <c r="A164" s="49">
        <v>46080.0</v>
      </c>
      <c r="B164" s="7" t="s">
        <v>155</v>
      </c>
      <c r="C164" s="7" t="s">
        <v>15</v>
      </c>
      <c r="D164" s="50">
        <v>665.0</v>
      </c>
      <c r="E164" s="10" t="str">
        <f>+VLOOKUP(D164,ARTICULO!$A$2:$B$1048576,2,FALSE)</f>
        <v>PASTA DE MANI NATURAL X 1KG X6UD</v>
      </c>
      <c r="F164" s="7" t="s">
        <v>73</v>
      </c>
      <c r="G164" s="7">
        <v>1.0</v>
      </c>
      <c r="H164" s="47">
        <v>24539.0</v>
      </c>
      <c r="I164" s="8">
        <f t="shared" si="1"/>
        <v>24539</v>
      </c>
    </row>
    <row r="165" ht="15.75" customHeight="1">
      <c r="A165" s="49">
        <v>46080.0</v>
      </c>
      <c r="B165" s="7" t="s">
        <v>156</v>
      </c>
      <c r="C165" s="7" t="s">
        <v>17</v>
      </c>
      <c r="D165" s="50">
        <v>311.0</v>
      </c>
      <c r="E165" s="10" t="str">
        <f>+VLOOKUP(D165,ARTICULO!$A$2:$B$1048576,2,FALSE)</f>
        <v>ANILLOS FRUTADOS x 2.5 Kg</v>
      </c>
      <c r="F165" s="7" t="s">
        <v>31</v>
      </c>
      <c r="G165" s="7">
        <v>1.0</v>
      </c>
      <c r="H165" s="47">
        <v>12027.0</v>
      </c>
      <c r="I165" s="8">
        <f t="shared" si="1"/>
        <v>12027</v>
      </c>
    </row>
    <row r="166" ht="15.75" customHeight="1">
      <c r="A166" s="49">
        <v>46080.0</v>
      </c>
      <c r="B166" s="7" t="s">
        <v>157</v>
      </c>
      <c r="C166" s="7" t="s">
        <v>17</v>
      </c>
      <c r="D166" s="53">
        <v>6.0</v>
      </c>
      <c r="E166" s="10" t="str">
        <f>+VLOOKUP(D166,ARTICULO!$A$2:$B$1048576,2,FALSE)</f>
        <v>CONEJO X 25 KG - CONECAR</v>
      </c>
      <c r="F166" s="7" t="s">
        <v>31</v>
      </c>
      <c r="G166" s="7">
        <v>1.0</v>
      </c>
      <c r="H166" s="47">
        <v>19226.0</v>
      </c>
      <c r="I166" s="8">
        <f t="shared" si="1"/>
        <v>19226</v>
      </c>
    </row>
    <row r="167" ht="15.75" customHeight="1">
      <c r="A167" s="49">
        <v>46080.0</v>
      </c>
      <c r="B167" s="7" t="s">
        <v>158</v>
      </c>
      <c r="C167" s="7" t="s">
        <v>19</v>
      </c>
      <c r="D167" s="50">
        <v>4.0</v>
      </c>
      <c r="E167" s="10" t="str">
        <f>+VLOOKUP(D167,ARTICULO!$A$2:$B$1048576,2,FALSE)</f>
        <v>POSTURA x 25 Kg</v>
      </c>
      <c r="F167" s="7" t="s">
        <v>73</v>
      </c>
      <c r="G167" s="7">
        <v>1.0</v>
      </c>
      <c r="H167" s="47">
        <v>18085.0</v>
      </c>
      <c r="I167" s="8">
        <f t="shared" si="1"/>
        <v>18085</v>
      </c>
    </row>
    <row r="168" ht="15.75" customHeight="1">
      <c r="A168" s="49">
        <v>46080.0</v>
      </c>
      <c r="B168" s="7" t="s">
        <v>159</v>
      </c>
      <c r="C168" s="7" t="s">
        <v>17</v>
      </c>
      <c r="D168" s="7">
        <v>130.0</v>
      </c>
      <c r="E168" s="10" t="str">
        <f>+VLOOKUP(D168,ARTICULO!$A$2:$B$1048576,2,FALSE)</f>
        <v>GRAN CAMPEON AD ROJO Carne y Pollo X 21 KG</v>
      </c>
      <c r="F168" s="7" t="s">
        <v>31</v>
      </c>
      <c r="G168" s="7">
        <v>5.0</v>
      </c>
      <c r="H168" s="47">
        <v>25392.0</v>
      </c>
      <c r="I168" s="8">
        <f t="shared" si="1"/>
        <v>126960</v>
      </c>
    </row>
    <row r="169" ht="15.75" customHeight="1">
      <c r="A169" s="49">
        <v>46080.0</v>
      </c>
      <c r="B169" s="7" t="s">
        <v>159</v>
      </c>
      <c r="C169" s="7" t="s">
        <v>17</v>
      </c>
      <c r="D169" s="7">
        <v>6.0</v>
      </c>
      <c r="E169" s="10" t="str">
        <f>+VLOOKUP(D169,ARTICULO!$A$2:$B$1048576,2,FALSE)</f>
        <v>CONEJO X 25 KG - CONECAR</v>
      </c>
      <c r="F169" s="7" t="s">
        <v>31</v>
      </c>
      <c r="G169" s="7">
        <v>1.0</v>
      </c>
      <c r="H169" s="47">
        <v>19226.0</v>
      </c>
      <c r="I169" s="8">
        <f t="shared" si="1"/>
        <v>19226</v>
      </c>
    </row>
    <row r="170" ht="15.75" customHeight="1">
      <c r="A170" s="49">
        <v>46080.0</v>
      </c>
      <c r="B170" s="7" t="s">
        <v>95</v>
      </c>
      <c r="C170" s="7" t="s">
        <v>19</v>
      </c>
      <c r="D170" s="7">
        <v>10669.0</v>
      </c>
      <c r="E170" s="10" t="str">
        <f>+VLOOKUP(D170,ARTICULO!$A$2:$B$1048576,2,FALSE)</f>
        <v>MANI CON CASCARA KING X KG</v>
      </c>
      <c r="F170" s="7" t="s">
        <v>31</v>
      </c>
      <c r="G170" s="7">
        <v>5.0</v>
      </c>
      <c r="H170" s="47">
        <v>3516.0</v>
      </c>
      <c r="I170" s="8">
        <f t="shared" si="1"/>
        <v>17580</v>
      </c>
    </row>
    <row r="171" ht="15.75" customHeight="1">
      <c r="A171" s="49">
        <v>46080.0</v>
      </c>
      <c r="B171" s="7" t="s">
        <v>95</v>
      </c>
      <c r="C171" s="7" t="s">
        <v>19</v>
      </c>
      <c r="D171" s="7">
        <v>716.0</v>
      </c>
      <c r="E171" s="10" t="str">
        <f>+VLOOKUP(D171,ARTICULO!$A$2:$B$1048576,2,FALSE)</f>
        <v>HARINA P/TAMALES</v>
      </c>
      <c r="F171" s="7" t="s">
        <v>73</v>
      </c>
      <c r="G171" s="7">
        <v>5.0</v>
      </c>
      <c r="H171" s="47">
        <v>777.0</v>
      </c>
      <c r="I171" s="8">
        <f t="shared" si="1"/>
        <v>3885</v>
      </c>
    </row>
    <row r="172" ht="15.75" customHeight="1">
      <c r="A172" s="49">
        <v>46081.0</v>
      </c>
      <c r="B172" s="7" t="s">
        <v>100</v>
      </c>
      <c r="C172" s="7" t="s">
        <v>19</v>
      </c>
      <c r="D172" s="7">
        <v>491.0</v>
      </c>
      <c r="E172" s="10" t="str">
        <f>+VLOOKUP(D172,ARTICULO!$A$2:$B$1048576,2,FALSE)</f>
        <v>MEZCLA GALLO PREMIUM</v>
      </c>
      <c r="F172" s="7" t="s">
        <v>73</v>
      </c>
      <c r="G172" s="7">
        <v>300.0</v>
      </c>
      <c r="H172" s="47">
        <v>779.0</v>
      </c>
      <c r="I172" s="8">
        <f t="shared" si="1"/>
        <v>233700</v>
      </c>
    </row>
    <row r="173" ht="15.75" customHeight="1">
      <c r="A173" s="49">
        <v>46081.0</v>
      </c>
      <c r="B173" s="7" t="s">
        <v>160</v>
      </c>
      <c r="C173" s="7" t="s">
        <v>11</v>
      </c>
      <c r="D173" s="7">
        <v>470.0</v>
      </c>
      <c r="E173" s="10" t="str">
        <f>+VLOOKUP(D173,ARTICULO!$A$2:$B$1048576,2,FALSE)</f>
        <v>MEZCLA P/PAJARO</v>
      </c>
      <c r="F173" s="7" t="s">
        <v>21</v>
      </c>
      <c r="G173" s="7">
        <v>5.0</v>
      </c>
      <c r="H173" s="47">
        <v>1372.0</v>
      </c>
      <c r="I173" s="8">
        <f t="shared" si="1"/>
        <v>6860</v>
      </c>
    </row>
    <row r="174" ht="15.75" customHeight="1">
      <c r="A174" s="49">
        <v>46081.0</v>
      </c>
      <c r="B174" s="7" t="s">
        <v>160</v>
      </c>
      <c r="C174" s="7" t="s">
        <v>11</v>
      </c>
      <c r="D174" s="7">
        <v>166.0</v>
      </c>
      <c r="E174" s="10" t="str">
        <f>+VLOOKUP(D174,ARTICULO!$A$2:$B$1048576,2,FALSE)</f>
        <v>FLECKY ADULTO CARNE  X 21 KG</v>
      </c>
      <c r="F174" s="7" t="s">
        <v>21</v>
      </c>
      <c r="G174" s="7">
        <v>1.0</v>
      </c>
      <c r="H174" s="47">
        <v>14392.0</v>
      </c>
      <c r="I174" s="8">
        <f t="shared" si="1"/>
        <v>14392</v>
      </c>
    </row>
    <row r="175" ht="15.75" customHeight="1">
      <c r="A175" s="49">
        <v>46081.0</v>
      </c>
      <c r="B175" s="7" t="s">
        <v>160</v>
      </c>
      <c r="C175" s="7" t="s">
        <v>11</v>
      </c>
      <c r="D175" s="7">
        <v>119.0</v>
      </c>
      <c r="E175" s="7" t="str">
        <f>+VLOOKUP(D175,ARTICULO!$A$2:$B$1048576,2,FALSE)</f>
        <v>TIERNITO GATITO X10KG</v>
      </c>
      <c r="F175" s="7" t="s">
        <v>21</v>
      </c>
      <c r="G175" s="7">
        <v>1.0</v>
      </c>
      <c r="H175" s="47">
        <v>25814.0</v>
      </c>
      <c r="I175" s="8">
        <f t="shared" si="1"/>
        <v>25814</v>
      </c>
    </row>
    <row r="176" ht="15.75" customHeight="1">
      <c r="A176" s="49">
        <v>46081.0</v>
      </c>
      <c r="B176" s="7" t="s">
        <v>160</v>
      </c>
      <c r="C176" s="7" t="s">
        <v>11</v>
      </c>
      <c r="D176" s="7">
        <v>703.0</v>
      </c>
      <c r="E176" s="10" t="str">
        <f>+VLOOKUP(D176,ARTICULO!$A$2:$B$1048576,2,FALSE)</f>
        <v>AVENA ARROLLADA</v>
      </c>
      <c r="F176" s="7" t="s">
        <v>21</v>
      </c>
      <c r="G176" s="7">
        <v>5.0</v>
      </c>
      <c r="H176" s="47">
        <v>1737.0</v>
      </c>
      <c r="I176" s="8">
        <f t="shared" si="1"/>
        <v>8685</v>
      </c>
    </row>
    <row r="177" ht="15.75" customHeight="1">
      <c r="A177" s="49">
        <v>46081.0</v>
      </c>
      <c r="B177" s="7" t="s">
        <v>160</v>
      </c>
      <c r="C177" s="7" t="s">
        <v>11</v>
      </c>
      <c r="D177" s="7">
        <v>652.0</v>
      </c>
      <c r="E177" s="10" t="str">
        <f>+VLOOKUP(D177,ARTICULO!$A$2:$B$1048576,2,FALSE)</f>
        <v>MANI SABORIZADO</v>
      </c>
      <c r="F177" s="7" t="s">
        <v>21</v>
      </c>
      <c r="G177" s="7">
        <v>1.0</v>
      </c>
      <c r="H177" s="47">
        <v>4200.0</v>
      </c>
      <c r="I177" s="8">
        <f t="shared" si="1"/>
        <v>4200</v>
      </c>
    </row>
    <row r="178" ht="15.75" customHeight="1">
      <c r="A178" s="49">
        <v>46081.0</v>
      </c>
      <c r="B178" s="7" t="s">
        <v>160</v>
      </c>
      <c r="C178" s="7" t="s">
        <v>11</v>
      </c>
      <c r="D178" s="7">
        <v>301.0</v>
      </c>
      <c r="E178" s="10" t="str">
        <f>+VLOOKUP(D178,ARTICULO!$A$2:$B$1048576,2,FALSE)</f>
        <v>ALMOHADITA DE FRUTILLA X 2.5 KG</v>
      </c>
      <c r="F178" s="7" t="s">
        <v>21</v>
      </c>
      <c r="G178" s="7">
        <v>1.0</v>
      </c>
      <c r="H178" s="47">
        <v>18486.0</v>
      </c>
      <c r="I178" s="8">
        <f t="shared" si="1"/>
        <v>18486</v>
      </c>
    </row>
    <row r="179" ht="15.75" customHeight="1">
      <c r="A179" s="49">
        <v>46081.0</v>
      </c>
      <c r="B179" s="7" t="s">
        <v>161</v>
      </c>
      <c r="C179" s="7" t="s">
        <v>11</v>
      </c>
      <c r="D179" s="7">
        <v>520.0</v>
      </c>
      <c r="E179" s="10" t="str">
        <f>+VLOOKUP(D179,ARTICULO!$A$2:$B$1048576,2,FALSE)</f>
        <v>POLVO PARA HORNEAR</v>
      </c>
      <c r="F179" s="7" t="s">
        <v>21</v>
      </c>
      <c r="G179" s="7">
        <v>2.0</v>
      </c>
      <c r="H179" s="47">
        <v>9060.0</v>
      </c>
      <c r="I179" s="8">
        <f t="shared" si="1"/>
        <v>18120</v>
      </c>
    </row>
    <row r="180" ht="15.75" customHeight="1">
      <c r="A180" s="49">
        <v>46081.0</v>
      </c>
      <c r="B180" s="7" t="s">
        <v>161</v>
      </c>
      <c r="C180" s="7" t="s">
        <v>11</v>
      </c>
      <c r="D180" s="7">
        <v>721.0</v>
      </c>
      <c r="E180" s="10" t="str">
        <f>+VLOOKUP(D180,ARTICULO!$A$2:$B$1048576,2,FALSE)</f>
        <v>PISINGALLO</v>
      </c>
      <c r="F180" s="7" t="s">
        <v>21</v>
      </c>
      <c r="G180" s="7">
        <v>5.0</v>
      </c>
      <c r="H180" s="47">
        <v>913.0</v>
      </c>
      <c r="I180" s="8">
        <f t="shared" si="1"/>
        <v>4565</v>
      </c>
    </row>
    <row r="181" ht="15.75" customHeight="1">
      <c r="A181" s="49">
        <v>46081.0</v>
      </c>
      <c r="B181" s="7" t="s">
        <v>161</v>
      </c>
      <c r="C181" s="7" t="s">
        <v>11</v>
      </c>
      <c r="D181" s="7">
        <v>507.0</v>
      </c>
      <c r="E181" s="10" t="str">
        <f>+VLOOKUP(D181,ARTICULO!$A$2:$B$1048576,2,FALSE)</f>
        <v>BICARBONATO</v>
      </c>
      <c r="F181" s="7" t="s">
        <v>21</v>
      </c>
      <c r="G181" s="7">
        <v>1.0</v>
      </c>
      <c r="H181" s="47">
        <v>3382.0</v>
      </c>
      <c r="I181" s="8">
        <f t="shared" si="1"/>
        <v>3382</v>
      </c>
    </row>
    <row r="182" ht="15.75" customHeight="1">
      <c r="A182" s="49">
        <v>46081.0</v>
      </c>
      <c r="B182" s="7" t="s">
        <v>161</v>
      </c>
      <c r="C182" s="7" t="s">
        <v>11</v>
      </c>
      <c r="D182" s="7">
        <v>3.0</v>
      </c>
      <c r="E182" s="10" t="str">
        <f>+VLOOKUP(D182,ARTICULO!$A$2:$B$1048576,2,FALSE)</f>
        <v>ENGORDE x 25 Kg</v>
      </c>
      <c r="F182" s="7" t="s">
        <v>21</v>
      </c>
      <c r="G182" s="7">
        <v>1.0</v>
      </c>
      <c r="H182" s="47">
        <v>20359.0</v>
      </c>
      <c r="I182" s="8">
        <f t="shared" si="1"/>
        <v>20359</v>
      </c>
    </row>
    <row r="183" ht="15.75" customHeight="1">
      <c r="A183" s="49">
        <v>46081.0</v>
      </c>
      <c r="B183" s="7" t="s">
        <v>161</v>
      </c>
      <c r="C183" s="7" t="s">
        <v>11</v>
      </c>
      <c r="D183" s="7">
        <v>2.0</v>
      </c>
      <c r="E183" s="10" t="str">
        <f>+VLOOKUP(D183,ARTICULO!$A$2:$B$1048576,2,FALSE)</f>
        <v>RECRIA x 25 Kg</v>
      </c>
      <c r="F183" s="7" t="s">
        <v>21</v>
      </c>
      <c r="G183" s="7">
        <v>1.0</v>
      </c>
      <c r="H183" s="47">
        <v>20093.0</v>
      </c>
      <c r="I183" s="8">
        <f t="shared" si="1"/>
        <v>20093</v>
      </c>
    </row>
    <row r="184" ht="15.75" customHeight="1">
      <c r="A184" s="49">
        <v>46081.0</v>
      </c>
      <c r="B184" s="7" t="s">
        <v>103</v>
      </c>
      <c r="C184" s="7" t="s">
        <v>11</v>
      </c>
      <c r="D184" s="7">
        <v>1213.0</v>
      </c>
      <c r="E184" s="10" t="str">
        <f>+VLOOKUP(D184,ARTICULO!$A$2:$B$1048576,2,FALSE)</f>
        <v>MACETA CLASICA N░ 13</v>
      </c>
      <c r="F184" s="7" t="s">
        <v>73</v>
      </c>
      <c r="G184" s="7">
        <v>3.0</v>
      </c>
      <c r="H184" s="47">
        <v>434.0</v>
      </c>
      <c r="I184" s="8">
        <f t="shared" si="1"/>
        <v>1302</v>
      </c>
    </row>
    <row r="185" ht="15.75" customHeight="1">
      <c r="A185" s="49"/>
      <c r="B185" s="7"/>
      <c r="C185" s="7"/>
      <c r="D185" s="7"/>
      <c r="E185" s="7" t="str">
        <f>+VLOOKUP(D185,ARTICULO!$A$2:$B$1048576,2,FALSE)</f>
        <v>#N/A</v>
      </c>
      <c r="F185" s="7"/>
      <c r="G185" s="7"/>
      <c r="H185" s="47"/>
      <c r="I185" s="8">
        <f t="shared" si="1"/>
        <v>0</v>
      </c>
    </row>
    <row r="186" ht="15.75" customHeight="1">
      <c r="A186" s="7"/>
      <c r="B186" s="7"/>
      <c r="C186" s="7"/>
      <c r="D186" s="7"/>
      <c r="E186" s="7" t="str">
        <f>+VLOOKUP(D186,ARTICULO!$A$2:$B$1048576,2,FALSE)</f>
        <v>#N/A</v>
      </c>
      <c r="F186" s="7"/>
      <c r="G186" s="7"/>
      <c r="H186" s="47"/>
      <c r="I186" s="8">
        <f t="shared" si="1"/>
        <v>0</v>
      </c>
    </row>
    <row r="187" ht="15.75" customHeight="1">
      <c r="A187" s="7"/>
      <c r="B187" s="7"/>
      <c r="C187" s="7"/>
      <c r="D187" s="7"/>
      <c r="E187" s="7" t="str">
        <f>+VLOOKUP(D187,ARTICULO!$A$2:$B$1048576,2,FALSE)</f>
        <v>#N/A</v>
      </c>
      <c r="F187" s="7"/>
      <c r="G187" s="7"/>
      <c r="H187" s="47"/>
      <c r="I187" s="8">
        <f t="shared" si="1"/>
        <v>0</v>
      </c>
    </row>
    <row r="188" ht="15.75" customHeight="1">
      <c r="A188" s="7"/>
      <c r="B188" s="7"/>
      <c r="C188" s="7"/>
      <c r="D188" s="7"/>
      <c r="E188" s="7" t="str">
        <f>+VLOOKUP(D188,ARTICULO!$A$2:$B$1048576,2,FALSE)</f>
        <v>#N/A</v>
      </c>
      <c r="F188" s="7"/>
      <c r="G188" s="7"/>
      <c r="H188" s="47"/>
      <c r="I188" s="8">
        <f t="shared" si="1"/>
        <v>0</v>
      </c>
    </row>
    <row r="189" ht="15.75" customHeight="1">
      <c r="A189" s="7"/>
      <c r="B189" s="7"/>
      <c r="C189" s="7"/>
      <c r="D189" s="7"/>
      <c r="E189" s="7" t="str">
        <f>+VLOOKUP(D189,ARTICULO!$A$2:$B$1048576,2,FALSE)</f>
        <v>#N/A</v>
      </c>
      <c r="F189" s="7"/>
      <c r="G189" s="7"/>
      <c r="H189" s="47"/>
      <c r="I189" s="8">
        <f t="shared" si="1"/>
        <v>0</v>
      </c>
    </row>
    <row r="190" ht="15.75" hidden="1" customHeight="1">
      <c r="A190" s="7"/>
      <c r="B190" s="7"/>
      <c r="C190" s="7"/>
      <c r="D190" s="7"/>
      <c r="E190" s="7" t="str">
        <f>+VLOOKUP(D190,ARTICULO!$A$2:$B$1048576,2,FALSE)</f>
        <v>#N/A</v>
      </c>
      <c r="F190" s="7"/>
      <c r="G190" s="7"/>
      <c r="H190" s="7"/>
      <c r="I190" s="8">
        <f t="shared" si="1"/>
        <v>0</v>
      </c>
    </row>
    <row r="191" ht="15.75" customHeight="1">
      <c r="A191" s="7"/>
      <c r="B191" s="7"/>
      <c r="C191" s="7"/>
      <c r="D191" s="7"/>
      <c r="E191" s="7" t="str">
        <f>+VLOOKUP(D191,ARTICULO!$A$2:$B$1048576,2,FALSE)</f>
        <v>#N/A</v>
      </c>
      <c r="F191" s="7"/>
      <c r="G191" s="7"/>
      <c r="H191" s="7"/>
      <c r="I191" s="8">
        <f t="shared" si="1"/>
        <v>0</v>
      </c>
    </row>
    <row r="192" ht="15.75" customHeight="1">
      <c r="A192" s="7"/>
      <c r="B192" s="7"/>
      <c r="C192" s="7"/>
      <c r="D192" s="7"/>
      <c r="E192" s="7" t="str">
        <f>+VLOOKUP(D192,ARTICULO!$A$2:$B$1048576,2,FALSE)</f>
        <v>#N/A</v>
      </c>
      <c r="F192" s="7"/>
      <c r="G192" s="7"/>
      <c r="H192" s="7"/>
      <c r="I192" s="8">
        <f t="shared" si="1"/>
        <v>0</v>
      </c>
    </row>
    <row r="193" ht="15.75" customHeight="1">
      <c r="A193" s="7"/>
      <c r="B193" s="7"/>
      <c r="C193" s="7"/>
      <c r="D193" s="7"/>
      <c r="E193" s="7" t="str">
        <f>+VLOOKUP(D193,ARTICULO!$A$2:$B$1048576,2,FALSE)</f>
        <v>#N/A</v>
      </c>
      <c r="F193" s="7"/>
      <c r="G193" s="7"/>
      <c r="H193" s="7"/>
      <c r="I193" s="8">
        <f t="shared" si="1"/>
        <v>0</v>
      </c>
    </row>
    <row r="194" ht="15.75" customHeight="1">
      <c r="A194" s="7"/>
      <c r="B194" s="7"/>
      <c r="C194" s="7"/>
      <c r="D194" s="7"/>
      <c r="E194" s="7" t="str">
        <f>+VLOOKUP(D194,ARTICULO!$A$2:$B$1048576,2,FALSE)</f>
        <v>#N/A</v>
      </c>
      <c r="F194" s="7"/>
      <c r="G194" s="7"/>
      <c r="H194" s="7"/>
      <c r="I194" s="8">
        <f t="shared" si="1"/>
        <v>0</v>
      </c>
    </row>
    <row r="195" ht="15.75" customHeight="1">
      <c r="A195" s="7"/>
      <c r="B195" s="7"/>
      <c r="C195" s="7"/>
      <c r="D195" s="7"/>
      <c r="E195" s="7" t="str">
        <f>+VLOOKUP(D195,ARTICULO!$A$2:$B$1048576,2,FALSE)</f>
        <v>#N/A</v>
      </c>
      <c r="F195" s="7"/>
      <c r="G195" s="7"/>
      <c r="H195" s="7"/>
      <c r="I195" s="8">
        <f t="shared" si="1"/>
        <v>0</v>
      </c>
    </row>
    <row r="196" ht="15.75" customHeight="1">
      <c r="A196" s="7"/>
      <c r="B196" s="7"/>
      <c r="C196" s="7"/>
      <c r="D196" s="7"/>
      <c r="E196" s="7" t="str">
        <f>+VLOOKUP(D196,ARTICULO!$A$2:$B$1048576,2,FALSE)</f>
        <v>#N/A</v>
      </c>
      <c r="F196" s="7"/>
      <c r="G196" s="7"/>
      <c r="H196" s="7"/>
      <c r="I196" s="8">
        <f t="shared" si="1"/>
        <v>0</v>
      </c>
    </row>
    <row r="197" ht="15.75" customHeight="1">
      <c r="A197" s="7"/>
      <c r="B197" s="7"/>
      <c r="C197" s="7"/>
      <c r="D197" s="7"/>
      <c r="E197" s="7" t="str">
        <f>+VLOOKUP(D197,ARTICULO!$A$2:$B$1048576,2,FALSE)</f>
        <v>#N/A</v>
      </c>
      <c r="F197" s="7"/>
      <c r="G197" s="7"/>
      <c r="H197" s="7"/>
      <c r="I197" s="8">
        <f t="shared" si="1"/>
        <v>0</v>
      </c>
    </row>
    <row r="198" ht="15.75" customHeight="1">
      <c r="A198" s="7"/>
      <c r="B198" s="7"/>
      <c r="C198" s="7"/>
      <c r="D198" s="7"/>
      <c r="E198" s="7" t="str">
        <f>+VLOOKUP(D198,ARTICULO!$A$2:$B$1048576,2,FALSE)</f>
        <v>#N/A</v>
      </c>
      <c r="F198" s="7"/>
      <c r="G198" s="7"/>
      <c r="H198" s="7"/>
      <c r="I198" s="8">
        <f t="shared" si="1"/>
        <v>0</v>
      </c>
    </row>
    <row r="199" ht="15.75" customHeight="1">
      <c r="A199" s="7"/>
      <c r="B199" s="7"/>
      <c r="C199" s="7"/>
      <c r="D199" s="7"/>
      <c r="E199" s="7" t="str">
        <f>+VLOOKUP(D199,ARTICULO!$A$2:$B$1048576,2,FALSE)</f>
        <v>#N/A</v>
      </c>
      <c r="F199" s="7"/>
      <c r="G199" s="7"/>
      <c r="H199" s="7"/>
      <c r="I199" s="8">
        <f t="shared" si="1"/>
        <v>0</v>
      </c>
    </row>
    <row r="200" ht="15.75" customHeight="1">
      <c r="A200" s="7"/>
      <c r="B200" s="7"/>
      <c r="C200" s="7"/>
      <c r="D200" s="7"/>
      <c r="E200" s="7" t="str">
        <f>+VLOOKUP(D200,ARTICULO!$A$2:$B$1048576,2,FALSE)</f>
        <v>#N/A</v>
      </c>
      <c r="F200" s="7"/>
      <c r="G200" s="7"/>
      <c r="H200" s="7"/>
      <c r="I200" s="8">
        <f t="shared" si="1"/>
        <v>0</v>
      </c>
    </row>
    <row r="201" ht="15.75" customHeight="1">
      <c r="A201" s="7"/>
      <c r="B201" s="7"/>
      <c r="C201" s="7"/>
      <c r="D201" s="7"/>
      <c r="E201" s="7" t="str">
        <f>+VLOOKUP(D201,ARTICULO!$A$2:$B$1048576,2,FALSE)</f>
        <v>#N/A</v>
      </c>
      <c r="F201" s="7"/>
      <c r="G201" s="7"/>
      <c r="H201" s="7"/>
      <c r="I201" s="8">
        <f t="shared" si="1"/>
        <v>0</v>
      </c>
    </row>
    <row r="202" ht="15.75" customHeight="1">
      <c r="A202" s="7"/>
      <c r="B202" s="7"/>
      <c r="C202" s="7"/>
      <c r="D202" s="7"/>
      <c r="E202" s="7" t="str">
        <f>+VLOOKUP(D202,ARTICULO!$A$2:$B$1048576,2,FALSE)</f>
        <v>#N/A</v>
      </c>
      <c r="F202" s="7"/>
      <c r="G202" s="7"/>
      <c r="H202" s="7"/>
      <c r="I202" s="8">
        <f t="shared" si="1"/>
        <v>0</v>
      </c>
    </row>
    <row r="203" ht="15.75" customHeight="1">
      <c r="A203" s="7"/>
      <c r="B203" s="7"/>
      <c r="C203" s="7"/>
      <c r="D203" s="7"/>
      <c r="E203" s="7" t="str">
        <f>+VLOOKUP(D203,ARTICULO!$A$2:$B$1048576,2,FALSE)</f>
        <v>#N/A</v>
      </c>
      <c r="F203" s="7"/>
      <c r="G203" s="7"/>
      <c r="H203" s="7"/>
      <c r="I203" s="8">
        <f t="shared" si="1"/>
        <v>0</v>
      </c>
    </row>
    <row r="204" ht="15.75" customHeight="1">
      <c r="A204" s="7"/>
      <c r="B204" s="7"/>
      <c r="C204" s="7"/>
      <c r="D204" s="7"/>
      <c r="E204" s="7" t="str">
        <f>+VLOOKUP(D204,ARTICULO!$A$2:$B$1048576,2,FALSE)</f>
        <v>#N/A</v>
      </c>
      <c r="F204" s="7"/>
      <c r="G204" s="7"/>
      <c r="H204" s="7"/>
      <c r="I204" s="8">
        <f t="shared" si="1"/>
        <v>0</v>
      </c>
    </row>
    <row r="205" ht="15.75" customHeight="1">
      <c r="A205" s="7"/>
      <c r="B205" s="7"/>
      <c r="C205" s="7"/>
      <c r="D205" s="7"/>
      <c r="E205" s="7" t="str">
        <f>+VLOOKUP(D205,ARTICULO!$A$2:$B$1048576,2,FALSE)</f>
        <v>#N/A</v>
      </c>
      <c r="F205" s="7"/>
      <c r="G205" s="7"/>
      <c r="H205" s="7"/>
      <c r="I205" s="8">
        <f t="shared" si="1"/>
        <v>0</v>
      </c>
    </row>
    <row r="206" ht="15.75" customHeight="1">
      <c r="A206" s="7"/>
      <c r="B206" s="7"/>
      <c r="C206" s="7"/>
      <c r="D206" s="7"/>
      <c r="E206" s="7" t="str">
        <f>+VLOOKUP(D206,ARTICULO!$A$2:$B$1048576,2,FALSE)</f>
        <v>#N/A</v>
      </c>
      <c r="F206" s="7"/>
      <c r="G206" s="7"/>
      <c r="H206" s="7"/>
      <c r="I206" s="8">
        <f t="shared" si="1"/>
        <v>0</v>
      </c>
    </row>
    <row r="207" ht="15.75" customHeight="1">
      <c r="A207" s="7"/>
      <c r="B207" s="7"/>
      <c r="C207" s="7"/>
      <c r="D207" s="7"/>
      <c r="E207" s="7" t="str">
        <f>+VLOOKUP(D207,ARTICULO!$A$2:$B$1048576,2,FALSE)</f>
        <v>#N/A</v>
      </c>
      <c r="F207" s="7"/>
      <c r="G207" s="7"/>
      <c r="H207" s="7"/>
      <c r="I207" s="8">
        <f t="shared" si="1"/>
        <v>0</v>
      </c>
    </row>
    <row r="208" ht="15.75" customHeight="1">
      <c r="A208" s="7"/>
      <c r="B208" s="7"/>
      <c r="C208" s="7"/>
      <c r="D208" s="7"/>
      <c r="E208" s="7" t="str">
        <f>+VLOOKUP(D208,ARTICULO!$A$2:$B$1048576,2,FALSE)</f>
        <v>#N/A</v>
      </c>
      <c r="F208" s="7"/>
      <c r="G208" s="7"/>
      <c r="H208" s="7"/>
      <c r="I208" s="8">
        <f t="shared" si="1"/>
        <v>0</v>
      </c>
    </row>
    <row r="209" ht="15.75" customHeight="1">
      <c r="A209" s="7"/>
      <c r="B209" s="7"/>
      <c r="C209" s="7"/>
      <c r="D209" s="7"/>
      <c r="E209" s="7" t="str">
        <f>+VLOOKUP(D209,ARTICULO!$A$2:$B$1048576,2,FALSE)</f>
        <v>#N/A</v>
      </c>
      <c r="F209" s="7"/>
      <c r="G209" s="7"/>
      <c r="H209" s="7"/>
      <c r="I209" s="8">
        <f t="shared" si="1"/>
        <v>0</v>
      </c>
    </row>
    <row r="210" ht="15.75" customHeight="1">
      <c r="A210" s="7"/>
      <c r="B210" s="7"/>
      <c r="C210" s="7"/>
      <c r="D210" s="7"/>
      <c r="E210" s="7" t="str">
        <f>+VLOOKUP(D210,ARTICULO!$A$2:$B$1048576,2,FALSE)</f>
        <v>#N/A</v>
      </c>
      <c r="F210" s="7"/>
      <c r="G210" s="7"/>
      <c r="H210" s="7"/>
      <c r="I210" s="8">
        <f t="shared" si="1"/>
        <v>0</v>
      </c>
    </row>
    <row r="211" ht="15.75" customHeight="1">
      <c r="A211" s="7"/>
      <c r="B211" s="7"/>
      <c r="C211" s="7"/>
      <c r="D211" s="7"/>
      <c r="E211" s="7" t="str">
        <f>+VLOOKUP(D211,ARTICULO!$A$2:$B$1048576,2,FALSE)</f>
        <v>#N/A</v>
      </c>
      <c r="F211" s="7"/>
      <c r="G211" s="7"/>
      <c r="H211" s="7"/>
      <c r="I211" s="8">
        <f t="shared" si="1"/>
        <v>0</v>
      </c>
    </row>
    <row r="212" ht="15.75" customHeight="1">
      <c r="A212" s="7"/>
      <c r="B212" s="7"/>
      <c r="C212" s="7"/>
      <c r="D212" s="7"/>
      <c r="E212" s="7" t="str">
        <f>+VLOOKUP(D212,ARTICULO!$A$2:$B$1048576,2,FALSE)</f>
        <v>#N/A</v>
      </c>
      <c r="F212" s="7"/>
      <c r="G212" s="7"/>
      <c r="H212" s="7"/>
      <c r="I212" s="8">
        <f t="shared" si="1"/>
        <v>0</v>
      </c>
    </row>
    <row r="213" ht="15.75" customHeight="1">
      <c r="A213" s="7"/>
      <c r="B213" s="7"/>
      <c r="C213" s="7"/>
      <c r="D213" s="7"/>
      <c r="E213" s="7" t="str">
        <f>+VLOOKUP(D213,ARTICULO!$A$2:$B$1048576,2,FALSE)</f>
        <v>#N/A</v>
      </c>
      <c r="F213" s="7"/>
      <c r="G213" s="7"/>
      <c r="H213" s="7"/>
      <c r="I213" s="8">
        <f t="shared" si="1"/>
        <v>0</v>
      </c>
    </row>
    <row r="214" ht="15.75" customHeight="1">
      <c r="A214" s="7"/>
      <c r="B214" s="7"/>
      <c r="C214" s="7"/>
      <c r="D214" s="7"/>
      <c r="E214" s="7" t="str">
        <f>+VLOOKUP(D214,ARTICULO!$A$2:$B$1048576,2,FALSE)</f>
        <v>#N/A</v>
      </c>
      <c r="F214" s="7"/>
      <c r="G214" s="7"/>
      <c r="H214" s="7"/>
      <c r="I214" s="8">
        <f t="shared" si="1"/>
        <v>0</v>
      </c>
    </row>
    <row r="215" ht="15.75" customHeight="1">
      <c r="A215" s="7"/>
      <c r="B215" s="7"/>
      <c r="C215" s="7"/>
      <c r="D215" s="7"/>
      <c r="E215" s="7" t="str">
        <f>+VLOOKUP(D215,ARTICULO!$A$2:$B$1048576,2,FALSE)</f>
        <v>#N/A</v>
      </c>
      <c r="F215" s="7"/>
      <c r="G215" s="7"/>
      <c r="H215" s="7"/>
      <c r="I215" s="8">
        <f t="shared" si="1"/>
        <v>0</v>
      </c>
    </row>
    <row r="216" ht="15.75" customHeight="1">
      <c r="A216" s="7"/>
      <c r="B216" s="7"/>
      <c r="C216" s="7"/>
      <c r="D216" s="7"/>
      <c r="E216" s="7" t="str">
        <f>+VLOOKUP(D216,ARTICULO!$A$2:$B$1048576,2,FALSE)</f>
        <v>#N/A</v>
      </c>
      <c r="F216" s="7"/>
      <c r="G216" s="7"/>
      <c r="H216" s="7"/>
      <c r="I216" s="8">
        <f t="shared" si="1"/>
        <v>0</v>
      </c>
    </row>
    <row r="217" ht="15.75" customHeight="1">
      <c r="A217" s="7"/>
      <c r="B217" s="7"/>
      <c r="C217" s="7"/>
      <c r="D217" s="7"/>
      <c r="E217" s="7" t="str">
        <f>+VLOOKUP(D217,ARTICULO!$A$2:$B$1048576,2,FALSE)</f>
        <v>#N/A</v>
      </c>
      <c r="F217" s="7"/>
      <c r="G217" s="7"/>
      <c r="H217" s="12"/>
      <c r="I217" s="12"/>
    </row>
    <row r="218" ht="15.75" customHeight="1">
      <c r="A218" s="14"/>
      <c r="B218" s="14"/>
      <c r="C218" s="14"/>
      <c r="D218" s="14"/>
      <c r="E218" s="14"/>
      <c r="F218" s="14"/>
      <c r="G218" s="7"/>
      <c r="H218" s="48" t="s">
        <v>9</v>
      </c>
      <c r="I218" s="54">
        <f>SUM(I3:I217)</f>
        <v>7489002</v>
      </c>
    </row>
    <row r="219" ht="15.75" customHeight="1">
      <c r="A219" s="14"/>
      <c r="B219" s="14"/>
      <c r="C219" s="14"/>
      <c r="D219" s="14"/>
      <c r="E219" s="55"/>
      <c r="F219" s="56"/>
      <c r="G219" s="14"/>
      <c r="H219" s="14"/>
    </row>
    <row r="220" ht="15.75" customHeight="1">
      <c r="A220" s="14"/>
      <c r="B220" s="14"/>
      <c r="C220" s="14"/>
      <c r="D220" s="14"/>
      <c r="E220" s="57" t="s">
        <v>66</v>
      </c>
      <c r="F220" s="58"/>
      <c r="G220" s="14"/>
      <c r="H220" s="14"/>
    </row>
    <row r="221" ht="15.75" customHeight="1">
      <c r="A221" s="14"/>
      <c r="B221" s="14"/>
      <c r="C221" s="14"/>
      <c r="D221" s="14"/>
      <c r="E221" s="12" t="s">
        <v>74</v>
      </c>
      <c r="F221" s="51">
        <f>+SUMIF(F3:F217,E221,I3:I217)</f>
        <v>858581</v>
      </c>
      <c r="G221" s="14"/>
      <c r="H221" s="14"/>
    </row>
    <row r="222" ht="15.75" customHeight="1">
      <c r="A222" s="14"/>
      <c r="B222" s="14"/>
      <c r="C222" s="14"/>
      <c r="D222" s="14"/>
      <c r="E222" s="12" t="s">
        <v>92</v>
      </c>
      <c r="F222" s="51">
        <f>+SUMIF(F3:F217,E222,I3:I217)</f>
        <v>1470178</v>
      </c>
      <c r="G222" s="14"/>
      <c r="H222" s="14"/>
    </row>
    <row r="223" ht="15.75" customHeight="1">
      <c r="A223" s="14"/>
      <c r="B223" s="14"/>
      <c r="C223" s="14"/>
      <c r="D223" s="14"/>
      <c r="E223" s="12" t="s">
        <v>31</v>
      </c>
      <c r="F223" s="51">
        <f>+SUMIF(F3:F217,E223,I3:I217)</f>
        <v>994702</v>
      </c>
      <c r="G223" s="14"/>
      <c r="H223" s="14"/>
    </row>
    <row r="224" ht="15.75" customHeight="1">
      <c r="A224" s="14"/>
      <c r="B224" s="14"/>
      <c r="C224" s="14"/>
      <c r="D224" s="14"/>
      <c r="E224" s="59" t="s">
        <v>21</v>
      </c>
      <c r="F224" s="51">
        <f>+SUMIF(F3:F217,E224,I3:I217)</f>
        <v>619623</v>
      </c>
      <c r="G224" s="14"/>
      <c r="H224" s="14"/>
    </row>
    <row r="225" ht="15.75" customHeight="1">
      <c r="A225" s="14"/>
      <c r="B225" s="14"/>
      <c r="C225" s="14"/>
      <c r="D225" s="14"/>
      <c r="E225" s="59" t="s">
        <v>73</v>
      </c>
      <c r="F225" s="51">
        <f>+SUMIF(F3:F217,E225,I3:I217)</f>
        <v>2940179</v>
      </c>
      <c r="G225" s="14"/>
      <c r="H225" s="14"/>
    </row>
    <row r="226" ht="15.75" customHeight="1">
      <c r="A226" s="14"/>
      <c r="B226" s="14"/>
      <c r="C226" s="14"/>
      <c r="D226" s="14"/>
      <c r="E226" s="12" t="s">
        <v>68</v>
      </c>
      <c r="F226" s="51">
        <f>+SUMIF(F3:F217,E226,I3:I217)</f>
        <v>605739</v>
      </c>
      <c r="G226" s="14"/>
      <c r="H226" s="14"/>
    </row>
    <row r="227" ht="15.75" customHeight="1">
      <c r="A227" s="14"/>
      <c r="B227" s="14"/>
      <c r="C227" s="14"/>
      <c r="D227" s="14"/>
      <c r="E227" s="12" t="s">
        <v>69</v>
      </c>
      <c r="F227" s="51">
        <f>+SUMIF(F3:F217,E227,I3:I217)</f>
        <v>0</v>
      </c>
      <c r="G227" s="14"/>
      <c r="H227" s="14"/>
    </row>
    <row r="228" ht="15.75" customHeight="1">
      <c r="A228" s="14"/>
      <c r="B228" s="14"/>
      <c r="C228" s="14"/>
      <c r="D228" s="14"/>
      <c r="E228" s="60" t="s">
        <v>9</v>
      </c>
      <c r="F228" s="61">
        <f>+SUM(F221:F227)</f>
        <v>7489002</v>
      </c>
      <c r="G228" s="14"/>
      <c r="H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</row>
    <row r="231" ht="15.75" customHeight="1">
      <c r="A231" s="14"/>
      <c r="B231" s="14"/>
      <c r="C231" s="14"/>
      <c r="D231" s="14"/>
      <c r="E231" s="29" t="s">
        <v>70</v>
      </c>
      <c r="F231" s="30" t="s">
        <v>19</v>
      </c>
      <c r="G231" s="14"/>
      <c r="H231" s="14"/>
    </row>
    <row r="232" ht="15.75" customHeight="1">
      <c r="A232" s="14"/>
      <c r="B232" s="14"/>
      <c r="C232" s="14"/>
      <c r="D232" s="14"/>
      <c r="E232" s="12" t="s">
        <v>74</v>
      </c>
      <c r="F232" s="32">
        <f t="shared" ref="F232:F237" si="2">+SUMIFS($I$3:$I$217,$C$3:$C$217,$F$231,$F$3:$F$217,E232)</f>
        <v>496019</v>
      </c>
      <c r="G232" s="14"/>
      <c r="H232" s="14"/>
    </row>
    <row r="233" ht="15.75" customHeight="1">
      <c r="A233" s="14"/>
      <c r="B233" s="14"/>
      <c r="C233" s="14"/>
      <c r="D233" s="14"/>
      <c r="E233" s="12" t="s">
        <v>92</v>
      </c>
      <c r="F233" s="34">
        <f t="shared" si="2"/>
        <v>1458443</v>
      </c>
      <c r="G233" s="14"/>
      <c r="H233" s="14"/>
    </row>
    <row r="234" ht="15.75" customHeight="1">
      <c r="A234" s="14"/>
      <c r="B234" s="14"/>
      <c r="C234" s="14"/>
      <c r="D234" s="14"/>
      <c r="E234" s="33" t="s">
        <v>31</v>
      </c>
      <c r="F234" s="34">
        <f t="shared" si="2"/>
        <v>71180</v>
      </c>
      <c r="G234" s="14"/>
      <c r="H234" s="14"/>
    </row>
    <row r="235" ht="15.75" customHeight="1">
      <c r="A235" s="14"/>
      <c r="B235" s="14"/>
      <c r="C235" s="14"/>
      <c r="D235" s="14"/>
      <c r="E235" s="59" t="s">
        <v>21</v>
      </c>
      <c r="F235" s="34">
        <f t="shared" si="2"/>
        <v>344892</v>
      </c>
      <c r="G235" s="14"/>
      <c r="H235" s="14"/>
    </row>
    <row r="236" ht="15.75" customHeight="1">
      <c r="A236" s="14"/>
      <c r="B236" s="14"/>
      <c r="C236" s="14"/>
      <c r="D236" s="14"/>
      <c r="E236" s="59" t="s">
        <v>73</v>
      </c>
      <c r="F236" s="34">
        <f t="shared" si="2"/>
        <v>1141343</v>
      </c>
      <c r="G236" s="14"/>
      <c r="H236" s="14"/>
    </row>
    <row r="237" ht="15.75" customHeight="1">
      <c r="A237" s="14"/>
      <c r="B237" s="14"/>
      <c r="C237" s="14"/>
      <c r="D237" s="14"/>
      <c r="E237" s="35" t="s">
        <v>68</v>
      </c>
      <c r="F237" s="36">
        <f t="shared" si="2"/>
        <v>53592</v>
      </c>
      <c r="G237" s="14"/>
      <c r="H237" s="14"/>
    </row>
    <row r="238" ht="15.75" customHeight="1">
      <c r="A238" s="14"/>
      <c r="B238" s="14"/>
      <c r="C238" s="14"/>
      <c r="D238" s="14"/>
      <c r="E238" s="37" t="s">
        <v>9</v>
      </c>
      <c r="F238" s="38">
        <f>+SUM(F232:F237)</f>
        <v>3565469</v>
      </c>
      <c r="G238" s="14"/>
      <c r="H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</row>
    <row r="240" ht="15.75" customHeight="1">
      <c r="A240" s="14"/>
      <c r="B240" s="14"/>
      <c r="C240" s="14"/>
      <c r="D240" s="14"/>
      <c r="E240" s="29" t="s">
        <v>70</v>
      </c>
      <c r="F240" s="30" t="s">
        <v>11</v>
      </c>
      <c r="G240" s="14"/>
      <c r="H240" s="14"/>
    </row>
    <row r="241" ht="15.75" customHeight="1">
      <c r="A241" s="14"/>
      <c r="B241" s="14"/>
      <c r="C241" s="14"/>
      <c r="D241" s="14"/>
      <c r="E241" s="31" t="s">
        <v>74</v>
      </c>
      <c r="F241" s="32">
        <f t="shared" ref="F241:F246" si="3">+SUMIFS($I$3:$I$217,$C$3:$C$217,$F$240,$F$3:$F$217,E241)</f>
        <v>177902</v>
      </c>
      <c r="G241" s="14"/>
      <c r="H241" s="14"/>
    </row>
    <row r="242" ht="15.75" customHeight="1">
      <c r="A242" s="14"/>
      <c r="B242" s="14"/>
      <c r="C242" s="14"/>
      <c r="D242" s="14"/>
      <c r="E242" s="12" t="s">
        <v>92</v>
      </c>
      <c r="F242" s="32">
        <f t="shared" si="3"/>
        <v>11735</v>
      </c>
      <c r="G242" s="14"/>
      <c r="H242" s="14"/>
    </row>
    <row r="243" ht="15.75" customHeight="1">
      <c r="A243" s="14"/>
      <c r="B243" s="14"/>
      <c r="C243" s="14"/>
      <c r="D243" s="14"/>
      <c r="E243" s="33" t="s">
        <v>31</v>
      </c>
      <c r="F243" s="32">
        <f t="shared" si="3"/>
        <v>113821</v>
      </c>
      <c r="G243" s="14"/>
      <c r="H243" s="14"/>
    </row>
    <row r="244" ht="15.75" customHeight="1">
      <c r="A244" s="14"/>
      <c r="B244" s="14"/>
      <c r="C244" s="14"/>
      <c r="D244" s="14"/>
      <c r="E244" s="59" t="s">
        <v>21</v>
      </c>
      <c r="F244" s="32">
        <f t="shared" si="3"/>
        <v>199547</v>
      </c>
      <c r="G244" s="14"/>
      <c r="H244" s="14"/>
    </row>
    <row r="245" ht="15.75" customHeight="1">
      <c r="A245" s="14"/>
      <c r="B245" s="14"/>
      <c r="C245" s="14"/>
      <c r="D245" s="14"/>
      <c r="E245" s="59" t="s">
        <v>73</v>
      </c>
      <c r="F245" s="32">
        <f t="shared" si="3"/>
        <v>991981</v>
      </c>
      <c r="G245" s="14"/>
      <c r="H245" s="14"/>
    </row>
    <row r="246" ht="15.75" customHeight="1">
      <c r="A246" s="14"/>
      <c r="B246" s="14"/>
      <c r="C246" s="14"/>
      <c r="D246" s="14"/>
      <c r="E246" s="35" t="s">
        <v>68</v>
      </c>
      <c r="F246" s="32">
        <f t="shared" si="3"/>
        <v>51430</v>
      </c>
      <c r="G246" s="14"/>
      <c r="H246" s="14"/>
    </row>
    <row r="247" ht="15.75" customHeight="1">
      <c r="A247" s="14"/>
      <c r="B247" s="14"/>
      <c r="C247" s="14"/>
      <c r="D247" s="14"/>
      <c r="E247" s="37" t="s">
        <v>9</v>
      </c>
      <c r="F247" s="40">
        <f>+SUM(F241:F246)</f>
        <v>1546416</v>
      </c>
      <c r="G247" s="14"/>
      <c r="H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</row>
    <row r="250" ht="15.75" customHeight="1">
      <c r="A250" s="14"/>
      <c r="B250" s="14"/>
      <c r="C250" s="14"/>
      <c r="D250" s="14"/>
      <c r="E250" s="29" t="s">
        <v>70</v>
      </c>
      <c r="F250" s="30" t="s">
        <v>15</v>
      </c>
      <c r="G250" s="14"/>
      <c r="H250" s="14"/>
    </row>
    <row r="251" ht="15.75" customHeight="1">
      <c r="A251" s="14"/>
      <c r="B251" s="14"/>
      <c r="C251" s="14"/>
      <c r="D251" s="14"/>
      <c r="E251" s="31" t="s">
        <v>74</v>
      </c>
      <c r="F251" s="32">
        <f t="shared" ref="F251:F256" si="4">+SUMIFS($I$3:$I$217,$C$3:$C$217,$F$250,$F$3:$F$217,E251)</f>
        <v>88392</v>
      </c>
      <c r="G251" s="14"/>
      <c r="H251" s="14"/>
    </row>
    <row r="252" ht="15.75" customHeight="1">
      <c r="A252" s="14"/>
      <c r="B252" s="14"/>
      <c r="C252" s="14"/>
      <c r="D252" s="14"/>
      <c r="E252" s="33" t="s">
        <v>67</v>
      </c>
      <c r="F252" s="34">
        <f t="shared" si="4"/>
        <v>0</v>
      </c>
      <c r="G252" s="14"/>
      <c r="H252" s="14"/>
    </row>
    <row r="253" ht="15.75" customHeight="1">
      <c r="A253" s="14"/>
      <c r="B253" s="14"/>
      <c r="C253" s="14"/>
      <c r="D253" s="14"/>
      <c r="E253" s="33" t="s">
        <v>31</v>
      </c>
      <c r="F253" s="34">
        <f t="shared" si="4"/>
        <v>411967</v>
      </c>
      <c r="G253" s="14"/>
      <c r="H253" s="14"/>
    </row>
    <row r="254" ht="15.75" customHeight="1">
      <c r="A254" s="14"/>
      <c r="B254" s="14"/>
      <c r="C254" s="14"/>
      <c r="D254" s="14"/>
      <c r="E254" s="59" t="s">
        <v>21</v>
      </c>
      <c r="F254" s="34">
        <f t="shared" si="4"/>
        <v>75184</v>
      </c>
      <c r="G254" s="14"/>
      <c r="H254" s="14"/>
    </row>
    <row r="255" ht="15.75" customHeight="1">
      <c r="A255" s="14"/>
      <c r="B255" s="14"/>
      <c r="C255" s="14"/>
      <c r="D255" s="14"/>
      <c r="E255" s="59" t="s">
        <v>73</v>
      </c>
      <c r="F255" s="34">
        <f t="shared" si="4"/>
        <v>258498</v>
      </c>
      <c r="G255" s="14"/>
      <c r="H255" s="14"/>
    </row>
    <row r="256" ht="15.75" customHeight="1">
      <c r="A256" s="14"/>
      <c r="B256" s="14"/>
      <c r="C256" s="14"/>
      <c r="D256" s="14"/>
      <c r="E256" s="35" t="s">
        <v>68</v>
      </c>
      <c r="F256" s="36">
        <f t="shared" si="4"/>
        <v>157988</v>
      </c>
      <c r="G256" s="14"/>
      <c r="H256" s="14"/>
    </row>
    <row r="257" ht="15.75" customHeight="1">
      <c r="A257" s="14"/>
      <c r="B257" s="14"/>
      <c r="C257" s="14"/>
      <c r="D257" s="14"/>
      <c r="E257" s="37" t="s">
        <v>9</v>
      </c>
      <c r="F257" s="40">
        <f>+SUM(F251:F256)</f>
        <v>992029</v>
      </c>
      <c r="G257" s="14"/>
      <c r="H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</row>
    <row r="260" ht="15.75" customHeight="1">
      <c r="A260" s="14"/>
      <c r="B260" s="14"/>
      <c r="C260" s="14"/>
      <c r="D260" s="14"/>
      <c r="E260" s="29" t="s">
        <v>70</v>
      </c>
      <c r="F260" s="30" t="s">
        <v>17</v>
      </c>
      <c r="G260" s="14"/>
      <c r="H260" s="14"/>
    </row>
    <row r="261" ht="15.75" customHeight="1">
      <c r="A261" s="14"/>
      <c r="B261" s="14"/>
      <c r="C261" s="14"/>
      <c r="D261" s="14"/>
      <c r="E261" s="31" t="s">
        <v>74</v>
      </c>
      <c r="F261" s="32">
        <f t="shared" ref="F261:F266" si="5">+SUMIFS($I$3:$I$217,$C$3:$C$217,$F$260,$F$3:$F$217,E261)</f>
        <v>96268</v>
      </c>
      <c r="G261" s="14"/>
      <c r="H261" s="14"/>
    </row>
    <row r="262" ht="15.75" customHeight="1">
      <c r="A262" s="14"/>
      <c r="B262" s="14"/>
      <c r="C262" s="14"/>
      <c r="D262" s="14"/>
      <c r="E262" s="33" t="s">
        <v>67</v>
      </c>
      <c r="F262" s="32">
        <f t="shared" si="5"/>
        <v>0</v>
      </c>
      <c r="G262" s="14"/>
      <c r="H262" s="14"/>
    </row>
    <row r="263" ht="15.75" customHeight="1">
      <c r="A263" s="14"/>
      <c r="B263" s="14"/>
      <c r="C263" s="14"/>
      <c r="D263" s="14"/>
      <c r="E263" s="33" t="s">
        <v>31</v>
      </c>
      <c r="F263" s="32">
        <f t="shared" si="5"/>
        <v>379470</v>
      </c>
      <c r="G263" s="14"/>
      <c r="H263" s="14"/>
    </row>
    <row r="264" ht="15.75" customHeight="1">
      <c r="E264" s="59" t="s">
        <v>21</v>
      </c>
      <c r="F264" s="32">
        <f t="shared" si="5"/>
        <v>0</v>
      </c>
    </row>
    <row r="265" ht="15.75" customHeight="1">
      <c r="E265" s="59" t="s">
        <v>73</v>
      </c>
      <c r="F265" s="32">
        <f t="shared" si="5"/>
        <v>470267</v>
      </c>
    </row>
    <row r="266" ht="15.75" customHeight="1">
      <c r="E266" s="35" t="s">
        <v>68</v>
      </c>
      <c r="F266" s="32">
        <f t="shared" si="5"/>
        <v>342729</v>
      </c>
    </row>
    <row r="267" ht="15.75" customHeight="1">
      <c r="E267" s="37" t="s">
        <v>9</v>
      </c>
      <c r="F267" s="40">
        <f>+SUM(F261:F266)</f>
        <v>1288734</v>
      </c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K$218"/>
  <mergeCells count="3">
    <mergeCell ref="A1:I1"/>
    <mergeCell ref="E219:F219"/>
    <mergeCell ref="E220:F220"/>
  </mergeCells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4.29"/>
    <col customWidth="1" min="3" max="3" width="11.14"/>
    <col customWidth="1" min="4" max="4" width="6.71"/>
    <col customWidth="1" min="5" max="5" width="33.86"/>
    <col customWidth="1" min="6" max="6" width="15.71"/>
    <col customWidth="1" min="7" max="7" width="5.57"/>
    <col customWidth="1" min="8" max="9" width="13.14"/>
  </cols>
  <sheetData>
    <row r="1" ht="27.75" customHeight="1">
      <c r="A1" s="41" t="s">
        <v>162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ht="15.75" customHeight="1">
      <c r="A3" s="49">
        <v>46083.0</v>
      </c>
      <c r="B3" s="7" t="s">
        <v>163</v>
      </c>
      <c r="C3" s="7" t="s">
        <v>17</v>
      </c>
      <c r="D3" s="7">
        <v>661.0</v>
      </c>
      <c r="E3" s="10" t="str">
        <f>+VLOOKUP(D3,ARTICULO!$A$2:$B$1048576,2,FALSE)</f>
        <v>PASTA DE MANI NATURAL X 485GR X 12U- Mani king</v>
      </c>
      <c r="F3" s="12" t="s">
        <v>68</v>
      </c>
      <c r="G3" s="7">
        <v>3.0</v>
      </c>
      <c r="H3" s="47">
        <v>30396.0</v>
      </c>
      <c r="I3" s="8">
        <f t="shared" ref="I3:I165" si="1">SUM(G3*H3)</f>
        <v>91188</v>
      </c>
    </row>
    <row r="4" ht="15.75" customHeight="1">
      <c r="A4" s="49">
        <v>46083.0</v>
      </c>
      <c r="B4" s="7" t="s">
        <v>144</v>
      </c>
      <c r="C4" s="7" t="s">
        <v>11</v>
      </c>
      <c r="D4" s="7">
        <v>332.0</v>
      </c>
      <c r="E4" s="10" t="str">
        <f>+VLOOKUP(D4,ARTICULO!$A$2:$B$1048576,2,FALSE)</f>
        <v>CEREAL SIN AZUCAR X 2.5 KG</v>
      </c>
      <c r="F4" s="7" t="s">
        <v>73</v>
      </c>
      <c r="G4" s="7">
        <v>4.0</v>
      </c>
      <c r="H4" s="47">
        <v>9995.0</v>
      </c>
      <c r="I4" s="8">
        <f t="shared" si="1"/>
        <v>39980</v>
      </c>
    </row>
    <row r="5" ht="15.75" customHeight="1">
      <c r="A5" s="49">
        <v>46084.0</v>
      </c>
      <c r="B5" s="7" t="s">
        <v>164</v>
      </c>
      <c r="C5" s="7" t="s">
        <v>11</v>
      </c>
      <c r="D5" s="7">
        <v>468.0</v>
      </c>
      <c r="E5" s="10" t="str">
        <f>+VLOOKUP(D5,ARTICULO!$A$2:$B$1048576,2,FALSE)</f>
        <v>MEZCLA GRUESA/MEDIANA</v>
      </c>
      <c r="F5" s="12" t="s">
        <v>68</v>
      </c>
      <c r="G5" s="7">
        <v>5.0</v>
      </c>
      <c r="H5" s="47">
        <v>688.0</v>
      </c>
      <c r="I5" s="8">
        <f t="shared" si="1"/>
        <v>3440</v>
      </c>
    </row>
    <row r="6" ht="15.75" customHeight="1">
      <c r="A6" s="49">
        <v>46084.0</v>
      </c>
      <c r="B6" s="7" t="s">
        <v>164</v>
      </c>
      <c r="C6" s="7" t="s">
        <v>11</v>
      </c>
      <c r="D6" s="7">
        <v>466.0</v>
      </c>
      <c r="E6" s="10" t="str">
        <f>+VLOOKUP(D6,ARTICULO!$A$2:$B$1048576,2,FALSE)</f>
        <v>MEZCLA CON VIT. (CANARIO)</v>
      </c>
      <c r="F6" s="12" t="s">
        <v>68</v>
      </c>
      <c r="G6" s="7">
        <v>5.0</v>
      </c>
      <c r="H6" s="47">
        <v>1715.0</v>
      </c>
      <c r="I6" s="8">
        <f t="shared" si="1"/>
        <v>8575</v>
      </c>
    </row>
    <row r="7" ht="15.75" customHeight="1">
      <c r="A7" s="49">
        <v>46084.0</v>
      </c>
      <c r="B7" s="7" t="s">
        <v>164</v>
      </c>
      <c r="C7" s="7" t="s">
        <v>11</v>
      </c>
      <c r="D7" s="7">
        <v>717.0</v>
      </c>
      <c r="E7" s="10" t="str">
        <f>+VLOOKUP(D7,ARTICULO!$A$2:$B$1048576,2,FALSE)</f>
        <v>LENTEJA</v>
      </c>
      <c r="F7" s="12" t="s">
        <v>68</v>
      </c>
      <c r="G7" s="7">
        <v>5.0</v>
      </c>
      <c r="H7" s="47">
        <v>2985.0</v>
      </c>
      <c r="I7" s="8">
        <f t="shared" si="1"/>
        <v>14925</v>
      </c>
    </row>
    <row r="8" ht="15.75" customHeight="1">
      <c r="A8" s="49">
        <v>46084.0</v>
      </c>
      <c r="B8" s="7" t="s">
        <v>164</v>
      </c>
      <c r="C8" s="7" t="s">
        <v>11</v>
      </c>
      <c r="D8" s="7">
        <v>1009.0</v>
      </c>
      <c r="E8" s="10" t="str">
        <f>+VLOOKUP(D8,ARTICULO!$A$2:$B$1048576,2,FALSE)</f>
        <v>PIEDRAS SANITARIAS X 20 KG</v>
      </c>
      <c r="F8" s="12" t="s">
        <v>68</v>
      </c>
      <c r="G8" s="7">
        <v>10.0</v>
      </c>
      <c r="H8" s="47">
        <v>8046.0</v>
      </c>
      <c r="I8" s="8">
        <f t="shared" si="1"/>
        <v>80460</v>
      </c>
    </row>
    <row r="9" ht="15.75" customHeight="1">
      <c r="A9" s="49">
        <v>46084.0</v>
      </c>
      <c r="B9" s="7" t="s">
        <v>165</v>
      </c>
      <c r="C9" s="7" t="s">
        <v>11</v>
      </c>
      <c r="D9" s="7">
        <v>7.0</v>
      </c>
      <c r="E9" s="10" t="str">
        <f>+VLOOKUP(D9,ARTICULO!$A$2:$B$1048576,2,FALSE)</f>
        <v>CONEJO X 25 KG - GEPSA</v>
      </c>
      <c r="F9" s="7" t="s">
        <v>73</v>
      </c>
      <c r="G9" s="7">
        <v>1.0</v>
      </c>
      <c r="H9" s="47">
        <v>17992.0</v>
      </c>
      <c r="I9" s="8">
        <f t="shared" si="1"/>
        <v>17992</v>
      </c>
    </row>
    <row r="10" ht="15.75" customHeight="1">
      <c r="A10" s="49">
        <v>46084.0</v>
      </c>
      <c r="B10" s="7" t="s">
        <v>166</v>
      </c>
      <c r="C10" s="7" t="s">
        <v>11</v>
      </c>
      <c r="D10" s="7">
        <v>704.0</v>
      </c>
      <c r="E10" s="10" t="str">
        <f>+VLOOKUP(D10,ARTICULO!$A$2:$B$1048576,2,FALSE)</f>
        <v>AVENA INSTANTANEA</v>
      </c>
      <c r="F10" s="7" t="s">
        <v>31</v>
      </c>
      <c r="G10" s="7">
        <v>5.0</v>
      </c>
      <c r="H10" s="47">
        <v>1797.0</v>
      </c>
      <c r="I10" s="8">
        <f t="shared" si="1"/>
        <v>8985</v>
      </c>
    </row>
    <row r="11" ht="15.75" customHeight="1">
      <c r="A11" s="49">
        <v>46085.0</v>
      </c>
      <c r="B11" s="7" t="s">
        <v>167</v>
      </c>
      <c r="C11" s="7" t="s">
        <v>17</v>
      </c>
      <c r="D11" s="7">
        <v>491.0</v>
      </c>
      <c r="E11" s="10" t="str">
        <f>+VLOOKUP(D11,ARTICULO!$A$2:$B$1048576,2,FALSE)</f>
        <v>MEZCLA GALLO PREMIUM</v>
      </c>
      <c r="F11" s="7" t="s">
        <v>73</v>
      </c>
      <c r="G11" s="7">
        <v>140.0</v>
      </c>
      <c r="H11" s="47">
        <v>779.0</v>
      </c>
      <c r="I11" s="8">
        <f t="shared" si="1"/>
        <v>109060</v>
      </c>
    </row>
    <row r="12" ht="15.75" customHeight="1">
      <c r="A12" s="49">
        <v>46085.0</v>
      </c>
      <c r="B12" s="7" t="s">
        <v>168</v>
      </c>
      <c r="C12" s="7" t="s">
        <v>17</v>
      </c>
      <c r="D12" s="7">
        <v>524.0</v>
      </c>
      <c r="E12" s="10" t="str">
        <f>+VLOOKUP(D12,ARTICULO!$A$2:$B$1048576,2,FALSE)</f>
        <v>PIMENTON ESPAÐOL</v>
      </c>
      <c r="F12" s="59" t="s">
        <v>21</v>
      </c>
      <c r="G12" s="7">
        <v>5.0</v>
      </c>
      <c r="H12" s="47">
        <v>3200.0</v>
      </c>
      <c r="I12" s="8">
        <f t="shared" si="1"/>
        <v>16000</v>
      </c>
    </row>
    <row r="13" ht="15.75" customHeight="1">
      <c r="A13" s="49">
        <v>46085.0</v>
      </c>
      <c r="B13" s="7" t="s">
        <v>168</v>
      </c>
      <c r="C13" s="7" t="s">
        <v>17</v>
      </c>
      <c r="D13" s="7">
        <v>519.0</v>
      </c>
      <c r="E13" s="10" t="str">
        <f>+VLOOKUP(D13,ARTICULO!$A$2:$B$1048576,2,FALSE)</f>
        <v>PIMIENTA BLANCA</v>
      </c>
      <c r="F13" s="59" t="s">
        <v>21</v>
      </c>
      <c r="G13" s="7">
        <v>5.0</v>
      </c>
      <c r="H13" s="47">
        <v>37500.0</v>
      </c>
      <c r="I13" s="8">
        <f t="shared" si="1"/>
        <v>187500</v>
      </c>
    </row>
    <row r="14" ht="15.75" customHeight="1">
      <c r="A14" s="49">
        <v>46085.0</v>
      </c>
      <c r="B14" s="7" t="s">
        <v>168</v>
      </c>
      <c r="C14" s="7" t="s">
        <v>17</v>
      </c>
      <c r="D14" s="7">
        <v>514.0</v>
      </c>
      <c r="E14" s="10" t="str">
        <f>+VLOOKUP(D14,ARTICULO!$A$2:$B$1048576,2,FALSE)</f>
        <v>NUEZ MOSCADA</v>
      </c>
      <c r="F14" s="59" t="s">
        <v>21</v>
      </c>
      <c r="G14" s="7">
        <v>10.0</v>
      </c>
      <c r="H14" s="47">
        <v>3944.0</v>
      </c>
      <c r="I14" s="8">
        <f t="shared" si="1"/>
        <v>39440</v>
      </c>
    </row>
    <row r="15" ht="15.75" customHeight="1">
      <c r="A15" s="49">
        <v>46085.0</v>
      </c>
      <c r="B15" s="7" t="s">
        <v>168</v>
      </c>
      <c r="C15" s="7" t="s">
        <v>17</v>
      </c>
      <c r="D15" s="7">
        <v>703.0</v>
      </c>
      <c r="E15" s="10" t="str">
        <f>+VLOOKUP(D15,ARTICULO!$A$2:$B$1048576,2,FALSE)</f>
        <v>AVENA ARROLLADA</v>
      </c>
      <c r="F15" s="59" t="s">
        <v>21</v>
      </c>
      <c r="G15" s="7">
        <v>60.0</v>
      </c>
      <c r="H15" s="47">
        <v>1505.0</v>
      </c>
      <c r="I15" s="8">
        <f t="shared" si="1"/>
        <v>90300</v>
      </c>
    </row>
    <row r="16" ht="15.75" customHeight="1">
      <c r="A16" s="49">
        <v>46085.0</v>
      </c>
      <c r="B16" s="7" t="s">
        <v>81</v>
      </c>
      <c r="C16" s="7" t="s">
        <v>17</v>
      </c>
      <c r="D16" s="7">
        <v>170.0</v>
      </c>
      <c r="E16" s="10" t="str">
        <f>+VLOOKUP(D16,ARTICULO!$A$2:$B$1048576,2,FALSE)</f>
        <v>COMPLETE GATO ADULTO X 15KG</v>
      </c>
      <c r="F16" s="7" t="s">
        <v>73</v>
      </c>
      <c r="G16" s="7">
        <v>2.0</v>
      </c>
      <c r="H16" s="47">
        <v>59012.0</v>
      </c>
      <c r="I16" s="8">
        <f t="shared" si="1"/>
        <v>118024</v>
      </c>
    </row>
    <row r="17" ht="15.75" customHeight="1">
      <c r="A17" s="49">
        <v>46085.0</v>
      </c>
      <c r="B17" s="7" t="s">
        <v>169</v>
      </c>
      <c r="C17" s="7" t="s">
        <v>19</v>
      </c>
      <c r="D17" s="7">
        <v>720.0</v>
      </c>
      <c r="E17" s="10" t="str">
        <f>+VLOOKUP(D17,ARTICULO!$A$2:$B$1048576,2,FALSE)</f>
        <v>MAIZ MOLIDO BLANCO</v>
      </c>
      <c r="F17" s="7" t="s">
        <v>73</v>
      </c>
      <c r="G17" s="7">
        <v>10.0</v>
      </c>
      <c r="H17" s="47">
        <v>1575.0</v>
      </c>
      <c r="I17" s="8">
        <f t="shared" si="1"/>
        <v>15750</v>
      </c>
    </row>
    <row r="18" ht="15.75" customHeight="1">
      <c r="A18" s="49">
        <v>46086.0</v>
      </c>
      <c r="B18" s="7" t="s">
        <v>134</v>
      </c>
      <c r="C18" s="7" t="s">
        <v>11</v>
      </c>
      <c r="D18" s="7">
        <v>661.0</v>
      </c>
      <c r="E18" s="10" t="str">
        <f>+VLOOKUP(D18,ARTICULO!$A$2:$B$1048576,2,FALSE)</f>
        <v>PASTA DE MANI NATURAL X 485GR X 12U- Mani king</v>
      </c>
      <c r="F18" s="59" t="s">
        <v>21</v>
      </c>
      <c r="G18" s="7">
        <v>3.0</v>
      </c>
      <c r="H18" s="47">
        <v>30396.0</v>
      </c>
      <c r="I18" s="8">
        <f t="shared" si="1"/>
        <v>91188</v>
      </c>
    </row>
    <row r="19" ht="15.75" customHeight="1">
      <c r="A19" s="49">
        <v>46086.0</v>
      </c>
      <c r="B19" s="7" t="s">
        <v>134</v>
      </c>
      <c r="C19" s="7" t="s">
        <v>11</v>
      </c>
      <c r="D19" s="7">
        <v>679.0</v>
      </c>
      <c r="E19" s="7" t="str">
        <f>+VLOOKUP(D19,ARTICULO!$A$2:$B$1048576,2,FALSE)</f>
        <v>PASTA DE MANI VITA + X350 X 12un</v>
      </c>
      <c r="F19" s="59" t="s">
        <v>21</v>
      </c>
      <c r="G19" s="7">
        <v>1.0</v>
      </c>
      <c r="H19" s="47">
        <v>28137.0</v>
      </c>
      <c r="I19" s="8">
        <f t="shared" si="1"/>
        <v>28137</v>
      </c>
    </row>
    <row r="20" ht="15.75" customHeight="1">
      <c r="A20" s="49">
        <v>46086.0</v>
      </c>
      <c r="B20" s="7" t="s">
        <v>134</v>
      </c>
      <c r="C20" s="7" t="s">
        <v>11</v>
      </c>
      <c r="D20" s="7">
        <v>13819.0</v>
      </c>
      <c r="E20" s="10" t="str">
        <f>+VLOOKUP(D20,ARTICULO!$A$2:$B$1048576,2,FALSE)</f>
        <v>MANI SALADO X 1 KG X 9U - Mani King</v>
      </c>
      <c r="F20" s="59" t="s">
        <v>21</v>
      </c>
      <c r="G20" s="7">
        <v>1.0</v>
      </c>
      <c r="H20" s="47">
        <v>3579.0</v>
      </c>
      <c r="I20" s="8">
        <f t="shared" si="1"/>
        <v>3579</v>
      </c>
    </row>
    <row r="21" ht="15.75" customHeight="1">
      <c r="A21" s="49">
        <v>46086.0</v>
      </c>
      <c r="B21" s="7" t="s">
        <v>170</v>
      </c>
      <c r="C21" s="7" t="s">
        <v>17</v>
      </c>
      <c r="D21" s="7">
        <v>719.0</v>
      </c>
      <c r="E21" s="10" t="str">
        <f>+VLOOKUP(D21,ARTICULO!$A$2:$B$1048576,2,FALSE)</f>
        <v>MAIZ MOLIDO AMARILLO</v>
      </c>
      <c r="F21" s="12" t="s">
        <v>74</v>
      </c>
      <c r="G21" s="7">
        <v>5.0</v>
      </c>
      <c r="H21" s="47">
        <v>1073.0</v>
      </c>
      <c r="I21" s="8">
        <f t="shared" si="1"/>
        <v>5365</v>
      </c>
    </row>
    <row r="22" ht="15.75" customHeight="1">
      <c r="A22" s="49">
        <v>46087.0</v>
      </c>
      <c r="B22" s="7" t="s">
        <v>171</v>
      </c>
      <c r="C22" s="7" t="s">
        <v>17</v>
      </c>
      <c r="D22" s="7">
        <v>59.0</v>
      </c>
      <c r="E22" s="10" t="str">
        <f>+VLOOKUP(D22,ARTICULO!$A$2:$B$1048576,2,FALSE)</f>
        <v>INICIADOR X 40 KG</v>
      </c>
      <c r="F22" s="12" t="s">
        <v>68</v>
      </c>
      <c r="G22" s="7">
        <v>1.0</v>
      </c>
      <c r="H22" s="47">
        <v>30161.0</v>
      </c>
      <c r="I22" s="8">
        <f t="shared" si="1"/>
        <v>30161</v>
      </c>
    </row>
    <row r="23" ht="15.75" customHeight="1">
      <c r="A23" s="49">
        <v>46087.0</v>
      </c>
      <c r="B23" s="7" t="s">
        <v>171</v>
      </c>
      <c r="C23" s="7" t="s">
        <v>17</v>
      </c>
      <c r="D23" s="7">
        <v>478.0</v>
      </c>
      <c r="E23" s="10" t="str">
        <f>+VLOOKUP(D23,ARTICULO!$A$2:$B$1048576,2,FALSE)</f>
        <v>MAIZ QUEBRADO GRUESO X 30 KG</v>
      </c>
      <c r="F23" s="12" t="s">
        <v>68</v>
      </c>
      <c r="G23" s="7">
        <v>1.0</v>
      </c>
      <c r="H23" s="47">
        <v>17281.0</v>
      </c>
      <c r="I23" s="8">
        <f t="shared" si="1"/>
        <v>17281</v>
      </c>
    </row>
    <row r="24" ht="15.75" customHeight="1">
      <c r="A24" s="49">
        <v>46087.0</v>
      </c>
      <c r="B24" s="7" t="s">
        <v>171</v>
      </c>
      <c r="C24" s="7" t="s">
        <v>17</v>
      </c>
      <c r="D24" s="7">
        <v>716.0</v>
      </c>
      <c r="E24" s="10" t="str">
        <f>+VLOOKUP(D24,ARTICULO!$A$2:$B$1048576,2,FALSE)</f>
        <v>HARINA P/TAMALES</v>
      </c>
      <c r="F24" s="12" t="s">
        <v>68</v>
      </c>
      <c r="G24" s="7">
        <v>10.0</v>
      </c>
      <c r="H24" s="47">
        <v>777.0</v>
      </c>
      <c r="I24" s="8">
        <f t="shared" si="1"/>
        <v>7770</v>
      </c>
    </row>
    <row r="25" ht="15.75" customHeight="1">
      <c r="A25" s="49">
        <v>46087.0</v>
      </c>
      <c r="B25" s="7" t="s">
        <v>171</v>
      </c>
      <c r="C25" s="7" t="s">
        <v>17</v>
      </c>
      <c r="D25" s="7">
        <v>524.0</v>
      </c>
      <c r="E25" s="10" t="str">
        <f>+VLOOKUP(D25,ARTICULO!$A$2:$B$1048576,2,FALSE)</f>
        <v>PIMENTON ESPAÐOL</v>
      </c>
      <c r="F25" s="12" t="s">
        <v>68</v>
      </c>
      <c r="G25" s="7">
        <v>1.0</v>
      </c>
      <c r="H25" s="47">
        <v>3200.0</v>
      </c>
      <c r="I25" s="8">
        <f t="shared" si="1"/>
        <v>3200</v>
      </c>
    </row>
    <row r="26" ht="15.75" customHeight="1">
      <c r="A26" s="49">
        <v>46087.0</v>
      </c>
      <c r="B26" s="7" t="s">
        <v>171</v>
      </c>
      <c r="C26" s="7" t="s">
        <v>17</v>
      </c>
      <c r="D26" s="7">
        <v>703.0</v>
      </c>
      <c r="E26" s="10" t="str">
        <f>+VLOOKUP(D26,ARTICULO!$A$2:$B$1048576,2,FALSE)</f>
        <v>AVENA ARROLLADA</v>
      </c>
      <c r="F26" s="12" t="s">
        <v>68</v>
      </c>
      <c r="G26" s="7">
        <v>5.0</v>
      </c>
      <c r="H26" s="47">
        <v>1737.0</v>
      </c>
      <c r="I26" s="8">
        <f t="shared" si="1"/>
        <v>8685</v>
      </c>
    </row>
    <row r="27" ht="15.75" customHeight="1">
      <c r="A27" s="49">
        <v>46087.0</v>
      </c>
      <c r="B27" s="7" t="s">
        <v>171</v>
      </c>
      <c r="C27" s="7" t="s">
        <v>17</v>
      </c>
      <c r="D27" s="7">
        <v>610.0</v>
      </c>
      <c r="E27" s="10" t="str">
        <f>+VLOOKUP(D27,ARTICULO!$A$2:$B$1048576,2,FALSE)</f>
        <v>MIX ENERGETICO S/C</v>
      </c>
      <c r="F27" s="12" t="s">
        <v>68</v>
      </c>
      <c r="G27" s="7">
        <v>2.0</v>
      </c>
      <c r="H27" s="47">
        <v>8276.0</v>
      </c>
      <c r="I27" s="8">
        <f t="shared" si="1"/>
        <v>16552</v>
      </c>
    </row>
    <row r="28" ht="15.75" customHeight="1">
      <c r="A28" s="49">
        <v>46087.0</v>
      </c>
      <c r="B28" s="7" t="s">
        <v>171</v>
      </c>
      <c r="C28" s="7" t="s">
        <v>17</v>
      </c>
      <c r="D28" s="7">
        <v>502.0</v>
      </c>
      <c r="E28" s="10" t="str">
        <f>+VLOOKUP(D28,ARTICULO!$A$2:$B$1048576,2,FALSE)</f>
        <v>AJI CAYENA</v>
      </c>
      <c r="F28" s="12" t="s">
        <v>68</v>
      </c>
      <c r="G28" s="7">
        <v>1.0</v>
      </c>
      <c r="H28" s="47">
        <v>3750.0</v>
      </c>
      <c r="I28" s="8">
        <f t="shared" si="1"/>
        <v>3750</v>
      </c>
    </row>
    <row r="29" ht="15.75" customHeight="1">
      <c r="A29" s="49">
        <v>46087.0</v>
      </c>
      <c r="B29" s="7" t="s">
        <v>171</v>
      </c>
      <c r="C29" s="7" t="s">
        <v>17</v>
      </c>
      <c r="D29" s="7">
        <v>1009.0</v>
      </c>
      <c r="E29" s="10" t="str">
        <f>+VLOOKUP(D29,ARTICULO!$A$2:$B$1048576,2,FALSE)</f>
        <v>PIEDRAS SANITARIAS X 20 KG</v>
      </c>
      <c r="F29" s="12" t="s">
        <v>68</v>
      </c>
      <c r="G29" s="7">
        <v>5.0</v>
      </c>
      <c r="H29" s="47">
        <v>8046.0</v>
      </c>
      <c r="I29" s="8">
        <f t="shared" si="1"/>
        <v>40230</v>
      </c>
    </row>
    <row r="30" ht="15.75" customHeight="1">
      <c r="A30" s="49">
        <v>46087.0</v>
      </c>
      <c r="B30" s="7" t="s">
        <v>65</v>
      </c>
      <c r="C30" s="7" t="s">
        <v>11</v>
      </c>
      <c r="D30" s="7">
        <v>482.0</v>
      </c>
      <c r="E30" s="10" t="str">
        <f>+VLOOKUP(D30,ARTICULO!$A$2:$B$1048576,2,FALSE)</f>
        <v>MEZCLA FINA ESPECIAL (CARDENAL)</v>
      </c>
      <c r="F30" s="7" t="s">
        <v>73</v>
      </c>
      <c r="G30" s="7">
        <v>30.0</v>
      </c>
      <c r="H30" s="47">
        <v>702.93</v>
      </c>
      <c r="I30" s="8">
        <f t="shared" si="1"/>
        <v>21087.9</v>
      </c>
    </row>
    <row r="31" ht="15.75" customHeight="1">
      <c r="A31" s="49">
        <v>46087.0</v>
      </c>
      <c r="B31" s="7" t="s">
        <v>119</v>
      </c>
      <c r="C31" s="7" t="s">
        <v>19</v>
      </c>
      <c r="D31" s="7">
        <v>470.0</v>
      </c>
      <c r="E31" s="10" t="str">
        <f>+VLOOKUP(D31,ARTICULO!$A$2:$B$1048576,2,FALSE)</f>
        <v>MEZCLA P/PAJARO</v>
      </c>
      <c r="F31" s="7" t="s">
        <v>73</v>
      </c>
      <c r="G31" s="7">
        <v>30.0</v>
      </c>
      <c r="H31" s="47">
        <v>1395.0</v>
      </c>
      <c r="I31" s="8">
        <f t="shared" si="1"/>
        <v>41850</v>
      </c>
    </row>
    <row r="32" ht="15.75" customHeight="1">
      <c r="A32" s="49">
        <v>46087.0</v>
      </c>
      <c r="B32" s="7" t="s">
        <v>18</v>
      </c>
      <c r="C32" s="7" t="s">
        <v>19</v>
      </c>
      <c r="D32" s="7">
        <v>464.0</v>
      </c>
      <c r="E32" s="10" t="str">
        <f>+VLOOKUP(D32,ARTICULO!$A$2:$B$1048576,2,FALSE)</f>
        <v>MEZCLA GALLO CON AVENA PELADA</v>
      </c>
      <c r="F32" s="7" t="s">
        <v>73</v>
      </c>
      <c r="G32" s="7">
        <v>150.0</v>
      </c>
      <c r="H32" s="47">
        <v>668.0</v>
      </c>
      <c r="I32" s="8">
        <f t="shared" si="1"/>
        <v>100200</v>
      </c>
    </row>
    <row r="33" ht="15.75" customHeight="1">
      <c r="A33" s="49">
        <v>46087.0</v>
      </c>
      <c r="B33" s="7" t="s">
        <v>172</v>
      </c>
      <c r="C33" s="7" t="s">
        <v>19</v>
      </c>
      <c r="D33" s="7">
        <v>708.0</v>
      </c>
      <c r="E33" s="10" t="str">
        <f>+VLOOKUP(D33,ARTICULO!$A$2:$B$1048576,2,FALSE)</f>
        <v>CHIA</v>
      </c>
      <c r="F33" s="7" t="s">
        <v>73</v>
      </c>
      <c r="G33" s="7">
        <v>5.0</v>
      </c>
      <c r="H33" s="47">
        <v>7083.0</v>
      </c>
      <c r="I33" s="8">
        <f t="shared" si="1"/>
        <v>35415</v>
      </c>
    </row>
    <row r="34" ht="15.75" customHeight="1">
      <c r="A34" s="49">
        <v>46087.0</v>
      </c>
      <c r="B34" s="7" t="s">
        <v>172</v>
      </c>
      <c r="C34" s="7" t="s">
        <v>19</v>
      </c>
      <c r="D34" s="7">
        <v>407.0</v>
      </c>
      <c r="E34" s="10" t="str">
        <f>+VLOOKUP(D34,ARTICULO!$A$2:$B$1048576,2,FALSE)</f>
        <v>QUINOA</v>
      </c>
      <c r="F34" s="7" t="s">
        <v>73</v>
      </c>
      <c r="G34" s="7">
        <v>2.0</v>
      </c>
      <c r="H34" s="47">
        <v>8100.0</v>
      </c>
      <c r="I34" s="8">
        <f t="shared" si="1"/>
        <v>16200</v>
      </c>
    </row>
    <row r="35" ht="15.75" customHeight="1">
      <c r="A35" s="49">
        <v>46087.0</v>
      </c>
      <c r="B35" s="7" t="s">
        <v>138</v>
      </c>
      <c r="C35" s="7" t="s">
        <v>19</v>
      </c>
      <c r="D35" s="7">
        <v>1009.0</v>
      </c>
      <c r="E35" s="10" t="str">
        <f>+VLOOKUP(D35,ARTICULO!$A$2:$B$1048576,2,FALSE)</f>
        <v>PIEDRAS SANITARIAS X 20 KG</v>
      </c>
      <c r="F35" s="12" t="s">
        <v>74</v>
      </c>
      <c r="G35" s="7">
        <v>10.0</v>
      </c>
      <c r="H35" s="51">
        <v>5988.0</v>
      </c>
      <c r="I35" s="8">
        <f t="shared" si="1"/>
        <v>59880</v>
      </c>
    </row>
    <row r="36" ht="15.75" customHeight="1">
      <c r="A36" s="49">
        <v>46087.0</v>
      </c>
      <c r="B36" s="7" t="s">
        <v>173</v>
      </c>
      <c r="C36" s="7" t="s">
        <v>19</v>
      </c>
      <c r="D36" s="7">
        <v>473.0</v>
      </c>
      <c r="E36" s="10" t="str">
        <f>+VLOOKUP(D36,ARTICULO!$A$2:$B$1048576,2,FALSE)</f>
        <v>TRIGO FORRAJERO X KG</v>
      </c>
      <c r="F36" s="7" t="s">
        <v>73</v>
      </c>
      <c r="G36" s="7">
        <v>40.0</v>
      </c>
      <c r="H36" s="51">
        <v>379.0</v>
      </c>
      <c r="I36" s="8">
        <f t="shared" si="1"/>
        <v>15160</v>
      </c>
    </row>
    <row r="37" ht="15.75" customHeight="1">
      <c r="A37" s="49">
        <v>46088.0</v>
      </c>
      <c r="B37" s="7" t="s">
        <v>174</v>
      </c>
      <c r="C37" s="7" t="s">
        <v>11</v>
      </c>
      <c r="D37" s="7">
        <v>515.0</v>
      </c>
      <c r="E37" s="10" t="str">
        <f>+VLOOKUP(D37,ARTICULO!$A$2:$B$1048576,2,FALSE)</f>
        <v>OREGANO</v>
      </c>
      <c r="F37" s="59" t="s">
        <v>21</v>
      </c>
      <c r="G37" s="7">
        <v>1.0</v>
      </c>
      <c r="H37" s="47">
        <v>3750.0</v>
      </c>
      <c r="I37" s="8">
        <f t="shared" si="1"/>
        <v>3750</v>
      </c>
    </row>
    <row r="38" ht="15.75" customHeight="1">
      <c r="A38" s="49">
        <v>46088.0</v>
      </c>
      <c r="B38" s="7" t="s">
        <v>174</v>
      </c>
      <c r="C38" s="7" t="s">
        <v>11</v>
      </c>
      <c r="D38" s="7">
        <v>710.0</v>
      </c>
      <c r="E38" s="10" t="str">
        <f>+VLOOKUP(D38,ARTICULO!$A$2:$B$1048576,2,FALSE)</f>
        <v>GARBANZO</v>
      </c>
      <c r="F38" s="59" t="s">
        <v>21</v>
      </c>
      <c r="G38" s="7">
        <v>5.0</v>
      </c>
      <c r="H38" s="47">
        <v>1771.0</v>
      </c>
      <c r="I38" s="8">
        <f t="shared" si="1"/>
        <v>8855</v>
      </c>
    </row>
    <row r="39" ht="15.75" customHeight="1">
      <c r="A39" s="49">
        <v>46088.0</v>
      </c>
      <c r="B39" s="7" t="s">
        <v>174</v>
      </c>
      <c r="C39" s="7" t="s">
        <v>11</v>
      </c>
      <c r="D39" s="7">
        <v>131.0</v>
      </c>
      <c r="E39" s="10" t="str">
        <f>+VLOOKUP(D39,ARTICULO!$A$2:$B$1048576,2,FALSE)</f>
        <v>GRAN CAMPEON CACHORRO X 10 KG</v>
      </c>
      <c r="F39" s="59" t="s">
        <v>21</v>
      </c>
      <c r="G39" s="7">
        <v>1.0</v>
      </c>
      <c r="H39" s="47">
        <v>15514.0</v>
      </c>
      <c r="I39" s="8">
        <f t="shared" si="1"/>
        <v>15514</v>
      </c>
    </row>
    <row r="40" ht="15.75" customHeight="1">
      <c r="A40" s="49">
        <v>46088.0</v>
      </c>
      <c r="B40" s="7" t="s">
        <v>174</v>
      </c>
      <c r="C40" s="7" t="s">
        <v>11</v>
      </c>
      <c r="D40" s="7">
        <v>708.0</v>
      </c>
      <c r="E40" s="10" t="str">
        <f>+VLOOKUP(D40,ARTICULO!$A$2:$B$1048576,2,FALSE)</f>
        <v>CHIA</v>
      </c>
      <c r="F40" s="59" t="s">
        <v>21</v>
      </c>
      <c r="G40" s="7">
        <v>2.0</v>
      </c>
      <c r="H40" s="47">
        <v>7083.0</v>
      </c>
      <c r="I40" s="8">
        <f t="shared" si="1"/>
        <v>14166</v>
      </c>
    </row>
    <row r="41" ht="15.75" customHeight="1">
      <c r="A41" s="49">
        <v>46088.0</v>
      </c>
      <c r="B41" s="7" t="s">
        <v>174</v>
      </c>
      <c r="C41" s="7" t="s">
        <v>11</v>
      </c>
      <c r="D41" s="7">
        <v>507.0</v>
      </c>
      <c r="E41" s="10" t="str">
        <f>+VLOOKUP(D41,ARTICULO!$A$2:$B$1048576,2,FALSE)</f>
        <v>BICARBONATO</v>
      </c>
      <c r="F41" s="59" t="s">
        <v>21</v>
      </c>
      <c r="G41" s="7">
        <v>2.0</v>
      </c>
      <c r="H41" s="47">
        <v>3382.0</v>
      </c>
      <c r="I41" s="8">
        <f t="shared" si="1"/>
        <v>6764</v>
      </c>
    </row>
    <row r="42" ht="15.75" customHeight="1">
      <c r="A42" s="49">
        <v>46088.0</v>
      </c>
      <c r="B42" s="7" t="s">
        <v>174</v>
      </c>
      <c r="C42" s="7" t="s">
        <v>11</v>
      </c>
      <c r="D42" s="7">
        <v>1009.0</v>
      </c>
      <c r="E42" s="10" t="str">
        <f>+VLOOKUP(D42,ARTICULO!$A$2:$B$1048576,2,FALSE)</f>
        <v>PIEDRAS SANITARIAS X 20 KG</v>
      </c>
      <c r="F42" s="59" t="s">
        <v>21</v>
      </c>
      <c r="G42" s="7">
        <v>1.0</v>
      </c>
      <c r="H42" s="47">
        <v>8046.0</v>
      </c>
      <c r="I42" s="8">
        <f t="shared" si="1"/>
        <v>8046</v>
      </c>
    </row>
    <row r="43" ht="15.75" customHeight="1">
      <c r="A43" s="49">
        <v>46088.0</v>
      </c>
      <c r="B43" s="7" t="s">
        <v>174</v>
      </c>
      <c r="C43" s="7" t="s">
        <v>11</v>
      </c>
      <c r="D43" s="7">
        <v>614.0</v>
      </c>
      <c r="E43" s="10" t="str">
        <f>+VLOOKUP(D43,ARTICULO!$A$2:$B$1048576,2,FALSE)</f>
        <v>PASAS SIN SEMILLA</v>
      </c>
      <c r="F43" s="59" t="s">
        <v>21</v>
      </c>
      <c r="G43" s="7">
        <v>1.0</v>
      </c>
      <c r="H43" s="47">
        <v>5835.0</v>
      </c>
      <c r="I43" s="8">
        <f t="shared" si="1"/>
        <v>5835</v>
      </c>
    </row>
    <row r="44" ht="15.75" customHeight="1">
      <c r="A44" s="49">
        <v>46088.0</v>
      </c>
      <c r="B44" s="7" t="s">
        <v>174</v>
      </c>
      <c r="C44" s="7" t="s">
        <v>11</v>
      </c>
      <c r="D44" s="7">
        <v>351.0</v>
      </c>
      <c r="E44" s="10" t="str">
        <f>+VLOOKUP(D44,ARTICULO!$A$2:$B$1048576,2,FALSE)</f>
        <v>GRANOLA MIX X 1 KG</v>
      </c>
      <c r="F44" s="59" t="s">
        <v>21</v>
      </c>
      <c r="G44" s="7">
        <v>2.0</v>
      </c>
      <c r="H44" s="47">
        <v>7658.0</v>
      </c>
      <c r="I44" s="8">
        <f t="shared" si="1"/>
        <v>15316</v>
      </c>
    </row>
    <row r="45" ht="15.75" customHeight="1">
      <c r="A45" s="49">
        <v>46088.0</v>
      </c>
      <c r="B45" s="7" t="s">
        <v>174</v>
      </c>
      <c r="C45" s="7" t="s">
        <v>11</v>
      </c>
      <c r="D45" s="7">
        <v>311.0</v>
      </c>
      <c r="E45" s="10" t="str">
        <f>+VLOOKUP(D45,ARTICULO!$A$2:$B$1048576,2,FALSE)</f>
        <v>ANILLOS FRUTADOS x 2.5 Kg</v>
      </c>
      <c r="F45" s="59" t="s">
        <v>21</v>
      </c>
      <c r="G45" s="7">
        <v>1.0</v>
      </c>
      <c r="H45" s="47">
        <v>12027.0</v>
      </c>
      <c r="I45" s="8">
        <f t="shared" si="1"/>
        <v>12027</v>
      </c>
    </row>
    <row r="46" ht="15.75" customHeight="1">
      <c r="A46" s="49">
        <v>46088.0</v>
      </c>
      <c r="B46" s="7" t="s">
        <v>174</v>
      </c>
      <c r="C46" s="7" t="s">
        <v>11</v>
      </c>
      <c r="D46" s="7">
        <v>505.0</v>
      </c>
      <c r="E46" s="10" t="str">
        <f>+VLOOKUP(D46,ARTICULO!$A$2:$B$1048576,2,FALSE)</f>
        <v>AZUCAR IMPALPABLE</v>
      </c>
      <c r="F46" s="59" t="s">
        <v>21</v>
      </c>
      <c r="G46" s="7">
        <v>1.0</v>
      </c>
      <c r="H46" s="47">
        <v>2034.0</v>
      </c>
      <c r="I46" s="8">
        <f t="shared" si="1"/>
        <v>2034</v>
      </c>
    </row>
    <row r="47" ht="15.75" customHeight="1">
      <c r="A47" s="49">
        <v>46088.0</v>
      </c>
      <c r="B47" s="7" t="s">
        <v>174</v>
      </c>
      <c r="C47" s="7" t="s">
        <v>11</v>
      </c>
      <c r="D47" s="7">
        <v>528.0</v>
      </c>
      <c r="E47" s="10" t="str">
        <f>+VLOOKUP(D47,ARTICULO!$A$2:$B$1048576,2,FALSE)</f>
        <v>CACAO AMARGO</v>
      </c>
      <c r="F47" s="59" t="s">
        <v>21</v>
      </c>
      <c r="G47" s="7">
        <v>1.0</v>
      </c>
      <c r="H47" s="47">
        <v>10353.0</v>
      </c>
      <c r="I47" s="8">
        <f t="shared" si="1"/>
        <v>10353</v>
      </c>
    </row>
    <row r="48" ht="15.75" customHeight="1">
      <c r="A48" s="49">
        <v>46088.0</v>
      </c>
      <c r="B48" s="7" t="s">
        <v>174</v>
      </c>
      <c r="C48" s="7" t="s">
        <v>11</v>
      </c>
      <c r="D48" s="7">
        <v>406.0</v>
      </c>
      <c r="E48" s="10" t="str">
        <f>+VLOOKUP(D48,ARTICULO!$A$2:$B$1048576,2,FALSE)</f>
        <v>MIX SEMILLAS</v>
      </c>
      <c r="F48" s="59" t="s">
        <v>21</v>
      </c>
      <c r="G48" s="7">
        <v>1.0</v>
      </c>
      <c r="H48" s="47">
        <v>4097.0</v>
      </c>
      <c r="I48" s="8">
        <f t="shared" si="1"/>
        <v>4097</v>
      </c>
    </row>
    <row r="49" ht="15.75" customHeight="1">
      <c r="A49" s="49">
        <v>46088.0</v>
      </c>
      <c r="B49" s="7" t="s">
        <v>174</v>
      </c>
      <c r="C49" s="7" t="s">
        <v>11</v>
      </c>
      <c r="D49" s="7">
        <v>7.0</v>
      </c>
      <c r="E49" s="10" t="str">
        <f>+VLOOKUP(D49,ARTICULO!$A$2:$B$1048576,2,FALSE)</f>
        <v>CONEJO X 25 KG - GEPSA</v>
      </c>
      <c r="F49" s="59" t="s">
        <v>21</v>
      </c>
      <c r="G49" s="7">
        <v>1.0</v>
      </c>
      <c r="H49" s="47">
        <v>17992.0</v>
      </c>
      <c r="I49" s="8">
        <f t="shared" si="1"/>
        <v>17992</v>
      </c>
    </row>
    <row r="50" ht="15.75" customHeight="1">
      <c r="A50" s="49">
        <v>46088.0</v>
      </c>
      <c r="B50" s="7" t="s">
        <v>174</v>
      </c>
      <c r="C50" s="7" t="s">
        <v>11</v>
      </c>
      <c r="D50" s="7">
        <v>482.0</v>
      </c>
      <c r="E50" s="10" t="str">
        <f>+VLOOKUP(D50,ARTICULO!$A$2:$B$1048576,2,FALSE)</f>
        <v>MEZCLA FINA ESPECIAL (CARDENAL)</v>
      </c>
      <c r="F50" s="59" t="s">
        <v>21</v>
      </c>
      <c r="G50" s="7">
        <v>5.0</v>
      </c>
      <c r="H50" s="47">
        <v>864.0</v>
      </c>
      <c r="I50" s="8">
        <f t="shared" si="1"/>
        <v>4320</v>
      </c>
    </row>
    <row r="51" ht="15.75" customHeight="1">
      <c r="A51" s="49">
        <v>46088.0</v>
      </c>
      <c r="B51" s="7" t="s">
        <v>174</v>
      </c>
      <c r="C51" s="7" t="s">
        <v>11</v>
      </c>
      <c r="D51" s="7">
        <v>332.0</v>
      </c>
      <c r="E51" s="10" t="str">
        <f>+VLOOKUP(D51,ARTICULO!$A$2:$B$1048576,2,FALSE)</f>
        <v>CEREAL SIN AZUCAR X 2.5 KG</v>
      </c>
      <c r="F51" s="59" t="s">
        <v>21</v>
      </c>
      <c r="G51" s="7">
        <v>1.0</v>
      </c>
      <c r="H51" s="47">
        <v>11533.0</v>
      </c>
      <c r="I51" s="8">
        <f t="shared" si="1"/>
        <v>11533</v>
      </c>
    </row>
    <row r="52" ht="15.75" customHeight="1">
      <c r="A52" s="49">
        <v>46088.0</v>
      </c>
      <c r="B52" s="7" t="s">
        <v>20</v>
      </c>
      <c r="C52" s="7" t="s">
        <v>11</v>
      </c>
      <c r="D52" s="7">
        <v>352.0</v>
      </c>
      <c r="E52" s="10" t="str">
        <f>+VLOOKUP(D52,ARTICULO!$A$2:$B$1048576,2,FALSE)</f>
        <v>GRANOLA x 1.5 kg</v>
      </c>
      <c r="F52" s="7" t="s">
        <v>73</v>
      </c>
      <c r="G52" s="7">
        <v>1.0</v>
      </c>
      <c r="H52" s="47">
        <v>11938.0</v>
      </c>
      <c r="I52" s="8">
        <f t="shared" si="1"/>
        <v>11938</v>
      </c>
    </row>
    <row r="53" ht="15.75" customHeight="1">
      <c r="A53" s="49">
        <v>46090.0</v>
      </c>
      <c r="B53" s="7" t="s">
        <v>163</v>
      </c>
      <c r="C53" s="7" t="s">
        <v>11</v>
      </c>
      <c r="D53" s="7">
        <v>661.0</v>
      </c>
      <c r="E53" s="10" t="str">
        <f>+VLOOKUP(D53,ARTICULO!$A$2:$B$1048576,2,FALSE)</f>
        <v>PASTA DE MANI NATURAL X 485GR X 12U- Mani king</v>
      </c>
      <c r="F53" s="7" t="s">
        <v>73</v>
      </c>
      <c r="G53" s="7">
        <v>1.0</v>
      </c>
      <c r="H53" s="47">
        <v>30396.0</v>
      </c>
      <c r="I53" s="8">
        <f t="shared" si="1"/>
        <v>30396</v>
      </c>
    </row>
    <row r="54" ht="15.75" customHeight="1">
      <c r="A54" s="49">
        <v>46090.0</v>
      </c>
      <c r="B54" s="7" t="s">
        <v>22</v>
      </c>
      <c r="C54" s="7" t="s">
        <v>11</v>
      </c>
      <c r="D54" s="7">
        <v>704.0</v>
      </c>
      <c r="E54" s="10" t="str">
        <f>+VLOOKUP(D54,ARTICULO!$A$2:$B$1048576,2,FALSE)</f>
        <v>AVENA INSTANTANEA</v>
      </c>
      <c r="F54" s="7" t="s">
        <v>73</v>
      </c>
      <c r="G54" s="7">
        <v>20.0</v>
      </c>
      <c r="H54" s="47">
        <v>1557.0</v>
      </c>
      <c r="I54" s="8">
        <f t="shared" si="1"/>
        <v>31140</v>
      </c>
    </row>
    <row r="55" ht="15.75" customHeight="1">
      <c r="A55" s="49">
        <v>46090.0</v>
      </c>
      <c r="B55" s="7" t="s">
        <v>22</v>
      </c>
      <c r="C55" s="7" t="s">
        <v>11</v>
      </c>
      <c r="D55" s="7">
        <v>703.0</v>
      </c>
      <c r="E55" s="10" t="str">
        <f>+VLOOKUP(D55,ARTICULO!$A$2:$B$1048576,2,FALSE)</f>
        <v>AVENA ARROLLADA</v>
      </c>
      <c r="F55" s="7" t="s">
        <v>73</v>
      </c>
      <c r="G55" s="7">
        <v>25.0</v>
      </c>
      <c r="H55" s="47">
        <v>1505.0</v>
      </c>
      <c r="I55" s="8">
        <f t="shared" si="1"/>
        <v>37625</v>
      </c>
    </row>
    <row r="56" ht="15.75" customHeight="1">
      <c r="A56" s="49">
        <v>46090.0</v>
      </c>
      <c r="B56" s="7" t="s">
        <v>175</v>
      </c>
      <c r="C56" s="7" t="s">
        <v>19</v>
      </c>
      <c r="D56" s="7">
        <v>700.0</v>
      </c>
      <c r="E56" s="10" t="str">
        <f>+VLOOKUP(D56,ARTICULO!$A$2:$B$1048576,2,FALSE)</f>
        <v>ARROZ</v>
      </c>
      <c r="F56" s="7" t="s">
        <v>73</v>
      </c>
      <c r="G56" s="7">
        <v>5.0</v>
      </c>
      <c r="H56" s="47">
        <v>1778.0</v>
      </c>
      <c r="I56" s="8">
        <f t="shared" si="1"/>
        <v>8890</v>
      </c>
    </row>
    <row r="57" ht="15.75" customHeight="1">
      <c r="A57" s="49">
        <v>46091.0</v>
      </c>
      <c r="B57" s="7" t="s">
        <v>176</v>
      </c>
      <c r="C57" s="7" t="s">
        <v>11</v>
      </c>
      <c r="D57" s="7">
        <v>131.0</v>
      </c>
      <c r="E57" s="10" t="str">
        <f>+VLOOKUP(D57,ARTICULO!$A$2:$B$1048576,2,FALSE)</f>
        <v>GRAN CAMPEON CACHORRO X 10 KG</v>
      </c>
      <c r="F57" s="59" t="s">
        <v>21</v>
      </c>
      <c r="G57" s="7">
        <v>10.0</v>
      </c>
      <c r="H57" s="47">
        <v>15514.0</v>
      </c>
      <c r="I57" s="8">
        <f t="shared" si="1"/>
        <v>155140</v>
      </c>
    </row>
    <row r="58" ht="15.75" customHeight="1">
      <c r="A58" s="49">
        <v>46091.0</v>
      </c>
      <c r="B58" s="7" t="s">
        <v>51</v>
      </c>
      <c r="C58" s="7" t="s">
        <v>11</v>
      </c>
      <c r="D58" s="7">
        <v>653.0</v>
      </c>
      <c r="E58" s="10" t="str">
        <f>+VLOOKUP(D58,ARTICULO!$A$2:$B$1048576,2,FALSE)</f>
        <v>MANI SALADO CON PIEL</v>
      </c>
      <c r="F58" s="12" t="s">
        <v>74</v>
      </c>
      <c r="G58" s="7">
        <v>1.0</v>
      </c>
      <c r="H58" s="47">
        <v>3360.0</v>
      </c>
      <c r="I58" s="8">
        <f t="shared" si="1"/>
        <v>3360</v>
      </c>
    </row>
    <row r="59" ht="15.75" customHeight="1">
      <c r="A59" s="49">
        <v>46091.0</v>
      </c>
      <c r="B59" s="7" t="s">
        <v>177</v>
      </c>
      <c r="C59" s="7" t="s">
        <v>11</v>
      </c>
      <c r="D59" s="7">
        <v>311.0</v>
      </c>
      <c r="E59" s="10" t="str">
        <f>+VLOOKUP(D59,ARTICULO!$A$2:$B$1048576,2,FALSE)</f>
        <v>ANILLOS FRUTADOS x 2.5 Kg</v>
      </c>
      <c r="F59" s="7" t="s">
        <v>73</v>
      </c>
      <c r="G59" s="7">
        <v>2.0</v>
      </c>
      <c r="H59" s="47">
        <v>9251.0</v>
      </c>
      <c r="I59" s="8">
        <f t="shared" si="1"/>
        <v>18502</v>
      </c>
    </row>
    <row r="60" ht="15.75" customHeight="1">
      <c r="A60" s="49">
        <v>46091.0</v>
      </c>
      <c r="B60" s="7" t="s">
        <v>111</v>
      </c>
      <c r="C60" s="7" t="s">
        <v>11</v>
      </c>
      <c r="D60" s="7">
        <v>7.0</v>
      </c>
      <c r="E60" s="10" t="str">
        <f>+VLOOKUP(D60,ARTICULO!$A$2:$B$1048576,2,FALSE)</f>
        <v>CONEJO X 25 KG - GEPSA</v>
      </c>
      <c r="F60" s="59" t="s">
        <v>21</v>
      </c>
      <c r="G60" s="7">
        <v>1.0</v>
      </c>
      <c r="H60" s="47">
        <v>17992.0</v>
      </c>
      <c r="I60" s="8">
        <f t="shared" si="1"/>
        <v>17992</v>
      </c>
    </row>
    <row r="61" ht="15.75" customHeight="1">
      <c r="A61" s="49">
        <v>46091.0</v>
      </c>
      <c r="B61" s="7" t="s">
        <v>111</v>
      </c>
      <c r="C61" s="7" t="s">
        <v>11</v>
      </c>
      <c r="D61" s="7">
        <v>130.0</v>
      </c>
      <c r="E61" s="10" t="str">
        <f>+VLOOKUP(D61,ARTICULO!$A$2:$B$1048576,2,FALSE)</f>
        <v>GRAN CAMPEON AD ROJO Carne y Pollo X 21 KG</v>
      </c>
      <c r="F61" s="59" t="s">
        <v>21</v>
      </c>
      <c r="G61" s="7">
        <v>1.0</v>
      </c>
      <c r="H61" s="47">
        <v>25392.0</v>
      </c>
      <c r="I61" s="8">
        <f t="shared" si="1"/>
        <v>25392</v>
      </c>
    </row>
    <row r="62" ht="15.75" customHeight="1">
      <c r="A62" s="49">
        <v>46091.0</v>
      </c>
      <c r="B62" s="7" t="s">
        <v>111</v>
      </c>
      <c r="C62" s="7" t="s">
        <v>11</v>
      </c>
      <c r="D62" s="7">
        <v>165.0</v>
      </c>
      <c r="E62" s="10" t="str">
        <f>+VLOOKUP(D62,ARTICULO!$A$2:$B$1048576,2,FALSE)</f>
        <v>FLECKY ADULTO CARNE  X 15 KG</v>
      </c>
      <c r="F62" s="59" t="s">
        <v>21</v>
      </c>
      <c r="G62" s="7">
        <v>1.0</v>
      </c>
      <c r="H62" s="47">
        <v>12106.0</v>
      </c>
      <c r="I62" s="8">
        <f t="shared" si="1"/>
        <v>12106</v>
      </c>
    </row>
    <row r="63" ht="15.75" customHeight="1">
      <c r="A63" s="49">
        <v>46092.0</v>
      </c>
      <c r="B63" s="7" t="s">
        <v>139</v>
      </c>
      <c r="C63" s="7" t="s">
        <v>11</v>
      </c>
      <c r="D63" s="7">
        <v>716.0</v>
      </c>
      <c r="E63" s="10" t="str">
        <f>+VLOOKUP(D63,ARTICULO!$A$2:$B$1048576,2,FALSE)</f>
        <v>HARINA P/TAMALES</v>
      </c>
      <c r="F63" s="7" t="s">
        <v>73</v>
      </c>
      <c r="G63" s="7">
        <v>25.0</v>
      </c>
      <c r="H63" s="47">
        <v>616.0</v>
      </c>
      <c r="I63" s="8">
        <f t="shared" si="1"/>
        <v>15400</v>
      </c>
    </row>
    <row r="64" ht="15.75" customHeight="1">
      <c r="A64" s="49">
        <v>46092.0</v>
      </c>
      <c r="B64" s="7" t="s">
        <v>178</v>
      </c>
      <c r="C64" s="7" t="s">
        <v>17</v>
      </c>
      <c r="D64" s="7">
        <v>476.0</v>
      </c>
      <c r="E64" s="10" t="str">
        <f>+VLOOKUP(D64,ARTICULO!$A$2:$B$1048576,2,FALSE)</f>
        <v>MAIZ QUEBRADO FINO X 30 KG</v>
      </c>
      <c r="F64" s="59" t="s">
        <v>21</v>
      </c>
      <c r="G64" s="7">
        <v>1.0</v>
      </c>
      <c r="H64" s="47">
        <v>17281.0</v>
      </c>
      <c r="I64" s="8">
        <f t="shared" si="1"/>
        <v>17281</v>
      </c>
    </row>
    <row r="65" ht="15.75" customHeight="1">
      <c r="A65" s="49">
        <v>46092.0</v>
      </c>
      <c r="B65" s="7" t="s">
        <v>178</v>
      </c>
      <c r="C65" s="7" t="s">
        <v>17</v>
      </c>
      <c r="D65" s="7">
        <v>466.0</v>
      </c>
      <c r="E65" s="10" t="str">
        <f>+VLOOKUP(D65,ARTICULO!$A$2:$B$1048576,2,FALSE)</f>
        <v>MEZCLA CON VIT. (CANARIO)</v>
      </c>
      <c r="F65" s="59" t="s">
        <v>21</v>
      </c>
      <c r="G65" s="7">
        <v>30.0</v>
      </c>
      <c r="H65" s="47">
        <v>1348.0</v>
      </c>
      <c r="I65" s="8">
        <f t="shared" si="1"/>
        <v>40440</v>
      </c>
    </row>
    <row r="66" ht="15.75" customHeight="1">
      <c r="A66" s="49">
        <v>46092.0</v>
      </c>
      <c r="B66" s="7" t="s">
        <v>178</v>
      </c>
      <c r="C66" s="7" t="s">
        <v>17</v>
      </c>
      <c r="D66" s="7">
        <v>600.0</v>
      </c>
      <c r="E66" s="10" t="str">
        <f>+VLOOKUP(D66,ARTICULO!$A$2:$B$1048576,2,FALSE)</f>
        <v>ALMENDRAS</v>
      </c>
      <c r="F66" s="59" t="s">
        <v>21</v>
      </c>
      <c r="G66" s="7">
        <v>1.0</v>
      </c>
      <c r="H66" s="47">
        <v>28275.0</v>
      </c>
      <c r="I66" s="8">
        <f t="shared" si="1"/>
        <v>28275</v>
      </c>
    </row>
    <row r="67" ht="15.75" customHeight="1">
      <c r="A67" s="49">
        <v>46092.0</v>
      </c>
      <c r="B67" s="7" t="s">
        <v>178</v>
      </c>
      <c r="C67" s="7" t="s">
        <v>17</v>
      </c>
      <c r="D67" s="7">
        <v>612.0</v>
      </c>
      <c r="E67" s="10" t="str">
        <f>+VLOOKUP(D67,ARTICULO!$A$2:$B$1048576,2,FALSE)</f>
        <v>NUEZ PELADA AMBAR</v>
      </c>
      <c r="F67" s="59" t="s">
        <v>21</v>
      </c>
      <c r="G67" s="7">
        <v>1.0</v>
      </c>
      <c r="H67" s="47">
        <v>17131.0</v>
      </c>
      <c r="I67" s="8">
        <f t="shared" si="1"/>
        <v>17131</v>
      </c>
    </row>
    <row r="68" ht="15.75" customHeight="1">
      <c r="A68" s="49">
        <v>46092.0</v>
      </c>
      <c r="B68" s="7" t="s">
        <v>179</v>
      </c>
      <c r="C68" s="7" t="s">
        <v>11</v>
      </c>
      <c r="D68" s="7">
        <v>610.0</v>
      </c>
      <c r="E68" s="10" t="str">
        <f>+VLOOKUP(D68,ARTICULO!$A$2:$B$1048576,2,FALSE)</f>
        <v>MIX ENERGETICO S/C</v>
      </c>
      <c r="F68" s="7" t="s">
        <v>73</v>
      </c>
      <c r="G68" s="7">
        <v>1.0</v>
      </c>
      <c r="H68" s="7">
        <v>8276.0</v>
      </c>
      <c r="I68" s="8">
        <f t="shared" si="1"/>
        <v>8276</v>
      </c>
    </row>
    <row r="69" ht="15.75" customHeight="1">
      <c r="A69" s="49">
        <v>46092.0</v>
      </c>
      <c r="B69" s="7" t="s">
        <v>112</v>
      </c>
      <c r="C69" s="7" t="s">
        <v>15</v>
      </c>
      <c r="D69" s="7">
        <v>140.0</v>
      </c>
      <c r="E69" s="10" t="str">
        <f>+VLOOKUP(D69,ARTICULO!$A$2:$B$1048576,2,FALSE)</f>
        <v>GRAN CAMPEON MANTENIMIENTO x 21KG</v>
      </c>
      <c r="F69" s="7" t="s">
        <v>73</v>
      </c>
      <c r="G69" s="7">
        <v>5.0</v>
      </c>
      <c r="H69" s="47">
        <v>25392.0</v>
      </c>
      <c r="I69" s="8">
        <f t="shared" si="1"/>
        <v>126960</v>
      </c>
    </row>
    <row r="70" ht="15.75" customHeight="1">
      <c r="A70" s="49">
        <v>46093.0</v>
      </c>
      <c r="B70" s="7" t="s">
        <v>180</v>
      </c>
      <c r="C70" s="7" t="s">
        <v>19</v>
      </c>
      <c r="D70" s="7">
        <v>509.0</v>
      </c>
      <c r="E70" s="10" t="str">
        <f>+VLOOKUP(D70,ARTICULO!$A$2:$B$1048576,2,FALSE)</f>
        <v>COMINO COMUN</v>
      </c>
      <c r="F70" s="12" t="s">
        <v>74</v>
      </c>
      <c r="G70" s="7">
        <v>1.0</v>
      </c>
      <c r="H70" s="47">
        <v>3800.0</v>
      </c>
      <c r="I70" s="8">
        <f t="shared" si="1"/>
        <v>3800</v>
      </c>
    </row>
    <row r="71" ht="15.75" customHeight="1">
      <c r="A71" s="49">
        <v>46093.0</v>
      </c>
      <c r="B71" s="7" t="s">
        <v>181</v>
      </c>
      <c r="C71" s="7" t="s">
        <v>19</v>
      </c>
      <c r="D71" s="7">
        <v>6.0</v>
      </c>
      <c r="E71" s="10" t="str">
        <f>+VLOOKUP(D71,ARTICULO!$A$2:$B$1048576,2,FALSE)</f>
        <v>CONEJO X 25 KG - CONECAR</v>
      </c>
      <c r="F71" s="12" t="s">
        <v>92</v>
      </c>
      <c r="G71" s="7">
        <v>1.0</v>
      </c>
      <c r="H71" s="47">
        <v>17303.0</v>
      </c>
      <c r="I71" s="8">
        <f t="shared" si="1"/>
        <v>17303</v>
      </c>
    </row>
    <row r="72" ht="15.75" customHeight="1">
      <c r="A72" s="49">
        <v>46093.0</v>
      </c>
      <c r="B72" s="7" t="s">
        <v>182</v>
      </c>
      <c r="C72" s="7" t="s">
        <v>17</v>
      </c>
      <c r="D72" s="7">
        <v>459.0</v>
      </c>
      <c r="E72" s="10" t="str">
        <f>+VLOOKUP(D72,ARTICULO!$A$2:$B$1048576,2,FALSE)</f>
        <v>GIRASOL PELADO</v>
      </c>
      <c r="F72" s="7" t="s">
        <v>73</v>
      </c>
      <c r="G72" s="7">
        <v>3.0</v>
      </c>
      <c r="H72" s="47">
        <v>4417.0</v>
      </c>
      <c r="I72" s="8">
        <f t="shared" si="1"/>
        <v>13251</v>
      </c>
    </row>
    <row r="73" ht="15.75" customHeight="1">
      <c r="A73" s="49">
        <v>46094.0</v>
      </c>
      <c r="B73" s="7" t="s">
        <v>30</v>
      </c>
      <c r="C73" s="7" t="s">
        <v>17</v>
      </c>
      <c r="D73" s="7">
        <v>136.0</v>
      </c>
      <c r="E73" s="10" t="str">
        <f>+VLOOKUP(D73,ARTICULO!$A$2:$B$1048576,2,FALSE)</f>
        <v>BELCAT X 10KG</v>
      </c>
      <c r="F73" s="7" t="s">
        <v>73</v>
      </c>
      <c r="G73" s="7">
        <v>1.0</v>
      </c>
      <c r="H73" s="47">
        <v>21055.0</v>
      </c>
      <c r="I73" s="8">
        <f t="shared" si="1"/>
        <v>21055</v>
      </c>
    </row>
    <row r="74" ht="15.75" customHeight="1">
      <c r="A74" s="49">
        <v>46094.0</v>
      </c>
      <c r="B74" s="7" t="s">
        <v>157</v>
      </c>
      <c r="C74" s="7" t="s">
        <v>17</v>
      </c>
      <c r="D74" s="7">
        <v>477.0</v>
      </c>
      <c r="E74" s="10" t="str">
        <f>+VLOOKUP(D74,ARTICULO!$A$2:$B$1048576,2,FALSE)</f>
        <v>MAIZ QUEBRADO MEDIANO X 30 KG</v>
      </c>
      <c r="F74" s="7" t="s">
        <v>73</v>
      </c>
      <c r="G74" s="7">
        <v>1.0</v>
      </c>
      <c r="H74" s="47">
        <v>17281.0</v>
      </c>
      <c r="I74" s="8">
        <f t="shared" si="1"/>
        <v>17281</v>
      </c>
    </row>
    <row r="75" ht="15.75" customHeight="1">
      <c r="A75" s="49">
        <v>46094.0</v>
      </c>
      <c r="B75" s="7" t="s">
        <v>18</v>
      </c>
      <c r="C75" s="7" t="s">
        <v>19</v>
      </c>
      <c r="D75" s="7">
        <v>1918.0</v>
      </c>
      <c r="E75" s="10" t="str">
        <f>+VLOOKUP(D75,ARTICULO!$A$2:$B$1048576,2,FALSE)</f>
        <v>SEMILLAS HORTALIZAS</v>
      </c>
      <c r="F75" s="7" t="s">
        <v>73</v>
      </c>
      <c r="G75" s="7">
        <v>10.0</v>
      </c>
      <c r="H75" s="47">
        <v>1451.0</v>
      </c>
      <c r="I75" s="8">
        <f t="shared" si="1"/>
        <v>14510</v>
      </c>
    </row>
    <row r="76" ht="15.75" customHeight="1">
      <c r="A76" s="49">
        <v>46094.0</v>
      </c>
      <c r="B76" s="7" t="s">
        <v>62</v>
      </c>
      <c r="C76" s="7" t="s">
        <v>19</v>
      </c>
      <c r="D76" s="7">
        <v>720.0</v>
      </c>
      <c r="E76" s="10" t="str">
        <f>+VLOOKUP(D76,ARTICULO!$A$2:$B$1048576,2,FALSE)</f>
        <v>MAIZ MOLIDO BLANCO</v>
      </c>
      <c r="F76" s="12" t="s">
        <v>74</v>
      </c>
      <c r="G76" s="7">
        <v>25.0</v>
      </c>
      <c r="H76" s="47">
        <v>1575.0</v>
      </c>
      <c r="I76" s="8">
        <f t="shared" si="1"/>
        <v>39375</v>
      </c>
    </row>
    <row r="77" ht="15.75" customHeight="1">
      <c r="A77" s="49">
        <v>46095.0</v>
      </c>
      <c r="B77" s="7" t="s">
        <v>160</v>
      </c>
      <c r="C77" s="7" t="s">
        <v>11</v>
      </c>
      <c r="D77" s="7">
        <v>130.0</v>
      </c>
      <c r="E77" s="10" t="str">
        <f>+VLOOKUP(D77,ARTICULO!$A$2:$B$1048576,2,FALSE)</f>
        <v>GRAN CAMPEON AD ROJO Carne y Pollo X 21 KG</v>
      </c>
      <c r="F77" s="59" t="s">
        <v>21</v>
      </c>
      <c r="G77" s="7">
        <v>1.0</v>
      </c>
      <c r="H77" s="47">
        <v>25392.0</v>
      </c>
      <c r="I77" s="8">
        <f t="shared" si="1"/>
        <v>25392</v>
      </c>
    </row>
    <row r="78" ht="15.75" customHeight="1">
      <c r="A78" s="49">
        <v>46095.0</v>
      </c>
      <c r="B78" s="7" t="s">
        <v>160</v>
      </c>
      <c r="C78" s="7" t="s">
        <v>11</v>
      </c>
      <c r="D78" s="7">
        <v>131.0</v>
      </c>
      <c r="E78" s="10" t="str">
        <f>+VLOOKUP(D78,ARTICULO!$A$2:$B$1048576,2,FALSE)</f>
        <v>GRAN CAMPEON CACHORRO X 10 KG</v>
      </c>
      <c r="F78" s="59" t="s">
        <v>21</v>
      </c>
      <c r="G78" s="7">
        <v>1.0</v>
      </c>
      <c r="H78" s="47">
        <v>15514.0</v>
      </c>
      <c r="I78" s="8">
        <f t="shared" si="1"/>
        <v>15514</v>
      </c>
    </row>
    <row r="79" ht="15.75" customHeight="1">
      <c r="A79" s="49">
        <v>46095.0</v>
      </c>
      <c r="B79" s="7" t="s">
        <v>160</v>
      </c>
      <c r="C79" s="7" t="s">
        <v>11</v>
      </c>
      <c r="D79" s="7">
        <v>320.0</v>
      </c>
      <c r="E79" s="10" t="str">
        <f>+VLOOKUP(D79,ARTICULO!$A$2:$B$1048576,2,FALSE)</f>
        <v>BOLITAS DE CHOCOLATE x 2.5 Kg</v>
      </c>
      <c r="F79" s="59" t="s">
        <v>21</v>
      </c>
      <c r="G79" s="7">
        <v>1.0</v>
      </c>
      <c r="H79" s="47">
        <v>14450.0</v>
      </c>
      <c r="I79" s="8">
        <f t="shared" si="1"/>
        <v>14450</v>
      </c>
    </row>
    <row r="80" ht="15.75" customHeight="1">
      <c r="A80" s="49">
        <v>46095.0</v>
      </c>
      <c r="B80" s="7" t="s">
        <v>160</v>
      </c>
      <c r="C80" s="7" t="s">
        <v>11</v>
      </c>
      <c r="D80" s="7">
        <v>160.0</v>
      </c>
      <c r="E80" s="10" t="str">
        <f>+VLOOKUP(D80,ARTICULO!$A$2:$B$1048576,2,FALSE)</f>
        <v>ARROZ PARA PERRO LUMPY</v>
      </c>
      <c r="F80" s="59" t="s">
        <v>21</v>
      </c>
      <c r="G80" s="62">
        <v>1.0</v>
      </c>
      <c r="H80" s="47">
        <v>15337.0</v>
      </c>
      <c r="I80" s="8">
        <f t="shared" si="1"/>
        <v>15337</v>
      </c>
    </row>
    <row r="81" ht="15.75" customHeight="1">
      <c r="A81" s="49">
        <v>46095.0</v>
      </c>
      <c r="B81" s="7" t="s">
        <v>160</v>
      </c>
      <c r="C81" s="7" t="s">
        <v>11</v>
      </c>
      <c r="D81" s="7">
        <v>482.0</v>
      </c>
      <c r="E81" s="10" t="str">
        <f>+VLOOKUP(D81,ARTICULO!$A$2:$B$1048576,2,FALSE)</f>
        <v>MEZCLA FINA ESPECIAL (CARDENAL)</v>
      </c>
      <c r="F81" s="59" t="s">
        <v>21</v>
      </c>
      <c r="G81" s="7">
        <v>5.0</v>
      </c>
      <c r="H81" s="47">
        <v>864.0</v>
      </c>
      <c r="I81" s="8">
        <f t="shared" si="1"/>
        <v>4320</v>
      </c>
    </row>
    <row r="82" ht="15.75" customHeight="1">
      <c r="A82" s="6">
        <v>46095.0</v>
      </c>
      <c r="B82" s="12" t="s">
        <v>183</v>
      </c>
      <c r="C82" s="7" t="s">
        <v>11</v>
      </c>
      <c r="D82" s="12">
        <v>131.0</v>
      </c>
      <c r="E82" s="10" t="str">
        <f>+VLOOKUP(D82,ARTICULO!$A$2:$B$1048576,2,FALSE)</f>
        <v>GRAN CAMPEON CACHORRO X 10 KG</v>
      </c>
      <c r="F82" s="7" t="s">
        <v>73</v>
      </c>
      <c r="G82" s="7">
        <v>15.0</v>
      </c>
      <c r="H82" s="51">
        <v>15514.0</v>
      </c>
      <c r="I82" s="8">
        <f t="shared" si="1"/>
        <v>232710</v>
      </c>
    </row>
    <row r="83" ht="15.75" customHeight="1">
      <c r="A83" s="6">
        <v>46095.0</v>
      </c>
      <c r="B83" s="12" t="s">
        <v>184</v>
      </c>
      <c r="C83" s="7" t="s">
        <v>11</v>
      </c>
      <c r="D83" s="12">
        <v>696.0</v>
      </c>
      <c r="E83" s="7" t="str">
        <f>+VLOOKUP(D83,ARTICULO!$A$2:$B$1048576,2,FALSE)</f>
        <v>MONKY BLANCA X 18ud</v>
      </c>
      <c r="F83" s="7" t="s">
        <v>73</v>
      </c>
      <c r="G83" s="7">
        <v>1.0</v>
      </c>
      <c r="H83" s="51">
        <v>18000.0</v>
      </c>
      <c r="I83" s="8">
        <f t="shared" si="1"/>
        <v>18000</v>
      </c>
    </row>
    <row r="84" ht="15.75" customHeight="1">
      <c r="A84" s="6">
        <v>46097.0</v>
      </c>
      <c r="B84" s="12" t="s">
        <v>43</v>
      </c>
      <c r="C84" s="7" t="s">
        <v>19</v>
      </c>
      <c r="D84" s="12">
        <v>696.0</v>
      </c>
      <c r="E84" s="7" t="str">
        <f>+VLOOKUP(D84,ARTICULO!$A$2:$B$1048576,2,FALSE)</f>
        <v>MONKY BLANCA X 18ud</v>
      </c>
      <c r="F84" s="7" t="s">
        <v>73</v>
      </c>
      <c r="G84" s="7">
        <v>1.0</v>
      </c>
      <c r="H84" s="51">
        <v>18000.0</v>
      </c>
      <c r="I84" s="8">
        <f t="shared" si="1"/>
        <v>18000</v>
      </c>
    </row>
    <row r="85" ht="15.75" customHeight="1">
      <c r="A85" s="6">
        <v>46097.0</v>
      </c>
      <c r="B85" s="12" t="s">
        <v>43</v>
      </c>
      <c r="C85" s="7" t="s">
        <v>19</v>
      </c>
      <c r="D85" s="12">
        <v>151.0</v>
      </c>
      <c r="E85" s="10" t="str">
        <f>+VLOOKUP(D85,ARTICULO!$A$2:$B$1048576,2,FALSE)</f>
        <v>ZIMPI X 25 KG</v>
      </c>
      <c r="F85" s="12" t="s">
        <v>92</v>
      </c>
      <c r="G85" s="7">
        <v>12.0</v>
      </c>
      <c r="H85" s="51">
        <v>18793.0</v>
      </c>
      <c r="I85" s="8">
        <f t="shared" si="1"/>
        <v>225516</v>
      </c>
    </row>
    <row r="86" ht="15.75" customHeight="1">
      <c r="A86" s="6">
        <v>46097.0</v>
      </c>
      <c r="B86" s="12" t="s">
        <v>48</v>
      </c>
      <c r="C86" s="7" t="s">
        <v>19</v>
      </c>
      <c r="D86" s="12">
        <v>722.0</v>
      </c>
      <c r="E86" s="10" t="str">
        <f>+VLOOKUP(D86,ARTICULO!$A$2:$B$1048576,2,FALSE)</f>
        <v>POLENTA</v>
      </c>
      <c r="F86" s="12" t="s">
        <v>74</v>
      </c>
      <c r="G86" s="7">
        <v>25.0</v>
      </c>
      <c r="H86" s="51">
        <v>782.0</v>
      </c>
      <c r="I86" s="8">
        <f t="shared" si="1"/>
        <v>19550</v>
      </c>
    </row>
    <row r="87" ht="15.75" customHeight="1">
      <c r="A87" s="6">
        <v>46097.0</v>
      </c>
      <c r="B87" s="12" t="s">
        <v>185</v>
      </c>
      <c r="C87" s="7" t="s">
        <v>11</v>
      </c>
      <c r="D87" s="12">
        <v>3.0</v>
      </c>
      <c r="E87" s="10" t="str">
        <f>+VLOOKUP(D87,ARTICULO!$A$2:$B$1048576,2,FALSE)</f>
        <v>ENGORDE x 25 Kg</v>
      </c>
      <c r="F87" s="12" t="s">
        <v>74</v>
      </c>
      <c r="G87" s="7">
        <v>1.0</v>
      </c>
      <c r="H87" s="51">
        <v>20156.0</v>
      </c>
      <c r="I87" s="8">
        <f t="shared" si="1"/>
        <v>20156</v>
      </c>
    </row>
    <row r="88" ht="15.75" customHeight="1">
      <c r="A88" s="6">
        <v>46098.0</v>
      </c>
      <c r="B88" s="12" t="s">
        <v>186</v>
      </c>
      <c r="C88" s="12" t="s">
        <v>11</v>
      </c>
      <c r="D88" s="12">
        <v>962.0</v>
      </c>
      <c r="E88" s="10" t="str">
        <f>+VLOOKUP(D88,ARTICULO!$A$2:$B$1048576,2,FALSE)</f>
        <v>PIPETA CHICA</v>
      </c>
      <c r="F88" s="7" t="s">
        <v>73</v>
      </c>
      <c r="G88" s="7">
        <v>2.0</v>
      </c>
      <c r="H88" s="51">
        <v>2246.0</v>
      </c>
      <c r="I88" s="8">
        <f t="shared" si="1"/>
        <v>4492</v>
      </c>
    </row>
    <row r="89" ht="15.75" customHeight="1">
      <c r="A89" s="6">
        <v>46098.0</v>
      </c>
      <c r="B89" s="12" t="s">
        <v>186</v>
      </c>
      <c r="C89" s="12" t="s">
        <v>11</v>
      </c>
      <c r="D89" s="12">
        <v>966.0</v>
      </c>
      <c r="E89" s="10" t="str">
        <f>+VLOOKUP(D89,ARTICULO!$A$2:$B$1048576,2,FALSE)</f>
        <v>PIPETA MEDIANA</v>
      </c>
      <c r="F89" s="7" t="s">
        <v>73</v>
      </c>
      <c r="G89" s="7">
        <v>2.0</v>
      </c>
      <c r="H89" s="51">
        <v>2448.0</v>
      </c>
      <c r="I89" s="8">
        <f t="shared" si="1"/>
        <v>4896</v>
      </c>
    </row>
    <row r="90" ht="15.75" customHeight="1">
      <c r="A90" s="6">
        <v>46098.0</v>
      </c>
      <c r="B90" s="12" t="s">
        <v>186</v>
      </c>
      <c r="C90" s="12" t="s">
        <v>11</v>
      </c>
      <c r="D90" s="12">
        <v>965.0</v>
      </c>
      <c r="E90" s="10" t="str">
        <f>+VLOOKUP(D90,ARTICULO!$A$2:$B$1048576,2,FALSE)</f>
        <v>PIPETA GRANDE</v>
      </c>
      <c r="F90" s="7" t="s">
        <v>73</v>
      </c>
      <c r="G90" s="7">
        <v>2.0</v>
      </c>
      <c r="H90" s="51">
        <v>2962.0</v>
      </c>
      <c r="I90" s="8">
        <f t="shared" si="1"/>
        <v>5924</v>
      </c>
    </row>
    <row r="91" ht="15.75" customHeight="1">
      <c r="A91" s="6">
        <v>46098.0</v>
      </c>
      <c r="B91" s="12" t="s">
        <v>186</v>
      </c>
      <c r="C91" s="12" t="s">
        <v>11</v>
      </c>
      <c r="D91" s="12">
        <v>963.0</v>
      </c>
      <c r="E91" s="10" t="str">
        <f>+VLOOKUP(D91,ARTICULO!$A$2:$B$1048576,2,FALSE)</f>
        <v>PIPETA EXTRA GRANDE</v>
      </c>
      <c r="F91" s="7" t="s">
        <v>73</v>
      </c>
      <c r="G91" s="7">
        <v>2.0</v>
      </c>
      <c r="H91" s="51">
        <v>3033.0</v>
      </c>
      <c r="I91" s="8">
        <f t="shared" si="1"/>
        <v>6066</v>
      </c>
    </row>
    <row r="92" ht="15.75" customHeight="1">
      <c r="A92" s="6">
        <v>46098.0</v>
      </c>
      <c r="B92" s="12" t="s">
        <v>186</v>
      </c>
      <c r="C92" s="12" t="s">
        <v>11</v>
      </c>
      <c r="D92" s="12">
        <v>964.0</v>
      </c>
      <c r="E92" s="10" t="str">
        <f>+VLOOKUP(D92,ARTICULO!$A$2:$B$1048576,2,FALSE)</f>
        <v>PIPETA GATO</v>
      </c>
      <c r="F92" s="7" t="s">
        <v>73</v>
      </c>
      <c r="G92" s="7">
        <v>2.0</v>
      </c>
      <c r="H92" s="51">
        <v>2170.0</v>
      </c>
      <c r="I92" s="8">
        <f t="shared" si="1"/>
        <v>4340</v>
      </c>
    </row>
    <row r="93" ht="15.75" customHeight="1">
      <c r="A93" s="6">
        <v>46098.0</v>
      </c>
      <c r="B93" s="12" t="s">
        <v>187</v>
      </c>
      <c r="C93" s="12" t="s">
        <v>17</v>
      </c>
      <c r="D93" s="12">
        <v>151.0</v>
      </c>
      <c r="E93" s="10" t="str">
        <f>+VLOOKUP(D93,ARTICULO!$A$2:$B$1048576,2,FALSE)</f>
        <v>ZIMPI X 25 KG</v>
      </c>
      <c r="F93" s="7" t="s">
        <v>73</v>
      </c>
      <c r="G93" s="7">
        <v>15.0</v>
      </c>
      <c r="H93" s="51">
        <v>16452.0</v>
      </c>
      <c r="I93" s="8">
        <f t="shared" si="1"/>
        <v>246780</v>
      </c>
    </row>
    <row r="94" ht="15.75" customHeight="1">
      <c r="A94" s="6">
        <v>46098.0</v>
      </c>
      <c r="B94" s="12" t="s">
        <v>188</v>
      </c>
      <c r="C94" s="12" t="s">
        <v>17</v>
      </c>
      <c r="D94" s="12">
        <v>709.0</v>
      </c>
      <c r="E94" s="10" t="str">
        <f>+VLOOKUP(D94,ARTICULO!$A$2:$B$1048576,2,FALSE)</f>
        <v>FRANGOLLO</v>
      </c>
      <c r="F94" s="7" t="s">
        <v>73</v>
      </c>
      <c r="G94" s="7">
        <v>5.0</v>
      </c>
      <c r="H94" s="51">
        <v>2250.0</v>
      </c>
      <c r="I94" s="8">
        <f t="shared" si="1"/>
        <v>11250</v>
      </c>
    </row>
    <row r="95" ht="15.75" customHeight="1">
      <c r="A95" s="6">
        <v>46098.0</v>
      </c>
      <c r="B95" s="12" t="s">
        <v>188</v>
      </c>
      <c r="C95" s="12" t="s">
        <v>17</v>
      </c>
      <c r="D95" s="12">
        <v>281.0</v>
      </c>
      <c r="E95" s="10" t="str">
        <f>+VLOOKUP(D95,ARTICULO!$A$2:$B$1048576,2,FALSE)</f>
        <v>FULL CAT PESCADO X 10 KG</v>
      </c>
      <c r="F95" s="12" t="s">
        <v>74</v>
      </c>
      <c r="G95" s="7">
        <v>1.0</v>
      </c>
      <c r="H95" s="51">
        <v>14174.0</v>
      </c>
      <c r="I95" s="8">
        <f t="shared" si="1"/>
        <v>14174</v>
      </c>
    </row>
    <row r="96" ht="15.75" customHeight="1">
      <c r="A96" s="6">
        <v>46099.0</v>
      </c>
      <c r="B96" s="12" t="s">
        <v>169</v>
      </c>
      <c r="C96" s="12" t="s">
        <v>19</v>
      </c>
      <c r="D96" s="12">
        <v>1957.0</v>
      </c>
      <c r="E96" s="10" t="str">
        <f>+VLOOKUP(D96,ARTICULO!$A$2:$B$1048576,2,FALSE)</f>
        <v>BRUMOLINE CEBO X 50 GR</v>
      </c>
      <c r="F96" s="7" t="s">
        <v>73</v>
      </c>
      <c r="G96" s="7">
        <v>24.0</v>
      </c>
      <c r="H96" s="63">
        <v>1081.0</v>
      </c>
      <c r="I96" s="8">
        <f t="shared" si="1"/>
        <v>25944</v>
      </c>
    </row>
    <row r="97" ht="15.75" customHeight="1">
      <c r="A97" s="6">
        <v>46099.0</v>
      </c>
      <c r="B97" s="12" t="s">
        <v>169</v>
      </c>
      <c r="C97" s="12" t="s">
        <v>19</v>
      </c>
      <c r="D97" s="12">
        <v>722.0</v>
      </c>
      <c r="E97" s="10" t="str">
        <f>+VLOOKUP(D97,ARTICULO!$A$2:$B$1048576,2,FALSE)</f>
        <v>POLENTA</v>
      </c>
      <c r="F97" s="7" t="s">
        <v>73</v>
      </c>
      <c r="G97" s="62">
        <v>20.0</v>
      </c>
      <c r="H97" s="63">
        <v>782.0</v>
      </c>
      <c r="I97" s="8">
        <f t="shared" si="1"/>
        <v>15640</v>
      </c>
    </row>
    <row r="98" ht="15.75" customHeight="1">
      <c r="A98" s="6">
        <v>46099.0</v>
      </c>
      <c r="B98" s="12" t="s">
        <v>189</v>
      </c>
      <c r="C98" s="12" t="s">
        <v>19</v>
      </c>
      <c r="D98" s="12">
        <v>476.0</v>
      </c>
      <c r="E98" s="10" t="str">
        <f>+VLOOKUP(D98,ARTICULO!$A$2:$B$1048576,2,FALSE)</f>
        <v>MAIZ QUEBRADO FINO X 30 KG</v>
      </c>
      <c r="F98" s="12" t="s">
        <v>74</v>
      </c>
      <c r="G98" s="62">
        <v>2.0</v>
      </c>
      <c r="H98" s="63">
        <v>12960.0</v>
      </c>
      <c r="I98" s="8">
        <f t="shared" si="1"/>
        <v>25920</v>
      </c>
    </row>
    <row r="99" ht="15.75" customHeight="1">
      <c r="A99" s="6">
        <v>46099.0</v>
      </c>
      <c r="B99" s="12" t="s">
        <v>189</v>
      </c>
      <c r="C99" s="12" t="s">
        <v>19</v>
      </c>
      <c r="D99" s="12">
        <v>476.0</v>
      </c>
      <c r="E99" s="10" t="str">
        <f>+VLOOKUP(D99,ARTICULO!$A$2:$B$1048576,2,FALSE)</f>
        <v>MAIZ QUEBRADO FINO X 30 KG</v>
      </c>
      <c r="F99" s="7" t="s">
        <v>73</v>
      </c>
      <c r="G99" s="62">
        <v>3.0</v>
      </c>
      <c r="H99" s="63">
        <v>12960.0</v>
      </c>
      <c r="I99" s="8">
        <f t="shared" si="1"/>
        <v>38880</v>
      </c>
    </row>
    <row r="100" ht="15.75" customHeight="1">
      <c r="A100" s="6">
        <v>46100.0</v>
      </c>
      <c r="B100" s="12" t="s">
        <v>190</v>
      </c>
      <c r="C100" s="12" t="s">
        <v>17</v>
      </c>
      <c r="D100" s="12">
        <v>1.0</v>
      </c>
      <c r="E100" s="10" t="str">
        <f>+VLOOKUP(D100,ARTICULO!$A$2:$B$1048576,2,FALSE)</f>
        <v>BEBE x 25 Kg</v>
      </c>
      <c r="F100" s="12" t="s">
        <v>74</v>
      </c>
      <c r="G100" s="62">
        <v>1.0</v>
      </c>
      <c r="H100" s="63">
        <v>6126.0</v>
      </c>
      <c r="I100" s="8">
        <f t="shared" si="1"/>
        <v>6126</v>
      </c>
    </row>
    <row r="101" ht="15.75" customHeight="1">
      <c r="A101" s="6">
        <v>46101.0</v>
      </c>
      <c r="B101" s="12" t="s">
        <v>171</v>
      </c>
      <c r="C101" s="12" t="s">
        <v>17</v>
      </c>
      <c r="D101" s="12">
        <v>466.0</v>
      </c>
      <c r="E101" s="10" t="str">
        <f>+VLOOKUP(D101,ARTICULO!$A$2:$B$1048576,2,FALSE)</f>
        <v>MEZCLA CON VIT. (CANARIO)</v>
      </c>
      <c r="F101" s="12" t="s">
        <v>68</v>
      </c>
      <c r="G101" s="62">
        <v>10.0</v>
      </c>
      <c r="H101" s="63">
        <v>1734.0</v>
      </c>
      <c r="I101" s="8">
        <f t="shared" si="1"/>
        <v>17340</v>
      </c>
    </row>
    <row r="102" ht="15.75" customHeight="1">
      <c r="A102" s="6">
        <v>46101.0</v>
      </c>
      <c r="B102" s="12" t="s">
        <v>171</v>
      </c>
      <c r="C102" s="12" t="s">
        <v>17</v>
      </c>
      <c r="D102" s="12">
        <v>6.0</v>
      </c>
      <c r="E102" s="10" t="str">
        <f>+VLOOKUP(D102,ARTICULO!$A$2:$B$1048576,2,FALSE)</f>
        <v>CONEJO X 25 KG - CONECAR</v>
      </c>
      <c r="F102" s="12" t="s">
        <v>68</v>
      </c>
      <c r="G102" s="62">
        <v>1.0</v>
      </c>
      <c r="H102" s="63">
        <v>19752.0</v>
      </c>
      <c r="I102" s="8">
        <f t="shared" si="1"/>
        <v>19752</v>
      </c>
    </row>
    <row r="103" ht="15.75" customHeight="1">
      <c r="A103" s="6">
        <v>46101.0</v>
      </c>
      <c r="B103" s="12" t="s">
        <v>171</v>
      </c>
      <c r="C103" s="12" t="s">
        <v>17</v>
      </c>
      <c r="D103" s="12">
        <v>721.0</v>
      </c>
      <c r="E103" s="10" t="str">
        <f>+VLOOKUP(D103,ARTICULO!$A$2:$B$1048576,2,FALSE)</f>
        <v>PISINGALLO</v>
      </c>
      <c r="F103" s="12" t="s">
        <v>68</v>
      </c>
      <c r="G103" s="62">
        <v>10.0</v>
      </c>
      <c r="H103" s="63">
        <v>913.0</v>
      </c>
      <c r="I103" s="8">
        <f t="shared" si="1"/>
        <v>9130</v>
      </c>
    </row>
    <row r="104" ht="15.75" customHeight="1">
      <c r="A104" s="6">
        <v>46101.0</v>
      </c>
      <c r="B104" s="12" t="s">
        <v>171</v>
      </c>
      <c r="C104" s="12" t="s">
        <v>17</v>
      </c>
      <c r="D104" s="12">
        <v>134.0</v>
      </c>
      <c r="E104" s="10" t="str">
        <f>+VLOOKUP(D104,ARTICULO!$A$2:$B$1048576,2,FALSE)</f>
        <v>BELCAN ADULTOS X 22KG</v>
      </c>
      <c r="F104" s="12" t="s">
        <v>68</v>
      </c>
      <c r="G104" s="62">
        <v>1.0</v>
      </c>
      <c r="H104" s="63">
        <v>25588.0</v>
      </c>
      <c r="I104" s="8">
        <f t="shared" si="1"/>
        <v>25588</v>
      </c>
    </row>
    <row r="105" ht="15.75" customHeight="1">
      <c r="A105" s="6">
        <v>46101.0</v>
      </c>
      <c r="B105" s="12" t="s">
        <v>171</v>
      </c>
      <c r="C105" s="12" t="s">
        <v>17</v>
      </c>
      <c r="D105" s="12">
        <v>650.0</v>
      </c>
      <c r="E105" s="10" t="str">
        <f>+VLOOKUP(D105,ARTICULO!$A$2:$B$1048576,2,FALSE)</f>
        <v>MANI C/ CHOCOLATE</v>
      </c>
      <c r="F105" s="12" t="s">
        <v>68</v>
      </c>
      <c r="G105" s="62">
        <v>1.0</v>
      </c>
      <c r="H105" s="63">
        <v>8627.0</v>
      </c>
      <c r="I105" s="8">
        <f t="shared" si="1"/>
        <v>8627</v>
      </c>
    </row>
    <row r="106" ht="15.75" customHeight="1">
      <c r="A106" s="6">
        <v>46101.0</v>
      </c>
      <c r="B106" s="12" t="s">
        <v>191</v>
      </c>
      <c r="C106" s="12" t="s">
        <v>19</v>
      </c>
      <c r="D106" s="12">
        <v>140.0</v>
      </c>
      <c r="E106" s="10" t="str">
        <f>+VLOOKUP(D106,ARTICULO!$A$2:$B$1048576,2,FALSE)</f>
        <v>GRAN CAMPEON MANTENIMIENTO x 21KG</v>
      </c>
      <c r="F106" s="7" t="s">
        <v>73</v>
      </c>
      <c r="G106" s="62">
        <v>2.0</v>
      </c>
      <c r="H106" s="63">
        <v>15514.0</v>
      </c>
      <c r="I106" s="8">
        <f t="shared" si="1"/>
        <v>31028</v>
      </c>
    </row>
    <row r="107" ht="15.75" customHeight="1">
      <c r="A107" s="6">
        <v>46101.0</v>
      </c>
      <c r="B107" s="12" t="s">
        <v>192</v>
      </c>
      <c r="C107" s="12" t="s">
        <v>19</v>
      </c>
      <c r="D107" s="12">
        <v>402.0</v>
      </c>
      <c r="E107" s="10" t="str">
        <f>+VLOOKUP(D107,ARTICULO!$A$2:$B$1048576,2,FALSE)</f>
        <v>MIJO</v>
      </c>
      <c r="F107" s="7" t="s">
        <v>73</v>
      </c>
      <c r="G107" s="62">
        <v>25.0</v>
      </c>
      <c r="H107" s="63">
        <v>643.0</v>
      </c>
      <c r="I107" s="8">
        <f t="shared" si="1"/>
        <v>16075</v>
      </c>
    </row>
    <row r="108" ht="15.75" customHeight="1">
      <c r="A108" s="6">
        <v>46101.0</v>
      </c>
      <c r="B108" s="12" t="s">
        <v>193</v>
      </c>
      <c r="C108" s="12" t="s">
        <v>19</v>
      </c>
      <c r="D108" s="12">
        <v>405.0</v>
      </c>
      <c r="E108" s="10" t="str">
        <f>+VLOOKUP(D108,ARTICULO!$A$2:$B$1048576,2,FALSE)</f>
        <v>SESAMO</v>
      </c>
      <c r="F108" s="7" t="s">
        <v>73</v>
      </c>
      <c r="G108" s="62">
        <v>2.0</v>
      </c>
      <c r="H108" s="63">
        <v>3080.0</v>
      </c>
      <c r="I108" s="8">
        <f t="shared" si="1"/>
        <v>6160</v>
      </c>
    </row>
    <row r="109" ht="15.75" customHeight="1">
      <c r="A109" s="6">
        <v>46101.0</v>
      </c>
      <c r="B109" s="12" t="s">
        <v>194</v>
      </c>
      <c r="C109" s="12" t="s">
        <v>19</v>
      </c>
      <c r="D109" s="12">
        <v>610.0</v>
      </c>
      <c r="E109" s="10" t="str">
        <f>+VLOOKUP(D109,ARTICULO!$A$2:$B$1048576,2,FALSE)</f>
        <v>MIX ENERGETICO S/C</v>
      </c>
      <c r="F109" s="7" t="s">
        <v>73</v>
      </c>
      <c r="G109" s="62">
        <v>5.0</v>
      </c>
      <c r="H109" s="63">
        <v>8463.0</v>
      </c>
      <c r="I109" s="8">
        <f t="shared" si="1"/>
        <v>42315</v>
      </c>
    </row>
    <row r="110" ht="15.75" customHeight="1">
      <c r="A110" s="6">
        <v>46101.0</v>
      </c>
      <c r="B110" s="12" t="s">
        <v>18</v>
      </c>
      <c r="C110" s="12" t="s">
        <v>19</v>
      </c>
      <c r="D110" s="12">
        <v>1949.0</v>
      </c>
      <c r="E110" s="10" t="str">
        <f>+VLOOKUP(D110,ARTICULO!$A$2:$B$1048576,2,FALSE)</f>
        <v>CUCAXAN JERINGA X 6 GR</v>
      </c>
      <c r="F110" s="7" t="s">
        <v>73</v>
      </c>
      <c r="G110" s="62">
        <v>12.0</v>
      </c>
      <c r="H110" s="63">
        <v>3375.0</v>
      </c>
      <c r="I110" s="8">
        <f t="shared" si="1"/>
        <v>40500</v>
      </c>
    </row>
    <row r="111" ht="15.75" customHeight="1">
      <c r="A111" s="6">
        <v>46101.0</v>
      </c>
      <c r="B111" s="12" t="s">
        <v>195</v>
      </c>
      <c r="C111" s="12" t="s">
        <v>19</v>
      </c>
      <c r="D111" s="12">
        <v>993.0</v>
      </c>
      <c r="E111" s="10" t="str">
        <f>+VLOOKUP(D111,ARTICULO!$A$2:$B$1048576,2,FALSE)</f>
        <v>TALQUERA PULGUICIDA WASH</v>
      </c>
      <c r="F111" s="7" t="s">
        <v>73</v>
      </c>
      <c r="G111" s="62">
        <v>11.0</v>
      </c>
      <c r="H111" s="63">
        <v>2478.0</v>
      </c>
      <c r="I111" s="8">
        <f t="shared" si="1"/>
        <v>27258</v>
      </c>
    </row>
    <row r="112" ht="15.75" customHeight="1">
      <c r="A112" s="6">
        <v>46102.0</v>
      </c>
      <c r="B112" s="12" t="s">
        <v>160</v>
      </c>
      <c r="C112" s="12" t="s">
        <v>11</v>
      </c>
      <c r="D112" s="12">
        <v>130.0</v>
      </c>
      <c r="E112" s="10" t="str">
        <f>+VLOOKUP(D112,ARTICULO!$A$2:$B$1048576,2,FALSE)</f>
        <v>GRAN CAMPEON AD ROJO Carne y Pollo X 21 KG</v>
      </c>
      <c r="F112" s="12" t="s">
        <v>21</v>
      </c>
      <c r="G112" s="62">
        <v>1.0</v>
      </c>
      <c r="H112" s="63">
        <v>25392.0</v>
      </c>
      <c r="I112" s="8">
        <f t="shared" si="1"/>
        <v>25392</v>
      </c>
    </row>
    <row r="113" ht="15.75" customHeight="1">
      <c r="A113" s="6">
        <v>46102.0</v>
      </c>
      <c r="B113" s="12" t="s">
        <v>160</v>
      </c>
      <c r="C113" s="12" t="s">
        <v>11</v>
      </c>
      <c r="D113" s="12">
        <v>131.0</v>
      </c>
      <c r="E113" s="10" t="str">
        <f>+VLOOKUP(D113,ARTICULO!$A$2:$B$1048576,2,FALSE)</f>
        <v>GRAN CAMPEON CACHORRO X 10 KG</v>
      </c>
      <c r="F113" s="12" t="s">
        <v>21</v>
      </c>
      <c r="G113" s="62">
        <v>1.0</v>
      </c>
      <c r="H113" s="63">
        <v>15514.0</v>
      </c>
      <c r="I113" s="8">
        <f t="shared" si="1"/>
        <v>15514</v>
      </c>
    </row>
    <row r="114" ht="15.75" customHeight="1">
      <c r="A114" s="6">
        <v>46102.0</v>
      </c>
      <c r="B114" s="12" t="s">
        <v>160</v>
      </c>
      <c r="C114" s="12" t="s">
        <v>11</v>
      </c>
      <c r="D114" s="12">
        <v>482.0</v>
      </c>
      <c r="E114" s="10" t="str">
        <f>+VLOOKUP(D114,ARTICULO!$A$2:$B$1048576,2,FALSE)</f>
        <v>MEZCLA FINA ESPECIAL (CARDENAL)</v>
      </c>
      <c r="F114" s="12" t="s">
        <v>21</v>
      </c>
      <c r="G114" s="62">
        <v>5.0</v>
      </c>
      <c r="H114" s="63">
        <v>864.0</v>
      </c>
      <c r="I114" s="8">
        <f t="shared" si="1"/>
        <v>4320</v>
      </c>
    </row>
    <row r="115" ht="15.75" customHeight="1">
      <c r="A115" s="6">
        <v>46102.0</v>
      </c>
      <c r="B115" s="12" t="s">
        <v>160</v>
      </c>
      <c r="C115" s="12" t="s">
        <v>11</v>
      </c>
      <c r="D115" s="12">
        <v>655.0</v>
      </c>
      <c r="E115" s="10" t="str">
        <f>+VLOOKUP(D115,ARTICULO!$A$2:$B$1048576,2,FALSE)</f>
        <v>PALITO SALADO </v>
      </c>
      <c r="F115" s="12" t="s">
        <v>21</v>
      </c>
      <c r="G115" s="62">
        <v>1.0</v>
      </c>
      <c r="H115" s="63">
        <v>5145.0</v>
      </c>
      <c r="I115" s="8">
        <f t="shared" si="1"/>
        <v>5145</v>
      </c>
    </row>
    <row r="116" ht="15.75" customHeight="1">
      <c r="A116" s="6">
        <v>46102.0</v>
      </c>
      <c r="B116" s="12" t="s">
        <v>160</v>
      </c>
      <c r="C116" s="12" t="s">
        <v>11</v>
      </c>
      <c r="D116" s="12">
        <v>402.0</v>
      </c>
      <c r="E116" s="10" t="str">
        <f>+VLOOKUP(D116,ARTICULO!$A$2:$B$1048576,2,FALSE)</f>
        <v>MIJO</v>
      </c>
      <c r="F116" s="12" t="s">
        <v>21</v>
      </c>
      <c r="G116" s="62">
        <v>5.0</v>
      </c>
      <c r="H116" s="63">
        <v>715.0</v>
      </c>
      <c r="I116" s="8">
        <f t="shared" si="1"/>
        <v>3575</v>
      </c>
    </row>
    <row r="117" ht="15.75" customHeight="1">
      <c r="A117" s="6">
        <v>46102.0</v>
      </c>
      <c r="B117" s="12" t="s">
        <v>160</v>
      </c>
      <c r="C117" s="12" t="s">
        <v>11</v>
      </c>
      <c r="D117" s="12">
        <v>1009.0</v>
      </c>
      <c r="E117" s="10" t="str">
        <f>+VLOOKUP(D117,ARTICULO!$A$2:$B$1048576,2,FALSE)</f>
        <v>PIEDRAS SANITARIAS X 20 KG</v>
      </c>
      <c r="F117" s="12" t="s">
        <v>21</v>
      </c>
      <c r="G117" s="62">
        <v>1.0</v>
      </c>
      <c r="H117" s="63">
        <v>8416.0</v>
      </c>
      <c r="I117" s="8">
        <f t="shared" si="1"/>
        <v>8416</v>
      </c>
    </row>
    <row r="118" ht="15.75" customHeight="1">
      <c r="A118" s="6">
        <v>46102.0</v>
      </c>
      <c r="B118" s="12" t="s">
        <v>160</v>
      </c>
      <c r="C118" s="12" t="s">
        <v>11</v>
      </c>
      <c r="D118" s="12">
        <v>727.0</v>
      </c>
      <c r="E118" s="7" t="str">
        <f>+VLOOKUP(D118,ARTICULO!$A$2:$B$1048576,2,FALSE)</f>
        <v>MONKY MIX X18UDS</v>
      </c>
      <c r="F118" s="12" t="s">
        <v>21</v>
      </c>
      <c r="G118" s="62">
        <v>1.0</v>
      </c>
      <c r="H118" s="63">
        <v>20750.0</v>
      </c>
      <c r="I118" s="8">
        <f t="shared" si="1"/>
        <v>20750</v>
      </c>
    </row>
    <row r="119" ht="15.75" customHeight="1">
      <c r="A119" s="6">
        <v>46102.0</v>
      </c>
      <c r="B119" s="12" t="s">
        <v>160</v>
      </c>
      <c r="C119" s="12" t="s">
        <v>11</v>
      </c>
      <c r="D119" s="12">
        <v>235.0</v>
      </c>
      <c r="E119" s="7" t="str">
        <f>+VLOOKUP(D119,ARTICULO!$A$2:$B$1048576,2,FALSE)</f>
        <v>EXACT CRIADORES CACHORRO X15</v>
      </c>
      <c r="F119" s="12" t="s">
        <v>21</v>
      </c>
      <c r="G119" s="62">
        <v>1.0</v>
      </c>
      <c r="H119" s="63">
        <v>14605.0</v>
      </c>
      <c r="I119" s="8">
        <f t="shared" si="1"/>
        <v>14605</v>
      </c>
    </row>
    <row r="120" ht="15.75" customHeight="1">
      <c r="A120" s="6">
        <v>46105.0</v>
      </c>
      <c r="B120" s="12" t="s">
        <v>18</v>
      </c>
      <c r="C120" s="12" t="s">
        <v>19</v>
      </c>
      <c r="D120" s="12">
        <v>476.0</v>
      </c>
      <c r="E120" s="10" t="str">
        <f>+VLOOKUP(D120,ARTICULO!$A$2:$B$1048576,2,FALSE)</f>
        <v>MAIZ QUEBRADO FINO X 30 KG</v>
      </c>
      <c r="F120" s="12" t="s">
        <v>68</v>
      </c>
      <c r="G120" s="62">
        <v>5.0</v>
      </c>
      <c r="H120" s="63">
        <v>12960.0</v>
      </c>
      <c r="I120" s="8">
        <f t="shared" si="1"/>
        <v>64800</v>
      </c>
    </row>
    <row r="121" ht="15.75" customHeight="1">
      <c r="A121" s="6">
        <v>46105.0</v>
      </c>
      <c r="B121" s="12" t="s">
        <v>18</v>
      </c>
      <c r="C121" s="12" t="s">
        <v>19</v>
      </c>
      <c r="D121" s="12">
        <v>458.0</v>
      </c>
      <c r="E121" s="10" t="str">
        <f>+VLOOKUP(D121,ARTICULO!$A$2:$B$1048576,2,FALSE)</f>
        <v>GIRASOL GRANDE</v>
      </c>
      <c r="F121" s="12" t="s">
        <v>68</v>
      </c>
      <c r="G121" s="62">
        <v>60.0</v>
      </c>
      <c r="H121" s="63">
        <v>1590.0</v>
      </c>
      <c r="I121" s="8">
        <f t="shared" si="1"/>
        <v>95400</v>
      </c>
    </row>
    <row r="122" ht="15.75" customHeight="1">
      <c r="A122" s="6">
        <v>46105.0</v>
      </c>
      <c r="B122" s="12" t="s">
        <v>18</v>
      </c>
      <c r="C122" s="12" t="s">
        <v>19</v>
      </c>
      <c r="D122" s="12">
        <v>470.0</v>
      </c>
      <c r="E122" s="10" t="str">
        <f>+VLOOKUP(D122,ARTICULO!$A$2:$B$1048576,2,FALSE)</f>
        <v>MEZCLA P/PAJARO</v>
      </c>
      <c r="F122" s="12" t="s">
        <v>68</v>
      </c>
      <c r="G122" s="62">
        <v>130.0</v>
      </c>
      <c r="H122" s="63">
        <v>1094.0</v>
      </c>
      <c r="I122" s="8">
        <f t="shared" si="1"/>
        <v>142220</v>
      </c>
    </row>
    <row r="123" ht="15.75" customHeight="1">
      <c r="A123" s="6">
        <v>46105.0</v>
      </c>
      <c r="B123" s="12" t="s">
        <v>18</v>
      </c>
      <c r="C123" s="12" t="s">
        <v>19</v>
      </c>
      <c r="D123" s="12">
        <v>703.0</v>
      </c>
      <c r="E123" s="10" t="str">
        <f>+VLOOKUP(D123,ARTICULO!$A$2:$B$1048576,2,FALSE)</f>
        <v>AVENA ARROLLADA</v>
      </c>
      <c r="F123" s="12" t="s">
        <v>68</v>
      </c>
      <c r="G123" s="62">
        <v>50.0</v>
      </c>
      <c r="H123" s="63">
        <v>1505.0</v>
      </c>
      <c r="I123" s="8">
        <f t="shared" si="1"/>
        <v>75250</v>
      </c>
    </row>
    <row r="124" ht="15.75" customHeight="1">
      <c r="A124" s="6">
        <v>46105.0</v>
      </c>
      <c r="B124" s="12" t="s">
        <v>18</v>
      </c>
      <c r="C124" s="12" t="s">
        <v>19</v>
      </c>
      <c r="D124" s="12">
        <v>406.0</v>
      </c>
      <c r="E124" s="10" t="str">
        <f>+VLOOKUP(D124,ARTICULO!$A$2:$B$1048576,2,FALSE)</f>
        <v>MIX SEMILLAS</v>
      </c>
      <c r="F124" s="12" t="s">
        <v>68</v>
      </c>
      <c r="G124" s="62">
        <v>25.0</v>
      </c>
      <c r="H124" s="63">
        <v>3343.0</v>
      </c>
      <c r="I124" s="8">
        <f t="shared" si="1"/>
        <v>83575</v>
      </c>
    </row>
    <row r="125" ht="15.75" customHeight="1">
      <c r="A125" s="6">
        <v>46105.0</v>
      </c>
      <c r="B125" s="12" t="s">
        <v>18</v>
      </c>
      <c r="C125" s="12" t="s">
        <v>19</v>
      </c>
      <c r="D125" s="12">
        <v>2.0</v>
      </c>
      <c r="E125" s="10" t="str">
        <f>+VLOOKUP(D125,ARTICULO!$A$2:$B$1048576,2,FALSE)</f>
        <v>RECRIA x 25 Kg</v>
      </c>
      <c r="F125" s="12" t="s">
        <v>68</v>
      </c>
      <c r="G125" s="62">
        <v>1.0</v>
      </c>
      <c r="H125" s="63">
        <v>17901.0</v>
      </c>
      <c r="I125" s="8">
        <f t="shared" si="1"/>
        <v>17901</v>
      </c>
    </row>
    <row r="126" ht="15.75" customHeight="1">
      <c r="A126" s="6">
        <v>46105.0</v>
      </c>
      <c r="B126" s="12" t="s">
        <v>18</v>
      </c>
      <c r="C126" s="12" t="s">
        <v>19</v>
      </c>
      <c r="D126" s="12">
        <v>3.0</v>
      </c>
      <c r="E126" s="10" t="str">
        <f>+VLOOKUP(D126,ARTICULO!$A$2:$B$1048576,2,FALSE)</f>
        <v>ENGORDE x 25 Kg</v>
      </c>
      <c r="F126" s="12" t="s">
        <v>68</v>
      </c>
      <c r="G126" s="62">
        <v>1.0</v>
      </c>
      <c r="H126" s="63">
        <v>18140.0</v>
      </c>
      <c r="I126" s="8">
        <f t="shared" si="1"/>
        <v>18140</v>
      </c>
    </row>
    <row r="127" ht="15.75" customHeight="1">
      <c r="A127" s="6">
        <v>46105.0</v>
      </c>
      <c r="B127" s="12" t="s">
        <v>18</v>
      </c>
      <c r="C127" s="12" t="s">
        <v>19</v>
      </c>
      <c r="D127" s="12">
        <v>1.0</v>
      </c>
      <c r="E127" s="10" t="str">
        <f>+VLOOKUP(D127,ARTICULO!$A$2:$B$1048576,2,FALSE)</f>
        <v>BEBE x 25 Kg</v>
      </c>
      <c r="F127" s="12" t="s">
        <v>68</v>
      </c>
      <c r="G127" s="62">
        <v>1.0</v>
      </c>
      <c r="H127" s="63">
        <v>17911.0</v>
      </c>
      <c r="I127" s="8">
        <f t="shared" si="1"/>
        <v>17911</v>
      </c>
    </row>
    <row r="128" ht="15.75" customHeight="1">
      <c r="A128" s="6">
        <v>46105.0</v>
      </c>
      <c r="B128" s="12" t="s">
        <v>18</v>
      </c>
      <c r="C128" s="12" t="s">
        <v>19</v>
      </c>
      <c r="D128" s="12">
        <v>1920.0</v>
      </c>
      <c r="E128" s="10" t="str">
        <f>+VLOOKUP(D128,ARTICULO!$A$2:$B$1048576,2,FALSE)</f>
        <v>TIERRA</v>
      </c>
      <c r="F128" s="12" t="s">
        <v>68</v>
      </c>
      <c r="G128" s="62">
        <v>30.0</v>
      </c>
      <c r="H128" s="63">
        <v>800.0</v>
      </c>
      <c r="I128" s="8">
        <f t="shared" si="1"/>
        <v>24000</v>
      </c>
    </row>
    <row r="129" ht="15.75" customHeight="1">
      <c r="A129" s="6">
        <v>46105.0</v>
      </c>
      <c r="B129" s="12" t="s">
        <v>18</v>
      </c>
      <c r="C129" s="12" t="s">
        <v>19</v>
      </c>
      <c r="D129" s="12">
        <v>402.0</v>
      </c>
      <c r="E129" s="10" t="str">
        <f>+VLOOKUP(D129,ARTICULO!$A$2:$B$1048576,2,FALSE)</f>
        <v>MIJO</v>
      </c>
      <c r="F129" s="12" t="s">
        <v>68</v>
      </c>
      <c r="G129" s="62">
        <v>150.0</v>
      </c>
      <c r="H129" s="63">
        <v>622.0</v>
      </c>
      <c r="I129" s="8">
        <f t="shared" si="1"/>
        <v>93300</v>
      </c>
    </row>
    <row r="130" ht="15.75" customHeight="1">
      <c r="A130" s="6">
        <v>46105.0</v>
      </c>
      <c r="B130" s="12" t="s">
        <v>18</v>
      </c>
      <c r="C130" s="12" t="s">
        <v>19</v>
      </c>
      <c r="D130" s="12">
        <v>400.0</v>
      </c>
      <c r="E130" s="10" t="str">
        <f>+VLOOKUP(D130,ARTICULO!$A$2:$B$1048576,2,FALSE)</f>
        <v>ALPISTE</v>
      </c>
      <c r="F130" s="12" t="s">
        <v>68</v>
      </c>
      <c r="G130" s="62">
        <v>25.0</v>
      </c>
      <c r="H130" s="63">
        <v>1345.0</v>
      </c>
      <c r="I130" s="8">
        <f t="shared" si="1"/>
        <v>33625</v>
      </c>
    </row>
    <row r="131" ht="15.75" customHeight="1">
      <c r="A131" s="6">
        <v>46105.0</v>
      </c>
      <c r="B131" s="12" t="s">
        <v>18</v>
      </c>
      <c r="C131" s="12" t="s">
        <v>19</v>
      </c>
      <c r="D131" s="12">
        <v>661.0</v>
      </c>
      <c r="E131" s="10" t="str">
        <f>+VLOOKUP(D131,ARTICULO!$A$2:$B$1048576,2,FALSE)</f>
        <v>PASTA DE MANI NATURAL X 485GR X 12U- Mani king</v>
      </c>
      <c r="F131" s="12" t="s">
        <v>68</v>
      </c>
      <c r="G131" s="62">
        <v>3.0</v>
      </c>
      <c r="H131" s="63">
        <v>28878.0</v>
      </c>
      <c r="I131" s="8">
        <f t="shared" si="1"/>
        <v>86634</v>
      </c>
    </row>
    <row r="132" ht="15.75" customHeight="1">
      <c r="A132" s="6">
        <v>46105.0</v>
      </c>
      <c r="B132" s="12" t="s">
        <v>18</v>
      </c>
      <c r="C132" s="12" t="s">
        <v>19</v>
      </c>
      <c r="D132" s="12">
        <v>1943.0</v>
      </c>
      <c r="E132" s="10" t="str">
        <f>+VLOOKUP(D132,ARTICULO!$A$2:$B$1048576,2,FALSE)</f>
        <v>TALQUERA FORMIX X 250 GR</v>
      </c>
      <c r="F132" s="12" t="s">
        <v>68</v>
      </c>
      <c r="G132" s="62">
        <v>12.0</v>
      </c>
      <c r="H132" s="63">
        <v>2715.0</v>
      </c>
      <c r="I132" s="8">
        <f t="shared" si="1"/>
        <v>32580</v>
      </c>
    </row>
    <row r="133" ht="15.75" customHeight="1">
      <c r="A133" s="6">
        <v>46105.0</v>
      </c>
      <c r="B133" s="12" t="s">
        <v>43</v>
      </c>
      <c r="C133" s="12" t="s">
        <v>19</v>
      </c>
      <c r="D133" s="12">
        <v>719.0</v>
      </c>
      <c r="E133" s="10" t="str">
        <f>+VLOOKUP(D133,ARTICULO!$A$2:$B$1048576,2,FALSE)</f>
        <v>MAIZ MOLIDO AMARILLO</v>
      </c>
      <c r="F133" s="7" t="s">
        <v>73</v>
      </c>
      <c r="G133" s="7">
        <v>30.0</v>
      </c>
      <c r="H133" s="47">
        <v>931.0</v>
      </c>
      <c r="I133" s="8">
        <f t="shared" si="1"/>
        <v>27930</v>
      </c>
    </row>
    <row r="134" ht="15.75" customHeight="1">
      <c r="A134" s="6">
        <v>46105.0</v>
      </c>
      <c r="B134" s="12" t="s">
        <v>146</v>
      </c>
      <c r="C134" s="12" t="s">
        <v>19</v>
      </c>
      <c r="D134" s="12">
        <v>1952.0</v>
      </c>
      <c r="E134" s="10" t="str">
        <f>+VLOOKUP(D134,ARTICULO!$A$2:$B$1048576,2,FALSE)</f>
        <v>SUPER FLOW X 15 CC</v>
      </c>
      <c r="F134" s="7" t="s">
        <v>73</v>
      </c>
      <c r="G134" s="7">
        <v>72.0</v>
      </c>
      <c r="H134" s="47">
        <v>680.0</v>
      </c>
      <c r="I134" s="8">
        <f t="shared" si="1"/>
        <v>48960</v>
      </c>
    </row>
    <row r="135" ht="15.75" customHeight="1">
      <c r="A135" s="6">
        <v>46105.0</v>
      </c>
      <c r="B135" s="12" t="s">
        <v>196</v>
      </c>
      <c r="C135" s="12" t="s">
        <v>17</v>
      </c>
      <c r="D135" s="12">
        <v>652.0</v>
      </c>
      <c r="E135" s="10" t="str">
        <f>+VLOOKUP(D135,ARTICULO!$A$2:$B$1048576,2,FALSE)</f>
        <v>MANI SABORIZADO</v>
      </c>
      <c r="F135" s="7" t="s">
        <v>73</v>
      </c>
      <c r="G135" s="7">
        <v>1.0</v>
      </c>
      <c r="H135" s="47">
        <v>4200.0</v>
      </c>
      <c r="I135" s="8">
        <f t="shared" si="1"/>
        <v>4200</v>
      </c>
    </row>
    <row r="136" ht="15.75" customHeight="1">
      <c r="A136" s="6">
        <v>46105.0</v>
      </c>
      <c r="B136" s="12" t="s">
        <v>108</v>
      </c>
      <c r="C136" s="12" t="s">
        <v>17</v>
      </c>
      <c r="D136" s="12">
        <v>1943.0</v>
      </c>
      <c r="E136" s="10" t="str">
        <f>+VLOOKUP(D136,ARTICULO!$A$2:$B$1048576,2,FALSE)</f>
        <v>TALQUERA FORMIX X 250 GR</v>
      </c>
      <c r="F136" s="7" t="s">
        <v>73</v>
      </c>
      <c r="G136" s="7">
        <v>4.0</v>
      </c>
      <c r="H136" s="47">
        <v>4354.0</v>
      </c>
      <c r="I136" s="8">
        <f t="shared" si="1"/>
        <v>17416</v>
      </c>
    </row>
    <row r="137" ht="15.75" customHeight="1">
      <c r="A137" s="6">
        <v>46106.0</v>
      </c>
      <c r="B137" s="12" t="s">
        <v>197</v>
      </c>
      <c r="C137" s="12" t="s">
        <v>11</v>
      </c>
      <c r="D137" s="12">
        <v>723.0</v>
      </c>
      <c r="E137" s="10" t="str">
        <f>+VLOOKUP(D137,ARTICULO!$A$2:$B$1048576,2,FALSE)</f>
        <v>POROTO ALUBIA</v>
      </c>
      <c r="F137" s="7" t="s">
        <v>73</v>
      </c>
      <c r="G137" s="7">
        <v>25.0</v>
      </c>
      <c r="H137" s="47">
        <v>2730.0</v>
      </c>
      <c r="I137" s="8">
        <f t="shared" si="1"/>
        <v>68250</v>
      </c>
    </row>
    <row r="138" ht="15.75" customHeight="1">
      <c r="A138" s="6">
        <v>46106.0</v>
      </c>
      <c r="B138" s="12" t="s">
        <v>197</v>
      </c>
      <c r="C138" s="12" t="s">
        <v>11</v>
      </c>
      <c r="D138" s="12">
        <v>724.0</v>
      </c>
      <c r="E138" s="10" t="str">
        <f>+VLOOKUP(D138,ARTICULO!$A$2:$B$1048576,2,FALSE)</f>
        <v>POROTO PALLARES</v>
      </c>
      <c r="F138" s="7" t="s">
        <v>73</v>
      </c>
      <c r="G138" s="7">
        <v>25.0</v>
      </c>
      <c r="H138" s="47">
        <v>5265.0</v>
      </c>
      <c r="I138" s="8">
        <f t="shared" si="1"/>
        <v>131625</v>
      </c>
    </row>
    <row r="139" ht="15.75" customHeight="1">
      <c r="A139" s="6">
        <v>46106.0</v>
      </c>
      <c r="B139" s="12" t="s">
        <v>198</v>
      </c>
      <c r="C139" s="12" t="s">
        <v>17</v>
      </c>
      <c r="D139" s="12">
        <v>1968.0</v>
      </c>
      <c r="E139" s="10" t="str">
        <f>+VLOOKUP(D139,ARTICULO!$A$2:$B$1048576,2,FALSE)</f>
        <v>ULTRA RATICIDA 30 SOBRES X 50 GR</v>
      </c>
      <c r="F139" s="7" t="s">
        <v>73</v>
      </c>
      <c r="G139" s="7">
        <v>30.0</v>
      </c>
      <c r="H139" s="47">
        <v>1161.0</v>
      </c>
      <c r="I139" s="8">
        <f t="shared" si="1"/>
        <v>34830</v>
      </c>
    </row>
    <row r="140" ht="15.75" customHeight="1">
      <c r="A140" s="6">
        <v>46107.0</v>
      </c>
      <c r="B140" s="12" t="s">
        <v>55</v>
      </c>
      <c r="C140" s="12" t="s">
        <v>15</v>
      </c>
      <c r="D140" s="12">
        <v>468.0</v>
      </c>
      <c r="E140" s="10" t="str">
        <f>+VLOOKUP(D140,ARTICULO!$A$2:$B$1048576,2,FALSE)</f>
        <v>MEZCLA GRUESA/MEDIANA</v>
      </c>
      <c r="F140" s="7" t="s">
        <v>73</v>
      </c>
      <c r="G140" s="7">
        <v>5.0</v>
      </c>
      <c r="H140" s="47">
        <v>689.0</v>
      </c>
      <c r="I140" s="8">
        <f t="shared" si="1"/>
        <v>3445</v>
      </c>
    </row>
    <row r="141" ht="15.75" customHeight="1">
      <c r="A141" s="6">
        <v>46107.0</v>
      </c>
      <c r="B141" s="12" t="s">
        <v>55</v>
      </c>
      <c r="C141" s="12" t="s">
        <v>15</v>
      </c>
      <c r="D141" s="12">
        <v>485.0</v>
      </c>
      <c r="E141" s="10" t="str">
        <f>+VLOOKUP(D141,ARTICULO!$A$2:$B$1048576,2,FALSE)</f>
        <v>PELLET DE ALFA</v>
      </c>
      <c r="F141" s="7" t="s">
        <v>73</v>
      </c>
      <c r="G141" s="7">
        <v>1.0</v>
      </c>
      <c r="H141" s="47">
        <v>16305.0</v>
      </c>
      <c r="I141" s="8">
        <f t="shared" si="1"/>
        <v>16305</v>
      </c>
    </row>
    <row r="142" ht="15.75" customHeight="1">
      <c r="A142" s="6">
        <v>46107.0</v>
      </c>
      <c r="B142" s="12" t="s">
        <v>169</v>
      </c>
      <c r="C142" s="12" t="s">
        <v>19</v>
      </c>
      <c r="D142" s="12">
        <v>610.0</v>
      </c>
      <c r="E142" s="10" t="str">
        <f>+VLOOKUP(D142,ARTICULO!$A$2:$B$1048576,2,FALSE)</f>
        <v>MIX ENERGETICO S/C</v>
      </c>
      <c r="F142" s="7" t="s">
        <v>73</v>
      </c>
      <c r="G142" s="7">
        <v>5.0</v>
      </c>
      <c r="H142" s="47">
        <v>8463.0</v>
      </c>
      <c r="I142" s="8">
        <f t="shared" si="1"/>
        <v>42315</v>
      </c>
    </row>
    <row r="143" ht="15.75" customHeight="1">
      <c r="A143" s="6">
        <v>46107.0</v>
      </c>
      <c r="B143" s="12" t="s">
        <v>199</v>
      </c>
      <c r="C143" s="12" t="s">
        <v>19</v>
      </c>
      <c r="D143" s="12">
        <v>491.0</v>
      </c>
      <c r="E143" s="10" t="str">
        <f>+VLOOKUP(D143,ARTICULO!$A$2:$B$1048576,2,FALSE)</f>
        <v>MEZCLA GALLO PREMIUM</v>
      </c>
      <c r="F143" s="7" t="s">
        <v>73</v>
      </c>
      <c r="G143" s="7">
        <v>10.0</v>
      </c>
      <c r="H143" s="47">
        <v>779.0</v>
      </c>
      <c r="I143" s="8">
        <f t="shared" si="1"/>
        <v>7790</v>
      </c>
    </row>
    <row r="144" ht="15.75" customHeight="1">
      <c r="A144" s="6">
        <v>46107.0</v>
      </c>
      <c r="B144" s="12" t="s">
        <v>60</v>
      </c>
      <c r="C144" s="12" t="s">
        <v>19</v>
      </c>
      <c r="D144" s="12">
        <v>10672.0</v>
      </c>
      <c r="E144" s="10" t="str">
        <f>+VLOOKUP(D144,ARTICULO!$A$2:$B$1048576,2,FALSE)</f>
        <v>MANI TOSTADO SALADO X KG - Mani king</v>
      </c>
      <c r="F144" s="7" t="s">
        <v>73</v>
      </c>
      <c r="G144" s="7">
        <v>1.0</v>
      </c>
      <c r="H144" s="47">
        <v>4666.0</v>
      </c>
      <c r="I144" s="8">
        <f t="shared" si="1"/>
        <v>4666</v>
      </c>
    </row>
    <row r="145" ht="15.75" customHeight="1">
      <c r="A145" s="6">
        <v>46107.0</v>
      </c>
      <c r="B145" s="12" t="s">
        <v>60</v>
      </c>
      <c r="C145" s="12" t="s">
        <v>19</v>
      </c>
      <c r="D145" s="12">
        <v>926.0</v>
      </c>
      <c r="E145" s="10" t="str">
        <f>+VLOOKUP(D145,ARTICULO!$A$2:$B$1048576,2,FALSE)</f>
        <v>COLLAR N░ 2 (34 cm)</v>
      </c>
      <c r="F145" s="7" t="s">
        <v>73</v>
      </c>
      <c r="G145" s="7">
        <v>2.0</v>
      </c>
      <c r="H145" s="47">
        <v>1521.0</v>
      </c>
      <c r="I145" s="8">
        <f t="shared" si="1"/>
        <v>3042</v>
      </c>
    </row>
    <row r="146" ht="15.75" customHeight="1">
      <c r="A146" s="6">
        <v>46107.0</v>
      </c>
      <c r="B146" s="12" t="s">
        <v>180</v>
      </c>
      <c r="C146" s="12" t="s">
        <v>19</v>
      </c>
      <c r="D146" s="12">
        <v>457.0</v>
      </c>
      <c r="E146" s="10" t="str">
        <f>+VLOOKUP(D146,ARTICULO!$A$2:$B$1048576,2,FALSE)</f>
        <v>GIRASOL CHICO</v>
      </c>
      <c r="F146" s="7" t="s">
        <v>73</v>
      </c>
      <c r="G146" s="7">
        <v>5.0</v>
      </c>
      <c r="H146" s="51">
        <v>1181.0</v>
      </c>
      <c r="I146" s="8">
        <f t="shared" si="1"/>
        <v>5905</v>
      </c>
    </row>
    <row r="147" ht="15.75" customHeight="1">
      <c r="A147" s="6">
        <v>46108.0</v>
      </c>
      <c r="B147" s="12" t="s">
        <v>194</v>
      </c>
      <c r="C147" s="12" t="s">
        <v>19</v>
      </c>
      <c r="D147" s="12">
        <v>922.0</v>
      </c>
      <c r="E147" s="10" t="str">
        <f>+VLOOKUP(D147,ARTICULO!$A$2:$B$1048576,2,FALSE)</f>
        <v>COLLAR ANTIPULGAS GATO</v>
      </c>
      <c r="F147" s="7" t="s">
        <v>73</v>
      </c>
      <c r="G147" s="62">
        <v>1.0</v>
      </c>
      <c r="H147" s="51">
        <v>6577.0</v>
      </c>
      <c r="I147" s="8">
        <f t="shared" si="1"/>
        <v>6577</v>
      </c>
    </row>
    <row r="148" ht="15.75" customHeight="1">
      <c r="A148" s="6">
        <v>46108.0</v>
      </c>
      <c r="B148" s="12" t="s">
        <v>194</v>
      </c>
      <c r="C148" s="12" t="s">
        <v>19</v>
      </c>
      <c r="D148" s="12">
        <v>950.0</v>
      </c>
      <c r="E148" s="10" t="str">
        <f>+VLOOKUP(D148,ARTICULO!$A$2:$B$1048576,2,FALSE)</f>
        <v>HUESITO N░ 3</v>
      </c>
      <c r="F148" s="7" t="s">
        <v>73</v>
      </c>
      <c r="G148" s="62">
        <v>2.0</v>
      </c>
      <c r="H148" s="51">
        <v>742.0</v>
      </c>
      <c r="I148" s="8">
        <f t="shared" si="1"/>
        <v>1484</v>
      </c>
    </row>
    <row r="149" ht="15.75" customHeight="1">
      <c r="A149" s="6">
        <v>46108.0</v>
      </c>
      <c r="B149" s="12" t="s">
        <v>194</v>
      </c>
      <c r="C149" s="12" t="s">
        <v>19</v>
      </c>
      <c r="D149" s="12">
        <v>951.0</v>
      </c>
      <c r="E149" s="10" t="str">
        <f>+VLOOKUP(D149,ARTICULO!$A$2:$B$1048576,2,FALSE)</f>
        <v>HUESITO N░ 5</v>
      </c>
      <c r="F149" s="7" t="s">
        <v>73</v>
      </c>
      <c r="G149" s="62">
        <v>2.0</v>
      </c>
      <c r="H149" s="51">
        <v>1451.0</v>
      </c>
      <c r="I149" s="8">
        <f t="shared" si="1"/>
        <v>2902</v>
      </c>
    </row>
    <row r="150" ht="15.75" customHeight="1">
      <c r="A150" s="6">
        <v>46108.0</v>
      </c>
      <c r="B150" s="12" t="s">
        <v>194</v>
      </c>
      <c r="C150" s="12" t="s">
        <v>19</v>
      </c>
      <c r="D150" s="12">
        <v>952.0</v>
      </c>
      <c r="E150" s="10" t="str">
        <f>+VLOOKUP(D150,ARTICULO!$A$2:$B$1048576,2,FALSE)</f>
        <v>HUESITO N░ 7</v>
      </c>
      <c r="F150" s="7" t="s">
        <v>73</v>
      </c>
      <c r="G150" s="62">
        <v>2.0</v>
      </c>
      <c r="H150" s="51">
        <v>2354.0</v>
      </c>
      <c r="I150" s="8">
        <f t="shared" si="1"/>
        <v>4708</v>
      </c>
    </row>
    <row r="151" ht="15.75" customHeight="1">
      <c r="A151" s="6">
        <v>46108.0</v>
      </c>
      <c r="B151" s="12" t="s">
        <v>194</v>
      </c>
      <c r="C151" s="12" t="s">
        <v>19</v>
      </c>
      <c r="D151" s="12">
        <v>936.0</v>
      </c>
      <c r="E151" s="10" t="str">
        <f>+VLOOKUP(D151,ARTICULO!$A$2:$B$1048576,2,FALSE)</f>
        <v>COMEDERO CHICO</v>
      </c>
      <c r="F151" s="7" t="s">
        <v>73</v>
      </c>
      <c r="G151" s="62">
        <v>3.0</v>
      </c>
      <c r="H151" s="51">
        <v>649.0</v>
      </c>
      <c r="I151" s="8">
        <f t="shared" si="1"/>
        <v>1947</v>
      </c>
    </row>
    <row r="152" ht="15.75" customHeight="1">
      <c r="A152" s="6">
        <v>46108.0</v>
      </c>
      <c r="B152" s="12" t="s">
        <v>194</v>
      </c>
      <c r="C152" s="12" t="s">
        <v>19</v>
      </c>
      <c r="D152" s="12">
        <v>937.0</v>
      </c>
      <c r="E152" s="10" t="str">
        <f>+VLOOKUP(D152,ARTICULO!$A$2:$B$1048576,2,FALSE)</f>
        <v>COMEDERO DOBLE</v>
      </c>
      <c r="F152" s="7" t="s">
        <v>73</v>
      </c>
      <c r="G152" s="62">
        <v>3.0</v>
      </c>
      <c r="H152" s="51">
        <v>1944.0</v>
      </c>
      <c r="I152" s="8">
        <f t="shared" si="1"/>
        <v>5832</v>
      </c>
    </row>
    <row r="153" ht="15.75" customHeight="1">
      <c r="A153" s="6">
        <v>46108.0</v>
      </c>
      <c r="B153" s="12" t="s">
        <v>194</v>
      </c>
      <c r="C153" s="12" t="s">
        <v>19</v>
      </c>
      <c r="D153" s="12">
        <v>938.0</v>
      </c>
      <c r="E153" s="10" t="str">
        <f>+VLOOKUP(D153,ARTICULO!$A$2:$B$1048576,2,FALSE)</f>
        <v>COMEDERO GRANDE</v>
      </c>
      <c r="F153" s="7" t="s">
        <v>73</v>
      </c>
      <c r="G153" s="62">
        <v>3.0</v>
      </c>
      <c r="H153" s="51">
        <v>2130.0</v>
      </c>
      <c r="I153" s="8">
        <f t="shared" si="1"/>
        <v>6390</v>
      </c>
    </row>
    <row r="154" ht="15.75" customHeight="1">
      <c r="A154" s="6">
        <v>46108.0</v>
      </c>
      <c r="B154" s="12" t="s">
        <v>194</v>
      </c>
      <c r="C154" s="12" t="s">
        <v>19</v>
      </c>
      <c r="D154" s="12">
        <v>939.0</v>
      </c>
      <c r="E154" s="10" t="str">
        <f>+VLOOKUP(D154,ARTICULO!$A$2:$B$1048576,2,FALSE)</f>
        <v>COMEDERO MEDIANO</v>
      </c>
      <c r="F154" s="7" t="s">
        <v>73</v>
      </c>
      <c r="G154" s="62">
        <v>3.0</v>
      </c>
      <c r="H154" s="51">
        <v>1419.0</v>
      </c>
      <c r="I154" s="8">
        <f t="shared" si="1"/>
        <v>4257</v>
      </c>
    </row>
    <row r="155" ht="15.75" customHeight="1">
      <c r="A155" s="6">
        <v>46108.0</v>
      </c>
      <c r="B155" s="12" t="s">
        <v>200</v>
      </c>
      <c r="C155" s="12" t="s">
        <v>15</v>
      </c>
      <c r="D155" s="12">
        <v>664.0</v>
      </c>
      <c r="E155" s="10" t="str">
        <f>+VLOOKUP(D155,ARTICULO!$A$2:$B$1048576,2,FALSE)</f>
        <v>MANI SALADO X 1 KG X 9U - Mani King</v>
      </c>
      <c r="F155" s="7" t="s">
        <v>73</v>
      </c>
      <c r="G155" s="62">
        <v>1.0</v>
      </c>
      <c r="H155" s="51">
        <v>24300.0</v>
      </c>
      <c r="I155" s="8">
        <f t="shared" si="1"/>
        <v>24300</v>
      </c>
    </row>
    <row r="156" ht="15.75" customHeight="1">
      <c r="A156" s="6">
        <v>46108.0</v>
      </c>
      <c r="B156" s="12" t="s">
        <v>201</v>
      </c>
      <c r="C156" s="12" t="s">
        <v>19</v>
      </c>
      <c r="D156" s="12">
        <v>509.0</v>
      </c>
      <c r="E156" s="10" t="str">
        <f>+VLOOKUP(D156,ARTICULO!$A$2:$B$1048576,2,FALSE)</f>
        <v>COMINO COMUN</v>
      </c>
      <c r="F156" s="12" t="s">
        <v>74</v>
      </c>
      <c r="G156" s="62">
        <v>9.0</v>
      </c>
      <c r="H156" s="51">
        <v>3094.0</v>
      </c>
      <c r="I156" s="8">
        <f t="shared" si="1"/>
        <v>27846</v>
      </c>
    </row>
    <row r="157" ht="15.75" customHeight="1">
      <c r="A157" s="6">
        <v>46109.0</v>
      </c>
      <c r="B157" s="12" t="s">
        <v>103</v>
      </c>
      <c r="C157" s="12" t="s">
        <v>11</v>
      </c>
      <c r="D157" s="12">
        <v>11.0</v>
      </c>
      <c r="E157" s="10" t="str">
        <f>+VLOOKUP(D157,ARTICULO!$A$2:$B$1048576,2,FALSE)</f>
        <v>PAJARO 3 mm x 25 kg - GEPSA</v>
      </c>
      <c r="F157" s="7" t="s">
        <v>31</v>
      </c>
      <c r="G157" s="62">
        <v>2.0</v>
      </c>
      <c r="H157" s="51">
        <v>43698.0</v>
      </c>
      <c r="I157" s="8">
        <f t="shared" si="1"/>
        <v>87396</v>
      </c>
    </row>
    <row r="158" ht="15.75" customHeight="1">
      <c r="A158" s="6">
        <v>46109.0</v>
      </c>
      <c r="B158" s="12" t="s">
        <v>184</v>
      </c>
      <c r="C158" s="12" t="s">
        <v>11</v>
      </c>
      <c r="D158" s="12">
        <v>1949.0</v>
      </c>
      <c r="E158" s="10" t="str">
        <f>+VLOOKUP(D158,ARTICULO!$A$2:$B$1048576,2,FALSE)</f>
        <v>CUCAXAN JERINGA X 6 GR</v>
      </c>
      <c r="F158" s="7" t="s">
        <v>73</v>
      </c>
      <c r="G158" s="12">
        <v>6.0</v>
      </c>
      <c r="H158" s="51">
        <v>3375.0</v>
      </c>
      <c r="I158" s="8">
        <f t="shared" si="1"/>
        <v>20250</v>
      </c>
    </row>
    <row r="159" ht="15.75" customHeight="1">
      <c r="A159" s="6">
        <v>46109.0</v>
      </c>
      <c r="B159" s="12" t="s">
        <v>202</v>
      </c>
      <c r="C159" s="12" t="s">
        <v>11</v>
      </c>
      <c r="D159" s="12">
        <v>478.0</v>
      </c>
      <c r="E159" s="10" t="str">
        <f>+VLOOKUP(D159,ARTICULO!$A$2:$B$1048576,2,FALSE)</f>
        <v>MAIZ QUEBRADO GRUESO X 30 KG</v>
      </c>
      <c r="F159" s="7" t="s">
        <v>73</v>
      </c>
      <c r="G159" s="12">
        <v>3.0</v>
      </c>
      <c r="H159" s="51">
        <v>15553.0</v>
      </c>
      <c r="I159" s="8">
        <f t="shared" si="1"/>
        <v>46659</v>
      </c>
    </row>
    <row r="160" ht="15.75" customHeight="1">
      <c r="A160" s="6">
        <v>46111.0</v>
      </c>
      <c r="B160" s="12" t="s">
        <v>203</v>
      </c>
      <c r="C160" s="12" t="s">
        <v>19</v>
      </c>
      <c r="D160" s="12">
        <v>131.0</v>
      </c>
      <c r="E160" s="10" t="str">
        <f>+VLOOKUP(D160,ARTICULO!$A$2:$B$1048576,2,FALSE)</f>
        <v>GRAN CAMPEON CACHORRO X 10 KG</v>
      </c>
      <c r="F160" s="12" t="s">
        <v>68</v>
      </c>
      <c r="G160" s="12">
        <v>10.0</v>
      </c>
      <c r="H160" s="51">
        <v>15514.0</v>
      </c>
      <c r="I160" s="8">
        <f t="shared" si="1"/>
        <v>155140</v>
      </c>
    </row>
    <row r="161" ht="15.75" customHeight="1">
      <c r="A161" s="6">
        <v>46112.0</v>
      </c>
      <c r="B161" s="12" t="s">
        <v>166</v>
      </c>
      <c r="C161" s="12" t="s">
        <v>11</v>
      </c>
      <c r="D161" s="12">
        <v>703.0</v>
      </c>
      <c r="E161" s="10" t="str">
        <f>+VLOOKUP(D161,ARTICULO!$A$2:$B$1048576,2,FALSE)</f>
        <v>AVENA ARROLLADA</v>
      </c>
      <c r="F161" s="7" t="s">
        <v>73</v>
      </c>
      <c r="G161" s="12">
        <v>5.0</v>
      </c>
      <c r="H161" s="51">
        <v>1737.0</v>
      </c>
      <c r="I161" s="8">
        <f t="shared" si="1"/>
        <v>8685</v>
      </c>
    </row>
    <row r="162" ht="15.75" customHeight="1">
      <c r="A162" s="6">
        <v>46112.0</v>
      </c>
      <c r="B162" s="12" t="s">
        <v>166</v>
      </c>
      <c r="C162" s="12" t="s">
        <v>11</v>
      </c>
      <c r="D162" s="12">
        <v>607.0</v>
      </c>
      <c r="E162" s="10" t="str">
        <f>+VLOOKUP(D162,ARTICULO!$A$2:$B$1048576,2,FALSE)</f>
        <v>HIGOS</v>
      </c>
      <c r="F162" s="7" t="s">
        <v>73</v>
      </c>
      <c r="G162" s="12">
        <v>2.0</v>
      </c>
      <c r="H162" s="51">
        <v>10730.0</v>
      </c>
      <c r="I162" s="8">
        <f t="shared" si="1"/>
        <v>21460</v>
      </c>
    </row>
    <row r="163" ht="15.75" customHeight="1">
      <c r="A163" s="12"/>
      <c r="B163" s="12"/>
      <c r="C163" s="12"/>
      <c r="D163" s="12"/>
      <c r="E163" s="7" t="str">
        <f>+VLOOKUP(D163,ARTICULO!$A$2:$B$1048576,2,FALSE)</f>
        <v>#N/A</v>
      </c>
      <c r="F163" s="12"/>
      <c r="G163" s="12"/>
      <c r="H163" s="12"/>
      <c r="I163" s="8">
        <f t="shared" si="1"/>
        <v>0</v>
      </c>
    </row>
    <row r="164" ht="15.75" customHeight="1">
      <c r="A164" s="12"/>
      <c r="B164" s="12"/>
      <c r="C164" s="12"/>
      <c r="D164" s="12"/>
      <c r="E164" s="7" t="str">
        <f>+VLOOKUP(D164,ARTICULO!$A$2:$B$1048576,2,FALSE)</f>
        <v>#N/A</v>
      </c>
      <c r="F164" s="12"/>
      <c r="G164" s="12"/>
      <c r="H164" s="12"/>
      <c r="I164" s="8">
        <f t="shared" si="1"/>
        <v>0</v>
      </c>
    </row>
    <row r="165" ht="15.75" customHeight="1">
      <c r="A165" s="12"/>
      <c r="B165" s="12"/>
      <c r="C165" s="64"/>
      <c r="D165" s="12" t="s">
        <v>204</v>
      </c>
      <c r="E165" s="7" t="str">
        <f>+VLOOKUP(D165,ARTICULO!$A$2:$B$1048576,2,FALSE)</f>
        <v>#N/A</v>
      </c>
      <c r="F165" s="31"/>
      <c r="G165" s="12"/>
      <c r="H165" s="12"/>
      <c r="I165" s="8">
        <f t="shared" si="1"/>
        <v>0</v>
      </c>
    </row>
    <row r="166" ht="15.75" customHeight="1">
      <c r="A166" s="9"/>
      <c r="B166" s="9"/>
      <c r="C166" s="9"/>
      <c r="D166" s="9"/>
      <c r="E166" s="9"/>
      <c r="F166" s="9"/>
      <c r="G166" s="9"/>
      <c r="H166" s="65" t="s">
        <v>9</v>
      </c>
      <c r="I166" s="66">
        <f>SUM(I3:I165)</f>
        <v>5249445.9</v>
      </c>
    </row>
    <row r="167" ht="15.75" customHeight="1">
      <c r="E167" s="22" t="s">
        <v>66</v>
      </c>
      <c r="F167" s="3"/>
    </row>
    <row r="168" ht="15.75" customHeight="1">
      <c r="E168" s="12" t="s">
        <v>74</v>
      </c>
      <c r="F168" s="51">
        <f>+SUMIF(F3:F165,E168,I3:I165)</f>
        <v>225552</v>
      </c>
    </row>
    <row r="169" ht="15.75" customHeight="1">
      <c r="E169" s="12" t="s">
        <v>92</v>
      </c>
      <c r="F169" s="51">
        <f>+SUMIF(F3:F165,E169,I3:I165)</f>
        <v>242819</v>
      </c>
    </row>
    <row r="170" ht="15.75" customHeight="1">
      <c r="E170" s="12" t="s">
        <v>31</v>
      </c>
      <c r="F170" s="51">
        <f>+SUMIF(F3:F165,E170,I3:I165)</f>
        <v>96381</v>
      </c>
    </row>
    <row r="171" ht="15.75" customHeight="1">
      <c r="E171" s="59" t="s">
        <v>21</v>
      </c>
      <c r="F171" s="51">
        <f>+SUMIF(F3:F165,E171,I3:I165)</f>
        <v>1083233</v>
      </c>
    </row>
    <row r="172" ht="15.75" customHeight="1">
      <c r="E172" s="59" t="s">
        <v>73</v>
      </c>
      <c r="F172" s="51">
        <f>+SUMIF(F3:F165,E172,I3:I165)</f>
        <v>2254330.9</v>
      </c>
    </row>
    <row r="173" ht="15.75" customHeight="1">
      <c r="E173" s="12" t="s">
        <v>68</v>
      </c>
      <c r="F173" s="51">
        <f>+SUMIF(F3:F165,E173,I3:I165)</f>
        <v>1347130</v>
      </c>
    </row>
    <row r="174" ht="15.75" customHeight="1">
      <c r="E174" s="12" t="s">
        <v>69</v>
      </c>
      <c r="F174" s="51">
        <f>+SUMIF(F3:F165,E174,I3:I165)</f>
        <v>0</v>
      </c>
    </row>
    <row r="175" ht="15.75" customHeight="1">
      <c r="E175" s="60" t="s">
        <v>9</v>
      </c>
      <c r="F175" s="61">
        <f>+SUM(F168:F174)</f>
        <v>5249445.9</v>
      </c>
    </row>
    <row r="176" ht="15.75" customHeight="1">
      <c r="E176" s="14"/>
      <c r="F176" s="14"/>
    </row>
    <row r="177" ht="15.75" customHeight="1">
      <c r="E177" s="14"/>
      <c r="F177" s="14"/>
    </row>
    <row r="178" ht="15.75" customHeight="1">
      <c r="E178" s="29" t="s">
        <v>70</v>
      </c>
      <c r="F178" s="30" t="s">
        <v>19</v>
      </c>
    </row>
    <row r="179" ht="15.75" customHeight="1">
      <c r="E179" s="12" t="s">
        <v>74</v>
      </c>
      <c r="F179" s="32">
        <f t="shared" ref="F179:F184" si="2">+SUMIFS($I$3:$I$165,$C$3:$C$165,$F$178,$F$3:$F$165,E179)</f>
        <v>176371</v>
      </c>
    </row>
    <row r="180" ht="15.75" customHeight="1">
      <c r="E180" s="12" t="s">
        <v>92</v>
      </c>
      <c r="F180" s="34">
        <f t="shared" si="2"/>
        <v>242819</v>
      </c>
    </row>
    <row r="181" ht="15.75" customHeight="1">
      <c r="E181" s="12" t="s">
        <v>31</v>
      </c>
      <c r="F181" s="34">
        <f t="shared" si="2"/>
        <v>0</v>
      </c>
    </row>
    <row r="182" ht="15.75" customHeight="1">
      <c r="E182" s="59" t="s">
        <v>21</v>
      </c>
      <c r="F182" s="34">
        <f t="shared" si="2"/>
        <v>0</v>
      </c>
    </row>
    <row r="183" ht="15.75" customHeight="1">
      <c r="E183" s="59" t="s">
        <v>73</v>
      </c>
      <c r="F183" s="34">
        <f t="shared" si="2"/>
        <v>684480</v>
      </c>
    </row>
    <row r="184" ht="15.75" customHeight="1">
      <c r="E184" s="12" t="s">
        <v>68</v>
      </c>
      <c r="F184" s="34">
        <f t="shared" si="2"/>
        <v>940476</v>
      </c>
    </row>
    <row r="185" ht="15.75" customHeight="1">
      <c r="E185" s="37" t="s">
        <v>9</v>
      </c>
      <c r="F185" s="38">
        <f>+SUM(F179:F184)</f>
        <v>2044146</v>
      </c>
    </row>
    <row r="186" ht="15.75" customHeight="1">
      <c r="E186" s="14"/>
      <c r="F186" s="14"/>
    </row>
    <row r="187" ht="15.75" customHeight="1">
      <c r="E187" s="29" t="s">
        <v>70</v>
      </c>
      <c r="F187" s="30" t="s">
        <v>11</v>
      </c>
    </row>
    <row r="188" ht="15.75" customHeight="1">
      <c r="E188" s="12" t="s">
        <v>74</v>
      </c>
      <c r="F188" s="32">
        <f t="shared" ref="F188:F193" si="3">+SUMIFS($I$3:$I$165,$C$3:$C$165,$F$187,$F$3:$F$165,E188)</f>
        <v>23516</v>
      </c>
    </row>
    <row r="189" ht="15.75" customHeight="1">
      <c r="E189" s="12" t="s">
        <v>92</v>
      </c>
      <c r="F189" s="32">
        <f t="shared" si="3"/>
        <v>0</v>
      </c>
    </row>
    <row r="190" ht="15.75" customHeight="1">
      <c r="E190" s="12" t="s">
        <v>31</v>
      </c>
      <c r="F190" s="32">
        <f t="shared" si="3"/>
        <v>96381</v>
      </c>
    </row>
    <row r="191" ht="15.75" customHeight="1">
      <c r="E191" s="59" t="s">
        <v>21</v>
      </c>
      <c r="F191" s="32">
        <f t="shared" si="3"/>
        <v>646866</v>
      </c>
    </row>
    <row r="192" ht="15.75" customHeight="1">
      <c r="E192" s="59" t="s">
        <v>73</v>
      </c>
      <c r="F192" s="32">
        <f t="shared" si="3"/>
        <v>805693.9</v>
      </c>
    </row>
    <row r="193" ht="15.75" customHeight="1">
      <c r="E193" s="12" t="s">
        <v>68</v>
      </c>
      <c r="F193" s="32">
        <f t="shared" si="3"/>
        <v>107400</v>
      </c>
    </row>
    <row r="194" ht="15.75" customHeight="1">
      <c r="E194" s="37" t="s">
        <v>9</v>
      </c>
      <c r="F194" s="40">
        <f>+SUM(F188:F193)</f>
        <v>1679856.9</v>
      </c>
    </row>
    <row r="195" ht="15.75" customHeight="1">
      <c r="E195" s="14"/>
      <c r="F195" s="14"/>
    </row>
    <row r="196" ht="15.75" customHeight="1">
      <c r="E196" s="14"/>
      <c r="F196" s="14"/>
    </row>
    <row r="197" ht="15.75" customHeight="1">
      <c r="E197" s="29" t="s">
        <v>70</v>
      </c>
      <c r="F197" s="30" t="s">
        <v>15</v>
      </c>
    </row>
    <row r="198" ht="15.75" customHeight="1">
      <c r="E198" s="12" t="s">
        <v>74</v>
      </c>
      <c r="F198" s="32">
        <f t="shared" ref="F198:F203" si="4">+SUMIFS($I$3:$I$165,$C$3:$C$165,$F$197,$F$3:$F$165,E198)</f>
        <v>0</v>
      </c>
    </row>
    <row r="199" ht="15.75" customHeight="1">
      <c r="E199" s="12" t="s">
        <v>92</v>
      </c>
      <c r="F199" s="32">
        <f t="shared" si="4"/>
        <v>0</v>
      </c>
    </row>
    <row r="200" ht="15.75" customHeight="1">
      <c r="E200" s="12" t="s">
        <v>31</v>
      </c>
      <c r="F200" s="32">
        <f t="shared" si="4"/>
        <v>0</v>
      </c>
    </row>
    <row r="201" ht="15.75" customHeight="1">
      <c r="E201" s="59" t="s">
        <v>21</v>
      </c>
      <c r="F201" s="32">
        <f t="shared" si="4"/>
        <v>0</v>
      </c>
    </row>
    <row r="202" ht="15.75" customHeight="1">
      <c r="E202" s="59" t="s">
        <v>73</v>
      </c>
      <c r="F202" s="32">
        <f t="shared" si="4"/>
        <v>171010</v>
      </c>
    </row>
    <row r="203" ht="15.75" customHeight="1">
      <c r="E203" s="12" t="s">
        <v>68</v>
      </c>
      <c r="F203" s="32">
        <f t="shared" si="4"/>
        <v>0</v>
      </c>
    </row>
    <row r="204" ht="15.75" customHeight="1">
      <c r="E204" s="37" t="s">
        <v>9</v>
      </c>
      <c r="F204" s="40">
        <f>+SUM(F198:F203)</f>
        <v>171010</v>
      </c>
    </row>
    <row r="205" ht="15.75" customHeight="1">
      <c r="E205" s="14"/>
      <c r="F205" s="14"/>
    </row>
    <row r="206" ht="15.75" customHeight="1">
      <c r="E206" s="14"/>
      <c r="F206" s="14"/>
    </row>
    <row r="207" ht="15.75" customHeight="1">
      <c r="E207" s="29" t="s">
        <v>70</v>
      </c>
      <c r="F207" s="30" t="s">
        <v>17</v>
      </c>
    </row>
    <row r="208" ht="15.75" customHeight="1">
      <c r="E208" s="12" t="s">
        <v>74</v>
      </c>
      <c r="F208" s="32">
        <f t="shared" ref="F208:F213" si="5">+SUMIFS($I$3:$I$165,$C$3:$C$165,$F$207,$F$3:$F$165,E208)</f>
        <v>25665</v>
      </c>
    </row>
    <row r="209" ht="15.75" customHeight="1">
      <c r="E209" s="12" t="s">
        <v>92</v>
      </c>
      <c r="F209" s="32">
        <f t="shared" si="5"/>
        <v>0</v>
      </c>
    </row>
    <row r="210" ht="15.75" customHeight="1">
      <c r="E210" s="12" t="s">
        <v>31</v>
      </c>
      <c r="F210" s="32">
        <f t="shared" si="5"/>
        <v>0</v>
      </c>
    </row>
    <row r="211" ht="15.75" customHeight="1">
      <c r="E211" s="59" t="s">
        <v>21</v>
      </c>
      <c r="F211" s="32">
        <f t="shared" si="5"/>
        <v>436367</v>
      </c>
    </row>
    <row r="212" ht="15.75" customHeight="1">
      <c r="E212" s="59" t="s">
        <v>73</v>
      </c>
      <c r="F212" s="32">
        <f t="shared" si="5"/>
        <v>593147</v>
      </c>
    </row>
    <row r="213" ht="15.75" customHeight="1">
      <c r="E213" s="12" t="s">
        <v>68</v>
      </c>
      <c r="F213" s="32">
        <f t="shared" si="5"/>
        <v>299254</v>
      </c>
    </row>
    <row r="214" ht="15.75" customHeight="1">
      <c r="E214" s="37" t="s">
        <v>9</v>
      </c>
      <c r="F214" s="40">
        <f>+SUM(F208:F213)</f>
        <v>1354433</v>
      </c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E167:F167"/>
  </mergeCells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20.71"/>
    <col customWidth="1" min="3" max="3" width="10.29"/>
    <col customWidth="1" min="4" max="4" width="6.29"/>
    <col customWidth="1" min="5" max="5" width="23.86"/>
    <col customWidth="1" min="6" max="6" width="15.71"/>
    <col customWidth="1" min="7" max="7" width="4.71"/>
    <col customWidth="1" min="8" max="26" width="15.71"/>
  </cols>
  <sheetData>
    <row r="1" ht="27.75" customHeight="1">
      <c r="A1" s="41" t="s">
        <v>205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ht="15.75" customHeight="1">
      <c r="A3" s="49">
        <v>46113.0</v>
      </c>
      <c r="B3" s="7" t="s">
        <v>38</v>
      </c>
      <c r="C3" s="7" t="s">
        <v>19</v>
      </c>
      <c r="D3" s="7">
        <v>723.0</v>
      </c>
      <c r="E3" s="10" t="str">
        <f>+VLOOKUP(D3,ARTICULO!$A$2:$B$1048576,2,FALSE)</f>
        <v>POROTO ALUBIA</v>
      </c>
      <c r="F3" s="59" t="s">
        <v>73</v>
      </c>
      <c r="G3" s="7">
        <v>5.0</v>
      </c>
      <c r="H3" s="47">
        <v>3840.0</v>
      </c>
      <c r="I3" s="8">
        <f t="shared" ref="I3:I146" si="1">SUM(G3*H3)</f>
        <v>19200</v>
      </c>
    </row>
    <row r="4" ht="15.75" customHeight="1">
      <c r="A4" s="49">
        <v>46113.0</v>
      </c>
      <c r="B4" s="7" t="s">
        <v>172</v>
      </c>
      <c r="C4" s="7" t="s">
        <v>19</v>
      </c>
      <c r="D4" s="7">
        <v>724.0</v>
      </c>
      <c r="E4" s="10" t="str">
        <f>+VLOOKUP(D4,ARTICULO!$A$2:$B$1048576,2,FALSE)</f>
        <v>POROTO PALLARES</v>
      </c>
      <c r="F4" s="59" t="s">
        <v>73</v>
      </c>
      <c r="G4" s="7">
        <v>25.0</v>
      </c>
      <c r="H4" s="47">
        <v>5265.0</v>
      </c>
      <c r="I4" s="8">
        <f t="shared" si="1"/>
        <v>131625</v>
      </c>
    </row>
    <row r="5" ht="15.75" customHeight="1">
      <c r="A5" s="49">
        <v>46113.0</v>
      </c>
      <c r="B5" s="7" t="s">
        <v>36</v>
      </c>
      <c r="C5" s="7" t="s">
        <v>15</v>
      </c>
      <c r="D5" s="7">
        <v>685.0</v>
      </c>
      <c r="E5" s="7" t="str">
        <f>+VLOOKUP(D5,ARTICULO!$A$2:$B$1048576,2,FALSE)</f>
        <v>PASTA MANI NATURAL 4KG x 2U-Mani king</v>
      </c>
      <c r="F5" s="59" t="s">
        <v>73</v>
      </c>
      <c r="G5" s="7">
        <v>1.0</v>
      </c>
      <c r="H5" s="47">
        <v>32909.0</v>
      </c>
      <c r="I5" s="8">
        <f t="shared" si="1"/>
        <v>32909</v>
      </c>
    </row>
    <row r="6" ht="15.75" customHeight="1">
      <c r="A6" s="49">
        <v>46113.0</v>
      </c>
      <c r="B6" s="7" t="s">
        <v>28</v>
      </c>
      <c r="C6" s="7" t="s">
        <v>19</v>
      </c>
      <c r="D6" s="7">
        <v>1957.0</v>
      </c>
      <c r="E6" s="10" t="str">
        <f>+VLOOKUP(D6,ARTICULO!$A$2:$B$1048576,2,FALSE)</f>
        <v>BRUMOLINE CEBO X 50 GR</v>
      </c>
      <c r="F6" s="59" t="s">
        <v>73</v>
      </c>
      <c r="G6" s="7">
        <v>48.0</v>
      </c>
      <c r="H6" s="47">
        <v>1652.0</v>
      </c>
      <c r="I6" s="8">
        <f t="shared" si="1"/>
        <v>79296</v>
      </c>
    </row>
    <row r="7" ht="15.75" customHeight="1">
      <c r="A7" s="49">
        <v>46113.0</v>
      </c>
      <c r="B7" s="7" t="s">
        <v>53</v>
      </c>
      <c r="C7" s="7" t="s">
        <v>19</v>
      </c>
      <c r="D7" s="7">
        <v>719.0</v>
      </c>
      <c r="E7" s="10" t="str">
        <f>+VLOOKUP(D7,ARTICULO!$A$2:$B$1048576,2,FALSE)</f>
        <v>MAIZ MOLIDO AMARILLO</v>
      </c>
      <c r="F7" s="7" t="s">
        <v>68</v>
      </c>
      <c r="G7" s="7">
        <v>30.0</v>
      </c>
      <c r="H7" s="47">
        <v>931.0</v>
      </c>
      <c r="I7" s="8">
        <f t="shared" si="1"/>
        <v>27930</v>
      </c>
    </row>
    <row r="8" ht="15.75" customHeight="1">
      <c r="A8" s="49">
        <v>46113.0</v>
      </c>
      <c r="B8" s="7" t="s">
        <v>53</v>
      </c>
      <c r="C8" s="7" t="s">
        <v>19</v>
      </c>
      <c r="D8" s="7">
        <v>721.0</v>
      </c>
      <c r="E8" s="10" t="str">
        <f>+VLOOKUP(D8,ARTICULO!$A$2:$B$1048576,2,FALSE)</f>
        <v>PISINGALLO</v>
      </c>
      <c r="F8" s="7" t="s">
        <v>68</v>
      </c>
      <c r="G8" s="7">
        <v>25.0</v>
      </c>
      <c r="H8" s="47">
        <v>783.0</v>
      </c>
      <c r="I8" s="8">
        <f t="shared" si="1"/>
        <v>19575</v>
      </c>
    </row>
    <row r="9" ht="15.75" customHeight="1">
      <c r="A9" s="49">
        <v>46113.0</v>
      </c>
      <c r="B9" s="7" t="s">
        <v>53</v>
      </c>
      <c r="C9" s="7" t="s">
        <v>19</v>
      </c>
      <c r="D9" s="7">
        <v>703.0</v>
      </c>
      <c r="E9" s="10" t="str">
        <f>+VLOOKUP(D9,ARTICULO!$A$2:$B$1048576,2,FALSE)</f>
        <v>AVENA ARROLLADA</v>
      </c>
      <c r="F9" s="7" t="s">
        <v>68</v>
      </c>
      <c r="G9" s="7">
        <v>10.0</v>
      </c>
      <c r="H9" s="47">
        <v>1505.0</v>
      </c>
      <c r="I9" s="8">
        <f t="shared" si="1"/>
        <v>15050</v>
      </c>
    </row>
    <row r="10" ht="15.75" customHeight="1">
      <c r="A10" s="49">
        <v>46113.0</v>
      </c>
      <c r="B10" s="7" t="s">
        <v>206</v>
      </c>
      <c r="C10" s="7" t="s">
        <v>11</v>
      </c>
      <c r="D10" s="7">
        <v>311.0</v>
      </c>
      <c r="E10" s="10" t="str">
        <f>+VLOOKUP(D10,ARTICULO!$A$2:$B$1048576,2,FALSE)</f>
        <v>ANILLOS FRUTADOS x 2.5 Kg</v>
      </c>
      <c r="F10" s="12" t="s">
        <v>74</v>
      </c>
      <c r="G10" s="7">
        <v>1.0</v>
      </c>
      <c r="H10" s="47">
        <v>14450.0</v>
      </c>
      <c r="I10" s="8">
        <f t="shared" si="1"/>
        <v>14450</v>
      </c>
    </row>
    <row r="11" ht="15.75" customHeight="1">
      <c r="A11" s="49">
        <v>46116.0</v>
      </c>
      <c r="B11" s="7" t="s">
        <v>136</v>
      </c>
      <c r="C11" s="7" t="s">
        <v>19</v>
      </c>
      <c r="D11" s="7">
        <v>722.0</v>
      </c>
      <c r="E11" s="10" t="str">
        <f>+VLOOKUP(D11,ARTICULO!$A$2:$B$1048576,2,FALSE)</f>
        <v>POLENTA</v>
      </c>
      <c r="F11" s="59" t="s">
        <v>73</v>
      </c>
      <c r="G11" s="7">
        <v>50.0</v>
      </c>
      <c r="H11" s="47">
        <v>739.0</v>
      </c>
      <c r="I11" s="8">
        <f t="shared" si="1"/>
        <v>36950</v>
      </c>
    </row>
    <row r="12" ht="15.75" customHeight="1">
      <c r="A12" s="49">
        <v>46116.0</v>
      </c>
      <c r="B12" s="7" t="s">
        <v>128</v>
      </c>
      <c r="C12" s="7" t="s">
        <v>17</v>
      </c>
      <c r="D12" s="7">
        <v>311.0</v>
      </c>
      <c r="E12" s="10" t="str">
        <f>+VLOOKUP(D12,ARTICULO!$A$2:$B$1048576,2,FALSE)</f>
        <v>ANILLOS FRUTADOS x 2.5 Kg</v>
      </c>
      <c r="F12" s="7" t="s">
        <v>207</v>
      </c>
      <c r="G12" s="7">
        <v>1.0</v>
      </c>
      <c r="H12" s="47">
        <v>12027.0</v>
      </c>
      <c r="I12" s="8">
        <f t="shared" si="1"/>
        <v>12027</v>
      </c>
    </row>
    <row r="13" ht="15.75" customHeight="1">
      <c r="A13" s="49">
        <v>46116.0</v>
      </c>
      <c r="B13" s="7" t="s">
        <v>128</v>
      </c>
      <c r="C13" s="7" t="s">
        <v>17</v>
      </c>
      <c r="D13" s="7">
        <v>352.0</v>
      </c>
      <c r="E13" s="10" t="str">
        <f>+VLOOKUP(D13,ARTICULO!$A$2:$B$1048576,2,FALSE)</f>
        <v>GRANOLA x 1.5 kg</v>
      </c>
      <c r="F13" s="12" t="s">
        <v>74</v>
      </c>
      <c r="G13" s="7">
        <v>1.0</v>
      </c>
      <c r="H13" s="47">
        <v>11192.0</v>
      </c>
      <c r="I13" s="8">
        <f t="shared" si="1"/>
        <v>11192</v>
      </c>
    </row>
    <row r="14" ht="15.75" customHeight="1">
      <c r="A14" s="49">
        <v>46119.0</v>
      </c>
      <c r="B14" s="7" t="s">
        <v>208</v>
      </c>
      <c r="C14" s="7" t="s">
        <v>11</v>
      </c>
      <c r="D14" s="7">
        <v>717.0</v>
      </c>
      <c r="E14" s="10" t="str">
        <f>+VLOOKUP(D14,ARTICULO!$A$2:$B$1048576,2,FALSE)</f>
        <v>LENTEJA</v>
      </c>
      <c r="F14" s="59" t="s">
        <v>73</v>
      </c>
      <c r="G14" s="7">
        <v>10.0</v>
      </c>
      <c r="H14" s="47">
        <v>2245.0</v>
      </c>
      <c r="I14" s="8">
        <f t="shared" si="1"/>
        <v>22450</v>
      </c>
    </row>
    <row r="15" ht="15.75" customHeight="1">
      <c r="A15" s="49">
        <v>46119.0</v>
      </c>
      <c r="B15" s="7" t="s">
        <v>165</v>
      </c>
      <c r="C15" s="7" t="s">
        <v>11</v>
      </c>
      <c r="D15" s="7">
        <v>123.0</v>
      </c>
      <c r="E15" s="10" t="str">
        <f>+VLOOKUP(D15,ARTICULO!$A$2:$B$1048576,2,FALSE)</f>
        <v>DS CRIADORES ADULTO X 21 KG</v>
      </c>
      <c r="F15" s="59" t="s">
        <v>73</v>
      </c>
      <c r="G15" s="7">
        <v>1.0</v>
      </c>
      <c r="H15" s="47">
        <v>34255.0</v>
      </c>
      <c r="I15" s="8">
        <f t="shared" si="1"/>
        <v>34255</v>
      </c>
    </row>
    <row r="16" ht="15.75" customHeight="1">
      <c r="A16" s="49">
        <v>46119.0</v>
      </c>
      <c r="B16" s="7" t="s">
        <v>209</v>
      </c>
      <c r="C16" s="7" t="s">
        <v>17</v>
      </c>
      <c r="D16" s="7">
        <v>816.0</v>
      </c>
      <c r="E16" s="10" t="str">
        <f>+VLOOKUP(D16,ARTICULO!$A$2:$B$1048576,2,FALSE)</f>
        <v>BEBEDERO TAPADO</v>
      </c>
      <c r="F16" s="59" t="s">
        <v>73</v>
      </c>
      <c r="G16" s="7">
        <v>10.0</v>
      </c>
      <c r="H16" s="47">
        <v>616.0</v>
      </c>
      <c r="I16" s="8">
        <f t="shared" si="1"/>
        <v>6160</v>
      </c>
    </row>
    <row r="17" ht="15.75" customHeight="1">
      <c r="A17" s="49">
        <v>46119.0</v>
      </c>
      <c r="B17" s="7" t="s">
        <v>210</v>
      </c>
      <c r="C17" s="7" t="s">
        <v>17</v>
      </c>
      <c r="D17" s="7">
        <v>10672.0</v>
      </c>
      <c r="E17" s="10" t="str">
        <f>+VLOOKUP(D17,ARTICULO!$A$2:$B$1048576,2,FALSE)</f>
        <v>MANI TOSTADO SALADO X KG - Mani king</v>
      </c>
      <c r="F17" s="59" t="s">
        <v>73</v>
      </c>
      <c r="G17" s="7">
        <v>2.0</v>
      </c>
      <c r="H17" s="47">
        <v>4666.0</v>
      </c>
      <c r="I17" s="8">
        <f t="shared" si="1"/>
        <v>9332</v>
      </c>
    </row>
    <row r="18" ht="15.75" customHeight="1">
      <c r="A18" s="49">
        <v>46120.0</v>
      </c>
      <c r="B18" s="7" t="s">
        <v>55</v>
      </c>
      <c r="C18" s="7" t="s">
        <v>15</v>
      </c>
      <c r="D18" s="7">
        <v>451.0</v>
      </c>
      <c r="E18" s="10" t="str">
        <f>+VLOOKUP(D18,ARTICULO!$A$2:$B$1048576,2,FALSE)</f>
        <v>AFRECHO</v>
      </c>
      <c r="F18" s="33" t="s">
        <v>67</v>
      </c>
      <c r="G18" s="7">
        <v>4.0</v>
      </c>
      <c r="H18" s="47">
        <v>11370.0</v>
      </c>
      <c r="I18" s="8">
        <f t="shared" si="1"/>
        <v>45480</v>
      </c>
    </row>
    <row r="19" ht="15.75" customHeight="1">
      <c r="A19" s="49">
        <v>46120.0</v>
      </c>
      <c r="B19" s="7" t="s">
        <v>83</v>
      </c>
      <c r="C19" s="7" t="s">
        <v>11</v>
      </c>
      <c r="D19" s="7">
        <v>716.0</v>
      </c>
      <c r="E19" s="10" t="str">
        <f>+VLOOKUP(D19,ARTICULO!$A$2:$B$1048576,2,FALSE)</f>
        <v>HARINA P/TAMALES</v>
      </c>
      <c r="F19" s="59" t="s">
        <v>73</v>
      </c>
      <c r="G19" s="7">
        <v>40.0</v>
      </c>
      <c r="H19" s="47">
        <v>577.0</v>
      </c>
      <c r="I19" s="8">
        <f t="shared" si="1"/>
        <v>23080</v>
      </c>
    </row>
    <row r="20" ht="15.75" customHeight="1">
      <c r="A20" s="49">
        <v>46120.0</v>
      </c>
      <c r="B20" s="7" t="s">
        <v>178</v>
      </c>
      <c r="C20" s="7" t="s">
        <v>17</v>
      </c>
      <c r="D20" s="7">
        <v>612.0</v>
      </c>
      <c r="E20" s="10" t="str">
        <f>+VLOOKUP(D20,ARTICULO!$A$2:$B$1048576,2,FALSE)</f>
        <v>NUEZ PELADA AMBAR</v>
      </c>
      <c r="F20" s="59" t="s">
        <v>73</v>
      </c>
      <c r="G20" s="7">
        <v>1.0</v>
      </c>
      <c r="H20" s="47">
        <v>18765.0</v>
      </c>
      <c r="I20" s="8">
        <f t="shared" si="1"/>
        <v>18765</v>
      </c>
    </row>
    <row r="21" ht="15.75" customHeight="1">
      <c r="A21" s="49">
        <v>46121.0</v>
      </c>
      <c r="B21" s="7" t="s">
        <v>115</v>
      </c>
      <c r="C21" s="7" t="s">
        <v>19</v>
      </c>
      <c r="D21" s="7">
        <v>231.0</v>
      </c>
      <c r="E21" s="10" t="str">
        <f>+VLOOKUP(D21,ARTICULO!$A$2:$B$1048576,2,FALSE)</f>
        <v>EXACT PREMIUM CACHORRO X15KG</v>
      </c>
      <c r="F21" s="59" t="s">
        <v>73</v>
      </c>
      <c r="G21" s="7">
        <v>5.0</v>
      </c>
      <c r="H21" s="47">
        <v>19230.0</v>
      </c>
      <c r="I21" s="8">
        <f t="shared" si="1"/>
        <v>96150</v>
      </c>
    </row>
    <row r="22" ht="15.75" customHeight="1">
      <c r="A22" s="49">
        <v>46121.0</v>
      </c>
      <c r="B22" s="7" t="s">
        <v>211</v>
      </c>
      <c r="C22" s="7" t="s">
        <v>17</v>
      </c>
      <c r="D22" s="7">
        <v>716.0</v>
      </c>
      <c r="E22" s="10" t="str">
        <f>+VLOOKUP(D22,ARTICULO!$A$2:$B$1048576,2,FALSE)</f>
        <v>HARINA P/TAMALES</v>
      </c>
      <c r="F22" s="59" t="s">
        <v>73</v>
      </c>
      <c r="G22" s="7">
        <v>40.0</v>
      </c>
      <c r="H22" s="47">
        <v>616.0</v>
      </c>
      <c r="I22" s="8">
        <f t="shared" si="1"/>
        <v>24640</v>
      </c>
    </row>
    <row r="23" ht="15.75" customHeight="1">
      <c r="A23" s="49">
        <v>46121.0</v>
      </c>
      <c r="B23" s="7" t="s">
        <v>211</v>
      </c>
      <c r="C23" s="7" t="s">
        <v>17</v>
      </c>
      <c r="D23" s="7">
        <v>330.0</v>
      </c>
      <c r="E23" s="10" t="str">
        <f>+VLOOKUP(D23,ARTICULO!$A$2:$B$1048576,2,FALSE)</f>
        <v>CEREAL CON AZUCAR x 2.5 Kg</v>
      </c>
      <c r="F23" s="7" t="s">
        <v>207</v>
      </c>
      <c r="G23" s="7">
        <v>1.0</v>
      </c>
      <c r="H23" s="47">
        <v>10425.0</v>
      </c>
      <c r="I23" s="8">
        <f t="shared" si="1"/>
        <v>10425</v>
      </c>
    </row>
    <row r="24" ht="15.75" customHeight="1">
      <c r="A24" s="49">
        <v>46121.0</v>
      </c>
      <c r="B24" s="7" t="s">
        <v>212</v>
      </c>
      <c r="C24" s="7" t="s">
        <v>19</v>
      </c>
      <c r="D24" s="7">
        <v>527.0</v>
      </c>
      <c r="E24" s="10" t="str">
        <f>+VLOOKUP(D24,ARTICULO!$A$2:$B$1048576,2,FALSE)</f>
        <v>PIMIENTA BLANCA</v>
      </c>
      <c r="F24" s="12" t="s">
        <v>74</v>
      </c>
      <c r="G24" s="7">
        <v>5.0</v>
      </c>
      <c r="H24" s="47">
        <v>2077.0</v>
      </c>
      <c r="I24" s="8">
        <f t="shared" si="1"/>
        <v>10385</v>
      </c>
    </row>
    <row r="25" ht="15.75" customHeight="1">
      <c r="A25" s="49">
        <v>46121.0</v>
      </c>
      <c r="B25" s="7" t="s">
        <v>213</v>
      </c>
      <c r="C25" s="7" t="s">
        <v>19</v>
      </c>
      <c r="D25" s="7">
        <v>400.0</v>
      </c>
      <c r="E25" s="10" t="str">
        <f>+VLOOKUP(D25,ARTICULO!$A$2:$B$1048576,2,FALSE)</f>
        <v>ALPISTE</v>
      </c>
      <c r="F25" s="12" t="s">
        <v>74</v>
      </c>
      <c r="G25" s="7">
        <v>5.0</v>
      </c>
      <c r="H25" s="47">
        <v>1200.0</v>
      </c>
      <c r="I25" s="8">
        <f t="shared" si="1"/>
        <v>6000</v>
      </c>
    </row>
    <row r="26" ht="15.75" customHeight="1">
      <c r="A26" s="49">
        <v>46122.0</v>
      </c>
      <c r="B26" s="7" t="s">
        <v>192</v>
      </c>
      <c r="C26" s="7" t="s">
        <v>19</v>
      </c>
      <c r="D26" s="7">
        <v>351.0</v>
      </c>
      <c r="E26" s="10" t="str">
        <f>+VLOOKUP(D26,ARTICULO!$A$2:$B$1048576,2,FALSE)</f>
        <v>GRANOLA MIX X 1 KG</v>
      </c>
      <c r="F26" s="7" t="s">
        <v>207</v>
      </c>
      <c r="G26" s="7">
        <v>2.0</v>
      </c>
      <c r="H26" s="47">
        <v>6637.0</v>
      </c>
      <c r="I26" s="8">
        <f t="shared" si="1"/>
        <v>13274</v>
      </c>
    </row>
    <row r="27" ht="15.75" customHeight="1">
      <c r="A27" s="49">
        <v>46122.0</v>
      </c>
      <c r="B27" s="7" t="s">
        <v>32</v>
      </c>
      <c r="C27" s="7" t="s">
        <v>17</v>
      </c>
      <c r="D27" s="7">
        <v>650.0</v>
      </c>
      <c r="E27" s="10" t="str">
        <f>+VLOOKUP(D27,ARTICULO!$A$2:$B$1048576,2,FALSE)</f>
        <v>MANI C/ CHOCOLATE</v>
      </c>
      <c r="F27" s="59" t="s">
        <v>73</v>
      </c>
      <c r="G27" s="7">
        <v>2.0</v>
      </c>
      <c r="H27" s="47">
        <v>8627.0</v>
      </c>
      <c r="I27" s="8">
        <f t="shared" si="1"/>
        <v>17254</v>
      </c>
    </row>
    <row r="28" ht="15.75" customHeight="1">
      <c r="A28" s="67">
        <v>46122.0</v>
      </c>
      <c r="B28" s="7" t="s">
        <v>32</v>
      </c>
      <c r="C28" s="7" t="s">
        <v>17</v>
      </c>
      <c r="D28" s="7">
        <v>721.0</v>
      </c>
      <c r="E28" s="10" t="str">
        <f>+VLOOKUP(D28,ARTICULO!$A$2:$B$1048576,2,FALSE)</f>
        <v>PISINGALLO</v>
      </c>
      <c r="F28" s="59" t="s">
        <v>73</v>
      </c>
      <c r="G28" s="7">
        <v>10.0</v>
      </c>
      <c r="H28" s="47">
        <v>852.0</v>
      </c>
      <c r="I28" s="8">
        <f t="shared" si="1"/>
        <v>8520</v>
      </c>
    </row>
    <row r="29" ht="15.75" customHeight="1">
      <c r="A29" s="49">
        <v>46122.0</v>
      </c>
      <c r="B29" s="7" t="s">
        <v>193</v>
      </c>
      <c r="C29" s="7" t="s">
        <v>19</v>
      </c>
      <c r="D29" s="7">
        <v>662.0</v>
      </c>
      <c r="E29" s="10" t="str">
        <f>+VLOOKUP(D29,ARTICULO!$A$2:$B$1048576,2,FALSE)</f>
        <v>PASTA DE MANI ORIGINAL X 350GR X 12U- Mani king</v>
      </c>
      <c r="F29" s="59" t="s">
        <v>73</v>
      </c>
      <c r="G29" s="7">
        <v>2.0</v>
      </c>
      <c r="H29" s="47">
        <v>24527.0</v>
      </c>
      <c r="I29" s="8">
        <f t="shared" si="1"/>
        <v>49054</v>
      </c>
    </row>
    <row r="30" ht="15.75" customHeight="1">
      <c r="A30" s="49">
        <v>46122.0</v>
      </c>
      <c r="B30" s="7" t="s">
        <v>193</v>
      </c>
      <c r="C30" s="7" t="s">
        <v>19</v>
      </c>
      <c r="D30" s="7">
        <v>10670.0</v>
      </c>
      <c r="E30" s="10" t="str">
        <f>+VLOOKUP(D30,ARTICULO!$A$2:$B$1048576,2,FALSE)</f>
        <v>MANI TOSTADO KING X KG</v>
      </c>
      <c r="F30" s="59" t="s">
        <v>73</v>
      </c>
      <c r="G30" s="7">
        <v>10.0</v>
      </c>
      <c r="H30" s="47">
        <v>4046.0</v>
      </c>
      <c r="I30" s="8">
        <f t="shared" si="1"/>
        <v>40460</v>
      </c>
    </row>
    <row r="31" ht="15.75" customHeight="1">
      <c r="A31" s="49">
        <v>46122.0</v>
      </c>
      <c r="B31" s="7" t="s">
        <v>214</v>
      </c>
      <c r="C31" s="7" t="s">
        <v>11</v>
      </c>
      <c r="D31" s="7">
        <v>482.0</v>
      </c>
      <c r="E31" s="10" t="str">
        <f>+VLOOKUP(D31,ARTICULO!$A$2:$B$1048576,2,FALSE)</f>
        <v>MEZCLA FINA ESPECIAL (CARDENAL)</v>
      </c>
      <c r="F31" s="59" t="s">
        <v>73</v>
      </c>
      <c r="G31" s="7">
        <v>5.0</v>
      </c>
      <c r="H31" s="47">
        <v>846.0</v>
      </c>
      <c r="I31" s="8">
        <f t="shared" si="1"/>
        <v>4230</v>
      </c>
    </row>
    <row r="32" ht="15.75" customHeight="1">
      <c r="A32" s="49">
        <v>46122.0</v>
      </c>
      <c r="B32" s="7" t="s">
        <v>215</v>
      </c>
      <c r="C32" s="7" t="s">
        <v>19</v>
      </c>
      <c r="D32" s="7">
        <v>234.0</v>
      </c>
      <c r="E32" s="10" t="str">
        <f>+VLOOKUP(D32,ARTICULO!$A$2:$B$1048576,2,FALSE)</f>
        <v>EXACT CRIADORES ADULTO X21</v>
      </c>
      <c r="F32" s="59" t="s">
        <v>73</v>
      </c>
      <c r="G32" s="7">
        <v>2.0</v>
      </c>
      <c r="H32" s="47">
        <v>18410.0</v>
      </c>
      <c r="I32" s="8">
        <f t="shared" si="1"/>
        <v>36820</v>
      </c>
    </row>
    <row r="33" ht="15.75" customHeight="1">
      <c r="A33" s="49">
        <v>46122.0</v>
      </c>
      <c r="B33" s="7" t="s">
        <v>95</v>
      </c>
      <c r="C33" s="7" t="s">
        <v>19</v>
      </c>
      <c r="D33" s="7">
        <v>10672.0</v>
      </c>
      <c r="E33" s="10" t="str">
        <f>+VLOOKUP(D33,ARTICULO!$A$2:$B$1048576,2,FALSE)</f>
        <v>MANI TOSTADO SALADO X KG - Mani king</v>
      </c>
      <c r="F33" s="59" t="s">
        <v>73</v>
      </c>
      <c r="G33" s="7">
        <v>5.0</v>
      </c>
      <c r="H33" s="47">
        <v>4047.0</v>
      </c>
      <c r="I33" s="8">
        <f t="shared" si="1"/>
        <v>20235</v>
      </c>
    </row>
    <row r="34" ht="15.75" customHeight="1">
      <c r="A34" s="49">
        <v>46122.0</v>
      </c>
      <c r="B34" s="7" t="s">
        <v>95</v>
      </c>
      <c r="C34" s="7" t="s">
        <v>19</v>
      </c>
      <c r="D34" s="7">
        <v>650.0</v>
      </c>
      <c r="E34" s="10" t="str">
        <f>+VLOOKUP(D34,ARTICULO!$A$2:$B$1048576,2,FALSE)</f>
        <v>MANI C/ CHOCOLATE</v>
      </c>
      <c r="F34" s="7" t="s">
        <v>207</v>
      </c>
      <c r="G34" s="7">
        <v>6.0</v>
      </c>
      <c r="H34" s="47">
        <v>8027.0</v>
      </c>
      <c r="I34" s="8">
        <f t="shared" si="1"/>
        <v>48162</v>
      </c>
    </row>
    <row r="35" ht="15.75" customHeight="1">
      <c r="A35" s="49">
        <v>46122.0</v>
      </c>
      <c r="B35" s="7" t="s">
        <v>216</v>
      </c>
      <c r="C35" s="7" t="s">
        <v>19</v>
      </c>
      <c r="D35" s="7">
        <v>650.0</v>
      </c>
      <c r="E35" s="10" t="str">
        <f>+VLOOKUP(D35,ARTICULO!$A$2:$B$1048576,2,FALSE)</f>
        <v>MANI C/ CHOCOLATE</v>
      </c>
      <c r="F35" s="7" t="s">
        <v>207</v>
      </c>
      <c r="G35" s="7">
        <v>7.0</v>
      </c>
      <c r="H35" s="51">
        <v>8627.0</v>
      </c>
      <c r="I35" s="51">
        <f t="shared" si="1"/>
        <v>60389</v>
      </c>
    </row>
    <row r="36" ht="15.75" customHeight="1">
      <c r="A36" s="49">
        <v>46123.0</v>
      </c>
      <c r="B36" s="7" t="s">
        <v>20</v>
      </c>
      <c r="C36" s="7" t="s">
        <v>11</v>
      </c>
      <c r="D36" s="7">
        <v>482.0</v>
      </c>
      <c r="E36" s="10" t="str">
        <f>+VLOOKUP(D36,ARTICULO!$A$2:$B$1048576,2,FALSE)</f>
        <v>MEZCLA FINA ESPECIAL (CARDENAL)</v>
      </c>
      <c r="F36" s="7" t="s">
        <v>21</v>
      </c>
      <c r="G36" s="7">
        <v>30.0</v>
      </c>
      <c r="H36" s="51">
        <v>793.0</v>
      </c>
      <c r="I36" s="51">
        <f t="shared" si="1"/>
        <v>23790</v>
      </c>
    </row>
    <row r="37" ht="15.75" customHeight="1">
      <c r="A37" s="49">
        <v>46123.0</v>
      </c>
      <c r="B37" s="7" t="s">
        <v>20</v>
      </c>
      <c r="C37" s="7" t="s">
        <v>11</v>
      </c>
      <c r="D37" s="7">
        <v>720.0</v>
      </c>
      <c r="E37" s="10" t="str">
        <f>+VLOOKUP(D37,ARTICULO!$A$2:$B$1048576,2,FALSE)</f>
        <v>MAIZ MOLIDO BLANCO</v>
      </c>
      <c r="F37" s="7" t="s">
        <v>21</v>
      </c>
      <c r="G37" s="7">
        <v>10.0</v>
      </c>
      <c r="H37" s="47">
        <v>1661.0</v>
      </c>
      <c r="I37" s="51">
        <f t="shared" si="1"/>
        <v>16610</v>
      </c>
    </row>
    <row r="38" ht="15.75" customHeight="1">
      <c r="A38" s="49">
        <v>46123.0</v>
      </c>
      <c r="B38" s="7" t="s">
        <v>20</v>
      </c>
      <c r="C38" s="7" t="s">
        <v>11</v>
      </c>
      <c r="D38" s="7">
        <v>723.0</v>
      </c>
      <c r="E38" s="10" t="str">
        <f>+VLOOKUP(D38,ARTICULO!$A$2:$B$1048576,2,FALSE)</f>
        <v>POROTO ALUBIA</v>
      </c>
      <c r="F38" s="7" t="s">
        <v>21</v>
      </c>
      <c r="G38" s="7">
        <v>10.0</v>
      </c>
      <c r="H38" s="47">
        <v>2730.0</v>
      </c>
      <c r="I38" s="51">
        <f t="shared" si="1"/>
        <v>27300</v>
      </c>
    </row>
    <row r="39" ht="15.75" customHeight="1">
      <c r="A39" s="49">
        <v>46125.0</v>
      </c>
      <c r="B39" s="7" t="s">
        <v>217</v>
      </c>
      <c r="C39" s="7" t="s">
        <v>19</v>
      </c>
      <c r="D39" s="7">
        <v>723.0</v>
      </c>
      <c r="E39" s="10" t="str">
        <f>+VLOOKUP(D39,ARTICULO!$A$2:$B$1048576,2,FALSE)</f>
        <v>POROTO ALUBIA</v>
      </c>
      <c r="F39" s="59" t="s">
        <v>73</v>
      </c>
      <c r="G39" s="7">
        <v>10.0</v>
      </c>
      <c r="H39" s="47">
        <v>3840.0</v>
      </c>
      <c r="I39" s="51">
        <f t="shared" si="1"/>
        <v>38400</v>
      </c>
    </row>
    <row r="40" ht="15.75" customHeight="1">
      <c r="A40" s="49">
        <v>46125.0</v>
      </c>
      <c r="B40" s="7" t="s">
        <v>48</v>
      </c>
      <c r="C40" s="7" t="s">
        <v>19</v>
      </c>
      <c r="D40" s="7">
        <v>966.0</v>
      </c>
      <c r="E40" s="10" t="str">
        <f>+VLOOKUP(D40,ARTICULO!$A$2:$B$1048576,2,FALSE)</f>
        <v>PIPETA MEDIANA</v>
      </c>
      <c r="F40" s="59" t="s">
        <v>73</v>
      </c>
      <c r="G40" s="7">
        <v>7.0</v>
      </c>
      <c r="H40" s="47">
        <v>3060.0</v>
      </c>
      <c r="I40" s="51">
        <f t="shared" si="1"/>
        <v>21420</v>
      </c>
    </row>
    <row r="41" ht="15.75" customHeight="1">
      <c r="A41" s="49">
        <v>46125.0</v>
      </c>
      <c r="B41" s="7" t="s">
        <v>185</v>
      </c>
      <c r="C41" s="7" t="s">
        <v>11</v>
      </c>
      <c r="D41" s="7">
        <v>476.0</v>
      </c>
      <c r="E41" s="10" t="str">
        <f>+VLOOKUP(D41,ARTICULO!$A$2:$B$1048576,2,FALSE)</f>
        <v>MAIZ QUEBRADO FINO X 30 KG</v>
      </c>
      <c r="F41" s="59" t="s">
        <v>73</v>
      </c>
      <c r="G41" s="7">
        <v>1.0</v>
      </c>
      <c r="H41" s="47">
        <v>17000.0</v>
      </c>
      <c r="I41" s="51">
        <f t="shared" si="1"/>
        <v>17000</v>
      </c>
    </row>
    <row r="42" ht="15.75" customHeight="1">
      <c r="A42" s="49">
        <v>46126.0</v>
      </c>
      <c r="B42" s="7" t="s">
        <v>218</v>
      </c>
      <c r="C42" s="7" t="s">
        <v>11</v>
      </c>
      <c r="D42" s="7">
        <v>1140.0</v>
      </c>
      <c r="E42" s="10" t="str">
        <f>+VLOOKUP(D42,ARTICULO!$A$2:$B$1048576,2,FALSE)</f>
        <v>JARDINERA N░ 40</v>
      </c>
      <c r="F42" s="59" t="s">
        <v>73</v>
      </c>
      <c r="G42" s="7">
        <v>3.0</v>
      </c>
      <c r="H42" s="47">
        <v>3154.0</v>
      </c>
      <c r="I42" s="51">
        <f t="shared" si="1"/>
        <v>9462</v>
      </c>
    </row>
    <row r="43" ht="15.75" customHeight="1">
      <c r="A43" s="49">
        <v>46126.0</v>
      </c>
      <c r="B43" s="7" t="s">
        <v>219</v>
      </c>
      <c r="C43" s="7" t="s">
        <v>17</v>
      </c>
      <c r="D43" s="7">
        <v>400.0</v>
      </c>
      <c r="E43" s="10" t="str">
        <f>+VLOOKUP(D43,ARTICULO!$A$2:$B$1048576,2,FALSE)</f>
        <v>ALPISTE</v>
      </c>
      <c r="F43" s="59" t="s">
        <v>73</v>
      </c>
      <c r="G43" s="7">
        <v>5.0</v>
      </c>
      <c r="H43" s="47">
        <v>1200.0</v>
      </c>
      <c r="I43" s="51">
        <f t="shared" si="1"/>
        <v>6000</v>
      </c>
    </row>
    <row r="44" ht="15.75" customHeight="1">
      <c r="A44" s="49">
        <v>46127.0</v>
      </c>
      <c r="B44" s="7" t="s">
        <v>83</v>
      </c>
      <c r="C44" s="7" t="s">
        <v>11</v>
      </c>
      <c r="D44" s="7">
        <v>232.0</v>
      </c>
      <c r="E44" s="7" t="str">
        <f>+VLOOKUP(D44,ARTICULO!$A$2:$B$1048576,2,FALSE)</f>
        <v>EXACT PREMIUM ADULTO X 18K</v>
      </c>
      <c r="F44" s="59" t="s">
        <v>73</v>
      </c>
      <c r="G44" s="7">
        <v>3.0</v>
      </c>
      <c r="H44" s="47">
        <v>24102.0</v>
      </c>
      <c r="I44" s="51">
        <f t="shared" si="1"/>
        <v>72306</v>
      </c>
    </row>
    <row r="45" ht="15.75" customHeight="1">
      <c r="A45" s="49">
        <v>46127.0</v>
      </c>
      <c r="B45" s="7" t="s">
        <v>110</v>
      </c>
      <c r="C45" s="7" t="s">
        <v>11</v>
      </c>
      <c r="D45" s="7">
        <v>119.0</v>
      </c>
      <c r="E45" s="7" t="str">
        <f>+VLOOKUP(D45,ARTICULO!$A$2:$B$1048576,2,FALSE)</f>
        <v>TIERNITO GATITO X10KG</v>
      </c>
      <c r="F45" s="59" t="s">
        <v>73</v>
      </c>
      <c r="G45" s="7">
        <v>1.0</v>
      </c>
      <c r="H45" s="47">
        <v>24522.0</v>
      </c>
      <c r="I45" s="51">
        <f t="shared" si="1"/>
        <v>24522</v>
      </c>
    </row>
    <row r="46" ht="15.75" customHeight="1">
      <c r="A46" s="49">
        <v>46127.0</v>
      </c>
      <c r="B46" s="7" t="s">
        <v>168</v>
      </c>
      <c r="C46" s="7" t="s">
        <v>17</v>
      </c>
      <c r="D46" s="7">
        <v>522.0</v>
      </c>
      <c r="E46" s="10" t="str">
        <f>+VLOOKUP(D46,ARTICULO!$A$2:$B$1048576,2,FALSE)</f>
        <v>PROVENZAL PREMIUM</v>
      </c>
      <c r="F46" s="59" t="s">
        <v>73</v>
      </c>
      <c r="G46" s="7">
        <v>5.0</v>
      </c>
      <c r="H46" s="47">
        <v>4000.0</v>
      </c>
      <c r="I46" s="51">
        <f t="shared" si="1"/>
        <v>20000</v>
      </c>
    </row>
    <row r="47" ht="15.75" customHeight="1">
      <c r="A47" s="49">
        <v>46127.0</v>
      </c>
      <c r="B47" s="7" t="s">
        <v>220</v>
      </c>
      <c r="C47" s="7" t="s">
        <v>15</v>
      </c>
      <c r="D47" s="7">
        <v>400.0</v>
      </c>
      <c r="E47" s="10" t="str">
        <f>+VLOOKUP(D47,ARTICULO!$A$2:$B$1048576,2,FALSE)</f>
        <v>ALPISTE</v>
      </c>
      <c r="F47" s="59" t="s">
        <v>73</v>
      </c>
      <c r="G47" s="7">
        <v>30.0</v>
      </c>
      <c r="H47" s="47">
        <v>1080.0</v>
      </c>
      <c r="I47" s="51">
        <f t="shared" si="1"/>
        <v>32400</v>
      </c>
    </row>
    <row r="48" ht="15.75" customHeight="1">
      <c r="A48" s="49">
        <v>46127.0</v>
      </c>
      <c r="B48" s="7" t="s">
        <v>55</v>
      </c>
      <c r="C48" s="7" t="s">
        <v>15</v>
      </c>
      <c r="D48" s="7">
        <v>477.0</v>
      </c>
      <c r="E48" s="10" t="str">
        <f>+VLOOKUP(D48,ARTICULO!$A$2:$B$1048576,2,FALSE)</f>
        <v>MAIZ QUEBRADO MEDIANO X 30 KG</v>
      </c>
      <c r="F48" s="59" t="s">
        <v>73</v>
      </c>
      <c r="G48" s="7">
        <v>1.0</v>
      </c>
      <c r="H48" s="47">
        <v>14450.0</v>
      </c>
      <c r="I48" s="51">
        <f t="shared" si="1"/>
        <v>14450</v>
      </c>
    </row>
    <row r="49" ht="15.75" customHeight="1">
      <c r="A49" s="49">
        <v>46127.0</v>
      </c>
      <c r="B49" s="7" t="s">
        <v>55</v>
      </c>
      <c r="C49" s="7" t="s">
        <v>15</v>
      </c>
      <c r="D49" s="7">
        <v>478.0</v>
      </c>
      <c r="E49" s="10" t="str">
        <f>+VLOOKUP(D49,ARTICULO!$A$2:$B$1048576,2,FALSE)</f>
        <v>MAIZ QUEBRADO GRUESO X 30 KG</v>
      </c>
      <c r="F49" s="59" t="s">
        <v>73</v>
      </c>
      <c r="G49" s="7">
        <v>1.0</v>
      </c>
      <c r="H49" s="47">
        <v>14450.0</v>
      </c>
      <c r="I49" s="51">
        <f t="shared" si="1"/>
        <v>14450</v>
      </c>
    </row>
    <row r="50" ht="15.75" customHeight="1">
      <c r="A50" s="49">
        <v>46127.0</v>
      </c>
      <c r="B50" s="7" t="s">
        <v>221</v>
      </c>
      <c r="C50" s="7" t="s">
        <v>19</v>
      </c>
      <c r="D50" s="7">
        <v>722.0</v>
      </c>
      <c r="E50" s="10" t="str">
        <f>+VLOOKUP(D50,ARTICULO!$A$2:$B$1048576,2,FALSE)</f>
        <v>POLENTA</v>
      </c>
      <c r="F50" s="12" t="s">
        <v>74</v>
      </c>
      <c r="G50" s="7">
        <v>25.0</v>
      </c>
      <c r="H50" s="47">
        <v>739.0</v>
      </c>
      <c r="I50" s="51">
        <f t="shared" si="1"/>
        <v>18475</v>
      </c>
    </row>
    <row r="51" ht="15.75" customHeight="1">
      <c r="A51" s="49">
        <v>46127.0</v>
      </c>
      <c r="B51" s="7" t="s">
        <v>222</v>
      </c>
      <c r="C51" s="7" t="s">
        <v>19</v>
      </c>
      <c r="D51" s="7">
        <v>619.0</v>
      </c>
      <c r="E51" s="10" t="str">
        <f>+VLOOKUP(D51,ARTICULO!$A$2:$B$1048576,2,FALSE)</f>
        <v>PASAS RUBIAS</v>
      </c>
      <c r="F51" s="7" t="s">
        <v>207</v>
      </c>
      <c r="G51" s="7">
        <v>10.0</v>
      </c>
      <c r="H51" s="47">
        <v>8625.0</v>
      </c>
      <c r="I51" s="51">
        <f t="shared" si="1"/>
        <v>86250</v>
      </c>
    </row>
    <row r="52" ht="15.75" customHeight="1">
      <c r="A52" s="49">
        <v>46128.0</v>
      </c>
      <c r="B52" s="7" t="s">
        <v>223</v>
      </c>
      <c r="C52" s="7" t="s">
        <v>19</v>
      </c>
      <c r="D52" s="7">
        <v>719.0</v>
      </c>
      <c r="E52" s="10" t="str">
        <f>+VLOOKUP(D52,ARTICULO!$A$2:$B$1048576,2,FALSE)</f>
        <v>MAIZ MOLIDO AMARILLO</v>
      </c>
      <c r="F52" s="59" t="s">
        <v>73</v>
      </c>
      <c r="G52" s="7">
        <v>30.0</v>
      </c>
      <c r="H52" s="47">
        <v>931.0</v>
      </c>
      <c r="I52" s="51">
        <f t="shared" si="1"/>
        <v>27930</v>
      </c>
    </row>
    <row r="53" ht="15.75" customHeight="1">
      <c r="A53" s="49">
        <v>46129.0</v>
      </c>
      <c r="B53" s="7" t="s">
        <v>192</v>
      </c>
      <c r="C53" s="7" t="s">
        <v>19</v>
      </c>
      <c r="D53" s="7">
        <v>476.0</v>
      </c>
      <c r="E53" s="10" t="str">
        <f>+VLOOKUP(D53,ARTICULO!$A$2:$B$1048576,2,FALSE)</f>
        <v>MAIZ QUEBRADO FINO X 30 KG</v>
      </c>
      <c r="F53" s="59" t="s">
        <v>73</v>
      </c>
      <c r="G53" s="7">
        <v>3.0</v>
      </c>
      <c r="H53" s="47">
        <v>12750.0</v>
      </c>
      <c r="I53" s="51">
        <f t="shared" si="1"/>
        <v>38250</v>
      </c>
    </row>
    <row r="54" ht="15.75" customHeight="1">
      <c r="A54" s="49">
        <v>46129.0</v>
      </c>
      <c r="B54" s="7" t="s">
        <v>192</v>
      </c>
      <c r="C54" s="7" t="s">
        <v>19</v>
      </c>
      <c r="D54" s="7">
        <v>477.0</v>
      </c>
      <c r="E54" s="10" t="str">
        <f>+VLOOKUP(D54,ARTICULO!$A$2:$B$1048576,2,FALSE)</f>
        <v>MAIZ QUEBRADO MEDIANO X 30 KG</v>
      </c>
      <c r="F54" s="59" t="s">
        <v>73</v>
      </c>
      <c r="G54" s="7">
        <v>2.0</v>
      </c>
      <c r="H54" s="47">
        <v>12750.0</v>
      </c>
      <c r="I54" s="51">
        <f t="shared" si="1"/>
        <v>25500</v>
      </c>
    </row>
    <row r="55" ht="15.75" customHeight="1">
      <c r="A55" s="49">
        <v>46129.0</v>
      </c>
      <c r="B55" s="7" t="s">
        <v>136</v>
      </c>
      <c r="C55" s="7" t="s">
        <v>19</v>
      </c>
      <c r="D55" s="7">
        <v>503.0</v>
      </c>
      <c r="E55" s="10" t="str">
        <f>+VLOOKUP(D55,ARTICULO!$A$2:$B$1048576,2,FALSE)</f>
        <v>AJI ROJO</v>
      </c>
      <c r="F55" s="59" t="s">
        <v>73</v>
      </c>
      <c r="G55" s="7">
        <v>1.0</v>
      </c>
      <c r="H55" s="47">
        <v>3750.0</v>
      </c>
      <c r="I55" s="51">
        <f t="shared" si="1"/>
        <v>3750</v>
      </c>
    </row>
    <row r="56" ht="15.75" customHeight="1">
      <c r="A56" s="49">
        <v>46129.0</v>
      </c>
      <c r="B56" s="7" t="s">
        <v>224</v>
      </c>
      <c r="C56" s="7" t="s">
        <v>19</v>
      </c>
      <c r="D56" s="7">
        <v>502.0</v>
      </c>
      <c r="E56" s="10" t="str">
        <f>+VLOOKUP(D56,ARTICULO!$A$2:$B$1048576,2,FALSE)</f>
        <v>AJI CAYENA</v>
      </c>
      <c r="F56" s="59" t="s">
        <v>73</v>
      </c>
      <c r="G56" s="7">
        <v>10.0</v>
      </c>
      <c r="H56" s="47">
        <v>3625.0</v>
      </c>
      <c r="I56" s="51">
        <f t="shared" si="1"/>
        <v>36250</v>
      </c>
    </row>
    <row r="57" ht="15.75" customHeight="1">
      <c r="A57" s="49">
        <v>46130.0</v>
      </c>
      <c r="B57" s="7" t="s">
        <v>96</v>
      </c>
      <c r="C57" s="7" t="s">
        <v>15</v>
      </c>
      <c r="D57" s="7">
        <v>351.0</v>
      </c>
      <c r="E57" s="10" t="str">
        <f>+VLOOKUP(D57,ARTICULO!$A$2:$B$1048576,2,FALSE)</f>
        <v>GRANOLA MIX X 1 KG</v>
      </c>
      <c r="F57" s="59" t="s">
        <v>73</v>
      </c>
      <c r="G57" s="7">
        <v>14.0</v>
      </c>
      <c r="H57" s="47">
        <v>6444.0</v>
      </c>
      <c r="I57" s="51">
        <f t="shared" si="1"/>
        <v>90216</v>
      </c>
    </row>
    <row r="58" ht="15.75" customHeight="1">
      <c r="A58" s="49">
        <v>46130.0</v>
      </c>
      <c r="B58" s="7" t="s">
        <v>96</v>
      </c>
      <c r="C58" s="7" t="s">
        <v>15</v>
      </c>
      <c r="D58" s="7">
        <v>353.0</v>
      </c>
      <c r="E58" s="10" t="str">
        <f>+VLOOKUP(D58,ARTICULO!$A$2:$B$1048576,2,FALSE)</f>
        <v>GRANOLA 5 SEMILLAS X 1KG</v>
      </c>
      <c r="F58" s="59" t="s">
        <v>73</v>
      </c>
      <c r="G58" s="7">
        <v>14.0</v>
      </c>
      <c r="H58" s="47">
        <v>7378.0</v>
      </c>
      <c r="I58" s="51">
        <f t="shared" si="1"/>
        <v>103292</v>
      </c>
    </row>
    <row r="59" ht="15.75" customHeight="1">
      <c r="A59" s="49">
        <v>46130.0</v>
      </c>
      <c r="B59" s="7" t="s">
        <v>96</v>
      </c>
      <c r="C59" s="7" t="s">
        <v>15</v>
      </c>
      <c r="D59" s="7">
        <v>350.0</v>
      </c>
      <c r="E59" s="10" t="str">
        <f>+VLOOKUP(D59,ARTICULO!$A$2:$B$1048576,2,FALSE)</f>
        <v>GRANOLA CHOCOLATE X 1KG</v>
      </c>
      <c r="F59" s="59" t="s">
        <v>73</v>
      </c>
      <c r="G59" s="7">
        <v>7.0</v>
      </c>
      <c r="H59" s="47">
        <v>7089.0</v>
      </c>
      <c r="I59" s="51">
        <f t="shared" si="1"/>
        <v>49623</v>
      </c>
    </row>
    <row r="60" ht="15.75" customHeight="1">
      <c r="A60" s="49">
        <v>46130.0</v>
      </c>
      <c r="B60" s="7" t="s">
        <v>225</v>
      </c>
      <c r="C60" s="7" t="s">
        <v>15</v>
      </c>
      <c r="D60" s="7">
        <v>716.0</v>
      </c>
      <c r="E60" s="10" t="str">
        <f>+VLOOKUP(D60,ARTICULO!$A$2:$B$1048576,2,FALSE)</f>
        <v>HARINA P/TAMALES</v>
      </c>
      <c r="F60" s="59" t="s">
        <v>73</v>
      </c>
      <c r="G60" s="7">
        <v>200.0</v>
      </c>
      <c r="H60" s="47">
        <v>577.62</v>
      </c>
      <c r="I60" s="51">
        <f t="shared" si="1"/>
        <v>115524</v>
      </c>
    </row>
    <row r="61" ht="15.75" customHeight="1">
      <c r="A61" s="49">
        <v>46130.0</v>
      </c>
      <c r="B61" s="7" t="s">
        <v>160</v>
      </c>
      <c r="C61" s="7" t="s">
        <v>11</v>
      </c>
      <c r="D61" s="7">
        <v>508.0</v>
      </c>
      <c r="E61" s="10" t="str">
        <f>+VLOOKUP(D61,ARTICULO!$A$2:$B$1048576,2,FALSE)</f>
        <v>COCO RALLADO</v>
      </c>
      <c r="F61" s="7" t="s">
        <v>21</v>
      </c>
      <c r="G61" s="7">
        <v>1.0</v>
      </c>
      <c r="H61" s="47">
        <v>10050.0</v>
      </c>
      <c r="I61" s="51">
        <f t="shared" si="1"/>
        <v>10050</v>
      </c>
    </row>
    <row r="62" ht="15.75" customHeight="1">
      <c r="A62" s="49">
        <v>46130.0</v>
      </c>
      <c r="B62" s="7" t="s">
        <v>160</v>
      </c>
      <c r="C62" s="7" t="s">
        <v>11</v>
      </c>
      <c r="D62" s="7">
        <v>330.0</v>
      </c>
      <c r="E62" s="10" t="str">
        <f>+VLOOKUP(D62,ARTICULO!$A$2:$B$1048576,2,FALSE)</f>
        <v>CEREAL CON AZUCAR x 2.5 Kg</v>
      </c>
      <c r="F62" s="7" t="s">
        <v>21</v>
      </c>
      <c r="G62" s="7">
        <v>1.0</v>
      </c>
      <c r="H62" s="47">
        <v>12542.0</v>
      </c>
      <c r="I62" s="51">
        <f t="shared" si="1"/>
        <v>12542</v>
      </c>
    </row>
    <row r="63" ht="15.75" customHeight="1">
      <c r="A63" s="49">
        <v>46130.0</v>
      </c>
      <c r="B63" s="7" t="s">
        <v>160</v>
      </c>
      <c r="C63" s="7" t="s">
        <v>11</v>
      </c>
      <c r="D63" s="7">
        <v>131.0</v>
      </c>
      <c r="E63" s="10" t="str">
        <f>+VLOOKUP(D63,ARTICULO!$A$2:$B$1048576,2,FALSE)</f>
        <v>GRAN CAMPEON CACHORRO X 10 KG</v>
      </c>
      <c r="F63" s="7" t="s">
        <v>21</v>
      </c>
      <c r="G63" s="7">
        <v>1.0</v>
      </c>
      <c r="H63" s="47">
        <v>15514.0</v>
      </c>
      <c r="I63" s="51">
        <f t="shared" si="1"/>
        <v>15514</v>
      </c>
    </row>
    <row r="64" ht="15.75" customHeight="1">
      <c r="A64" s="49">
        <v>46130.0</v>
      </c>
      <c r="B64" s="7" t="s">
        <v>160</v>
      </c>
      <c r="C64" s="7" t="s">
        <v>11</v>
      </c>
      <c r="D64" s="7">
        <v>610.0</v>
      </c>
      <c r="E64" s="10" t="str">
        <f>+VLOOKUP(D64,ARTICULO!$A$2:$B$1048576,2,FALSE)</f>
        <v>MIX ENERGETICO S/C</v>
      </c>
      <c r="F64" s="7" t="s">
        <v>21</v>
      </c>
      <c r="G64" s="7">
        <v>1.0</v>
      </c>
      <c r="H64" s="47">
        <v>8245.0</v>
      </c>
      <c r="I64" s="51">
        <f t="shared" si="1"/>
        <v>8245</v>
      </c>
    </row>
    <row r="65" ht="15.75" customHeight="1">
      <c r="A65" s="49">
        <v>46130.0</v>
      </c>
      <c r="B65" s="7" t="s">
        <v>160</v>
      </c>
      <c r="C65" s="7" t="s">
        <v>11</v>
      </c>
      <c r="D65" s="7">
        <v>136.0</v>
      </c>
      <c r="E65" s="10" t="str">
        <f>+VLOOKUP(D65,ARTICULO!$A$2:$B$1048576,2,FALSE)</f>
        <v>BELCAT X 10KG</v>
      </c>
      <c r="F65" s="7" t="s">
        <v>21</v>
      </c>
      <c r="G65" s="7">
        <v>1.0</v>
      </c>
      <c r="H65" s="47">
        <v>22549.0</v>
      </c>
      <c r="I65" s="51">
        <f t="shared" si="1"/>
        <v>22549</v>
      </c>
    </row>
    <row r="66" ht="15.75" customHeight="1">
      <c r="A66" s="49">
        <v>46130.0</v>
      </c>
      <c r="B66" s="7" t="s">
        <v>160</v>
      </c>
      <c r="C66" s="7" t="s">
        <v>11</v>
      </c>
      <c r="D66" s="7">
        <v>722.0</v>
      </c>
      <c r="E66" s="10" t="str">
        <f>+VLOOKUP(D66,ARTICULO!$A$2:$B$1048576,2,FALSE)</f>
        <v>POLENTA</v>
      </c>
      <c r="F66" s="7" t="s">
        <v>21</v>
      </c>
      <c r="G66" s="7">
        <v>5.0</v>
      </c>
      <c r="H66" s="47">
        <v>826.0</v>
      </c>
      <c r="I66" s="51">
        <f t="shared" si="1"/>
        <v>4130</v>
      </c>
    </row>
    <row r="67" ht="15.75" customHeight="1">
      <c r="A67" s="49">
        <v>46130.0</v>
      </c>
      <c r="B67" s="7" t="s">
        <v>160</v>
      </c>
      <c r="C67" s="7" t="s">
        <v>11</v>
      </c>
      <c r="D67" s="7">
        <v>524.0</v>
      </c>
      <c r="E67" s="10" t="str">
        <f>+VLOOKUP(D67,ARTICULO!$A$2:$B$1048576,2,FALSE)</f>
        <v>PIMENTON ESPAÐOL</v>
      </c>
      <c r="F67" s="7" t="s">
        <v>21</v>
      </c>
      <c r="G67" s="7">
        <v>1.0</v>
      </c>
      <c r="H67" s="47">
        <v>3200.0</v>
      </c>
      <c r="I67" s="51">
        <f t="shared" si="1"/>
        <v>3200</v>
      </c>
    </row>
    <row r="68" ht="15.75" customHeight="1">
      <c r="A68" s="49">
        <v>46130.0</v>
      </c>
      <c r="B68" s="7" t="s">
        <v>160</v>
      </c>
      <c r="C68" s="7" t="s">
        <v>11</v>
      </c>
      <c r="D68" s="7">
        <v>320.0</v>
      </c>
      <c r="E68" s="10" t="str">
        <f>+VLOOKUP(D68,ARTICULO!$A$2:$B$1048576,2,FALSE)</f>
        <v>BOLITAS DE CHOCOLATE x 2.5 Kg</v>
      </c>
      <c r="F68" s="7" t="s">
        <v>21</v>
      </c>
      <c r="G68" s="7">
        <v>1.0</v>
      </c>
      <c r="H68" s="47">
        <v>15324.0</v>
      </c>
      <c r="I68" s="51">
        <f t="shared" si="1"/>
        <v>15324</v>
      </c>
    </row>
    <row r="69" ht="15.75" customHeight="1">
      <c r="A69" s="49">
        <v>46132.0</v>
      </c>
      <c r="B69" s="7" t="s">
        <v>226</v>
      </c>
      <c r="C69" s="7" t="s">
        <v>11</v>
      </c>
      <c r="D69" s="7">
        <v>130.0</v>
      </c>
      <c r="E69" s="10" t="str">
        <f>+VLOOKUP(D69,ARTICULO!$A$2:$B$1048576,2,FALSE)</f>
        <v>GRAN CAMPEON AD ROJO Carne y Pollo X 21 KG</v>
      </c>
      <c r="F69" s="7" t="s">
        <v>21</v>
      </c>
      <c r="G69" s="7">
        <v>1.0</v>
      </c>
      <c r="H69" s="47">
        <v>25392.0</v>
      </c>
      <c r="I69" s="51">
        <f t="shared" si="1"/>
        <v>25392</v>
      </c>
    </row>
    <row r="70" ht="15.75" customHeight="1">
      <c r="A70" s="49">
        <v>46132.0</v>
      </c>
      <c r="B70" s="7" t="s">
        <v>226</v>
      </c>
      <c r="C70" s="7" t="s">
        <v>11</v>
      </c>
      <c r="D70" s="7">
        <v>131.0</v>
      </c>
      <c r="E70" s="10" t="str">
        <f>+VLOOKUP(D70,ARTICULO!$A$2:$B$1048576,2,FALSE)</f>
        <v>GRAN CAMPEON CACHORRO X 10 KG</v>
      </c>
      <c r="F70" s="7" t="s">
        <v>21</v>
      </c>
      <c r="G70" s="7">
        <v>1.0</v>
      </c>
      <c r="H70" s="47">
        <v>15514.0</v>
      </c>
      <c r="I70" s="51">
        <f t="shared" si="1"/>
        <v>15514</v>
      </c>
    </row>
    <row r="71" ht="15.75" customHeight="1">
      <c r="A71" s="49">
        <v>46132.0</v>
      </c>
      <c r="B71" s="7" t="s">
        <v>226</v>
      </c>
      <c r="C71" s="7" t="s">
        <v>11</v>
      </c>
      <c r="D71" s="7">
        <v>281.0</v>
      </c>
      <c r="E71" s="10" t="str">
        <f>+VLOOKUP(D71,ARTICULO!$A$2:$B$1048576,2,FALSE)</f>
        <v>FULL CAT PESCADO X 10 KG</v>
      </c>
      <c r="F71" s="7" t="s">
        <v>21</v>
      </c>
      <c r="G71" s="7">
        <v>1.0</v>
      </c>
      <c r="H71" s="47">
        <v>11203.0</v>
      </c>
      <c r="I71" s="51">
        <f t="shared" si="1"/>
        <v>11203</v>
      </c>
    </row>
    <row r="72" ht="15.75" customHeight="1">
      <c r="A72" s="49">
        <v>46132.0</v>
      </c>
      <c r="B72" s="7" t="s">
        <v>226</v>
      </c>
      <c r="C72" s="7" t="s">
        <v>11</v>
      </c>
      <c r="D72" s="7">
        <v>7.0</v>
      </c>
      <c r="E72" s="10" t="str">
        <f>+VLOOKUP(D72,ARTICULO!$A$2:$B$1048576,2,FALSE)</f>
        <v>CONEJO X 25 KG - GEPSA</v>
      </c>
      <c r="F72" s="7" t="s">
        <v>21</v>
      </c>
      <c r="G72" s="7">
        <v>1.0</v>
      </c>
      <c r="H72" s="47">
        <v>18111.0</v>
      </c>
      <c r="I72" s="51">
        <f t="shared" si="1"/>
        <v>18111</v>
      </c>
    </row>
    <row r="73" ht="15.75" customHeight="1">
      <c r="A73" s="49">
        <v>46132.0</v>
      </c>
      <c r="B73" s="7" t="s">
        <v>226</v>
      </c>
      <c r="C73" s="7" t="s">
        <v>11</v>
      </c>
      <c r="D73" s="7">
        <v>470.0</v>
      </c>
      <c r="E73" s="10" t="str">
        <f>+VLOOKUP(D73,ARTICULO!$A$2:$B$1048576,2,FALSE)</f>
        <v>MEZCLA P/PAJARO</v>
      </c>
      <c r="F73" s="7" t="s">
        <v>21</v>
      </c>
      <c r="G73" s="7">
        <v>30.0</v>
      </c>
      <c r="H73" s="47">
        <v>1308.0</v>
      </c>
      <c r="I73" s="51">
        <f t="shared" si="1"/>
        <v>39240</v>
      </c>
    </row>
    <row r="74" ht="15.75" customHeight="1">
      <c r="A74" s="49">
        <v>46132.0</v>
      </c>
      <c r="B74" s="7" t="s">
        <v>226</v>
      </c>
      <c r="C74" s="7" t="s">
        <v>11</v>
      </c>
      <c r="D74" s="7">
        <v>717.0</v>
      </c>
      <c r="E74" s="10" t="str">
        <f>+VLOOKUP(D74,ARTICULO!$A$2:$B$1048576,2,FALSE)</f>
        <v>LENTEJA</v>
      </c>
      <c r="F74" s="7" t="s">
        <v>21</v>
      </c>
      <c r="G74" s="7">
        <v>5.0</v>
      </c>
      <c r="H74" s="47">
        <v>2145.0</v>
      </c>
      <c r="I74" s="51">
        <f t="shared" si="1"/>
        <v>10725</v>
      </c>
    </row>
    <row r="75" ht="15.75" customHeight="1">
      <c r="A75" s="49">
        <v>46132.0</v>
      </c>
      <c r="B75" s="7" t="s">
        <v>226</v>
      </c>
      <c r="C75" s="7" t="s">
        <v>11</v>
      </c>
      <c r="D75" s="7">
        <v>508.0</v>
      </c>
      <c r="E75" s="10" t="str">
        <f>+VLOOKUP(D75,ARTICULO!$A$2:$B$1048576,2,FALSE)</f>
        <v>COCO RALLADO</v>
      </c>
      <c r="F75" s="7" t="s">
        <v>21</v>
      </c>
      <c r="G75" s="7">
        <v>1.0</v>
      </c>
      <c r="H75" s="47">
        <v>10050.0</v>
      </c>
      <c r="I75" s="51">
        <f t="shared" si="1"/>
        <v>10050</v>
      </c>
    </row>
    <row r="76" ht="15.75" customHeight="1">
      <c r="A76" s="49">
        <v>46132.0</v>
      </c>
      <c r="B76" s="7" t="s">
        <v>226</v>
      </c>
      <c r="C76" s="7" t="s">
        <v>11</v>
      </c>
      <c r="D76" s="7">
        <v>505.0</v>
      </c>
      <c r="E76" s="10" t="str">
        <f>+VLOOKUP(D76,ARTICULO!$A$2:$B$1048576,2,FALSE)</f>
        <v>AZUCAR IMPALPABLE</v>
      </c>
      <c r="F76" s="7" t="s">
        <v>21</v>
      </c>
      <c r="G76" s="7">
        <v>1.0</v>
      </c>
      <c r="H76" s="47">
        <v>2427.0</v>
      </c>
      <c r="I76" s="51">
        <f t="shared" si="1"/>
        <v>2427</v>
      </c>
    </row>
    <row r="77" ht="15.75" customHeight="1">
      <c r="A77" s="49">
        <v>46132.0</v>
      </c>
      <c r="B77" s="7" t="s">
        <v>226</v>
      </c>
      <c r="C77" s="7" t="s">
        <v>11</v>
      </c>
      <c r="D77" s="7">
        <v>605.0</v>
      </c>
      <c r="E77" s="10" t="str">
        <f>+VLOOKUP(D77,ARTICULO!$A$2:$B$1048576,2,FALSE)</f>
        <v>CIRUELA SIN CAROZO</v>
      </c>
      <c r="F77" s="7" t="s">
        <v>21</v>
      </c>
      <c r="G77" s="7">
        <v>1.0</v>
      </c>
      <c r="H77" s="47">
        <v>9517.0</v>
      </c>
      <c r="I77" s="51">
        <f t="shared" si="1"/>
        <v>9517</v>
      </c>
    </row>
    <row r="78" ht="15.75" customHeight="1">
      <c r="A78" s="49">
        <v>46132.0</v>
      </c>
      <c r="B78" s="7" t="s">
        <v>226</v>
      </c>
      <c r="C78" s="7" t="s">
        <v>11</v>
      </c>
      <c r="D78" s="7">
        <v>362.0</v>
      </c>
      <c r="E78" s="10" t="str">
        <f>+VLOOKUP(D78,ARTICULO!$A$2:$B$1048576,2,FALSE)</f>
        <v>OSITOS DE MIEL x 2.5 Kg</v>
      </c>
      <c r="F78" s="7" t="s">
        <v>21</v>
      </c>
      <c r="G78" s="7">
        <v>1.0</v>
      </c>
      <c r="H78" s="47">
        <v>13431.0</v>
      </c>
      <c r="I78" s="51">
        <f t="shared" si="1"/>
        <v>13431</v>
      </c>
    </row>
    <row r="79" ht="15.75" customHeight="1">
      <c r="A79" s="49">
        <v>46132.0</v>
      </c>
      <c r="B79" s="7" t="s">
        <v>226</v>
      </c>
      <c r="C79" s="7" t="s">
        <v>11</v>
      </c>
      <c r="D79" s="7">
        <v>301.0</v>
      </c>
      <c r="E79" s="10" t="str">
        <f>+VLOOKUP(D79,ARTICULO!$A$2:$B$1048576,2,FALSE)</f>
        <v>ALMOHADITA DE FRUTILLA X 2.5 KG</v>
      </c>
      <c r="F79" s="7" t="s">
        <v>21</v>
      </c>
      <c r="G79" s="7">
        <v>1.0</v>
      </c>
      <c r="H79" s="47">
        <v>19459.0</v>
      </c>
      <c r="I79" s="51">
        <f t="shared" si="1"/>
        <v>19459</v>
      </c>
    </row>
    <row r="80" ht="15.75" customHeight="1">
      <c r="A80" s="49">
        <v>46132.0</v>
      </c>
      <c r="B80" s="7" t="s">
        <v>226</v>
      </c>
      <c r="C80" s="7" t="s">
        <v>11</v>
      </c>
      <c r="D80" s="7">
        <v>716.0</v>
      </c>
      <c r="E80" s="10" t="str">
        <f>+VLOOKUP(D80,ARTICULO!$A$2:$B$1048576,2,FALSE)</f>
        <v>HARINA P/TAMALES</v>
      </c>
      <c r="F80" s="7" t="s">
        <v>21</v>
      </c>
      <c r="G80" s="7">
        <v>10.0</v>
      </c>
      <c r="H80" s="47">
        <v>729.0</v>
      </c>
      <c r="I80" s="51">
        <f t="shared" si="1"/>
        <v>7290</v>
      </c>
      <c r="J80" s="68"/>
    </row>
    <row r="81" ht="15.75" customHeight="1">
      <c r="A81" s="49">
        <v>46132.0</v>
      </c>
      <c r="B81" s="7" t="s">
        <v>226</v>
      </c>
      <c r="C81" s="7" t="s">
        <v>11</v>
      </c>
      <c r="D81" s="7">
        <v>710.0</v>
      </c>
      <c r="E81" s="10" t="str">
        <f>+VLOOKUP(D81,ARTICULO!$A$2:$B$1048576,2,FALSE)</f>
        <v>GARBANZO</v>
      </c>
      <c r="F81" s="7" t="s">
        <v>21</v>
      </c>
      <c r="G81" s="7">
        <v>5.0</v>
      </c>
      <c r="H81" s="47">
        <v>1127.0</v>
      </c>
      <c r="I81" s="51">
        <f t="shared" si="1"/>
        <v>5635</v>
      </c>
    </row>
    <row r="82" ht="15.75" customHeight="1">
      <c r="A82" s="6">
        <v>46132.0</v>
      </c>
      <c r="B82" s="7" t="s">
        <v>226</v>
      </c>
      <c r="C82" s="12" t="s">
        <v>11</v>
      </c>
      <c r="D82" s="12">
        <v>160.0</v>
      </c>
      <c r="E82" s="10" t="str">
        <f>+VLOOKUP(D82,ARTICULO!$A$2:$B$1048576,2,FALSE)</f>
        <v>ARROZ PARA PERRO LUMPY</v>
      </c>
      <c r="F82" s="7" t="s">
        <v>21</v>
      </c>
      <c r="G82" s="7">
        <v>1.0</v>
      </c>
      <c r="H82" s="51">
        <v>15074.0</v>
      </c>
      <c r="I82" s="51">
        <f t="shared" si="1"/>
        <v>15074</v>
      </c>
    </row>
    <row r="83" ht="15.75" customHeight="1">
      <c r="A83" s="6">
        <v>46132.0</v>
      </c>
      <c r="B83" s="12" t="s">
        <v>227</v>
      </c>
      <c r="C83" s="12" t="s">
        <v>17</v>
      </c>
      <c r="D83" s="12">
        <v>717.0</v>
      </c>
      <c r="E83" s="10" t="str">
        <f>+VLOOKUP(D83,ARTICULO!$A$2:$B$1048576,2,FALSE)</f>
        <v>LENTEJA</v>
      </c>
      <c r="F83" s="12" t="s">
        <v>73</v>
      </c>
      <c r="G83" s="7">
        <v>5.0</v>
      </c>
      <c r="H83" s="51">
        <v>2145.0</v>
      </c>
      <c r="I83" s="51">
        <f t="shared" si="1"/>
        <v>10725</v>
      </c>
    </row>
    <row r="84" ht="15.75" customHeight="1">
      <c r="A84" s="6">
        <v>46132.0</v>
      </c>
      <c r="B84" s="12" t="s">
        <v>227</v>
      </c>
      <c r="C84" s="12" t="s">
        <v>17</v>
      </c>
      <c r="D84" s="12">
        <v>705.0</v>
      </c>
      <c r="E84" s="10" t="str">
        <f>+VLOOKUP(D84,ARTICULO!$A$2:$B$1048576,2,FALSE)</f>
        <v>BURGOL FINO</v>
      </c>
      <c r="F84" s="12" t="s">
        <v>73</v>
      </c>
      <c r="G84" s="7">
        <v>5.0</v>
      </c>
      <c r="H84" s="51">
        <v>1566.0</v>
      </c>
      <c r="I84" s="51">
        <f t="shared" si="1"/>
        <v>7830</v>
      </c>
    </row>
    <row r="85" ht="15.75" customHeight="1">
      <c r="A85" s="6">
        <v>46132.0</v>
      </c>
      <c r="B85" s="12" t="s">
        <v>227</v>
      </c>
      <c r="C85" s="12" t="s">
        <v>17</v>
      </c>
      <c r="D85" s="12">
        <v>927.0</v>
      </c>
      <c r="E85" s="10" t="str">
        <f>+VLOOKUP(D85,ARTICULO!$A$2:$B$1048576,2,FALSE)</f>
        <v>COLLAR N░ 3 ( 38 cm)</v>
      </c>
      <c r="F85" s="12" t="s">
        <v>73</v>
      </c>
      <c r="G85" s="7">
        <v>5.0</v>
      </c>
      <c r="H85" s="51">
        <v>1600.0</v>
      </c>
      <c r="I85" s="51">
        <f t="shared" si="1"/>
        <v>8000</v>
      </c>
    </row>
    <row r="86" ht="15.75" customHeight="1">
      <c r="A86" s="6">
        <v>46132.0</v>
      </c>
      <c r="B86" s="12" t="s">
        <v>227</v>
      </c>
      <c r="C86" s="12" t="s">
        <v>17</v>
      </c>
      <c r="D86" s="12">
        <v>929.0</v>
      </c>
      <c r="E86" s="10" t="str">
        <f>+VLOOKUP(D86,ARTICULO!$A$2:$B$1048576,2,FALSE)</f>
        <v>COLLAR N░ 5 ( 46 cm)</v>
      </c>
      <c r="F86" s="12" t="s">
        <v>73</v>
      </c>
      <c r="G86" s="7">
        <v>5.0</v>
      </c>
      <c r="H86" s="51">
        <v>2262.0</v>
      </c>
      <c r="I86" s="51">
        <f t="shared" si="1"/>
        <v>11310</v>
      </c>
    </row>
    <row r="87" ht="15.75" customHeight="1">
      <c r="A87" s="6">
        <v>46132.0</v>
      </c>
      <c r="B87" s="12" t="s">
        <v>227</v>
      </c>
      <c r="C87" s="12" t="s">
        <v>17</v>
      </c>
      <c r="D87" s="12">
        <v>944.0</v>
      </c>
      <c r="E87" s="10" t="str">
        <f>+VLOOKUP(D87,ARTICULO!$A$2:$B$1048576,2,FALSE)</f>
        <v>CORREA N░ 3</v>
      </c>
      <c r="F87" s="12" t="s">
        <v>73</v>
      </c>
      <c r="G87" s="7">
        <v>5.0</v>
      </c>
      <c r="H87" s="51">
        <v>4698.0</v>
      </c>
      <c r="I87" s="51">
        <f t="shared" si="1"/>
        <v>23490</v>
      </c>
    </row>
    <row r="88" ht="15.75" customHeight="1">
      <c r="A88" s="6">
        <v>46133.0</v>
      </c>
      <c r="B88" s="12" t="s">
        <v>228</v>
      </c>
      <c r="C88" s="12" t="s">
        <v>11</v>
      </c>
      <c r="D88" s="12">
        <v>352.0</v>
      </c>
      <c r="E88" s="10" t="str">
        <f>+VLOOKUP(D88,ARTICULO!$A$2:$B$1048576,2,FALSE)</f>
        <v>GRANOLA x 1.5 kg</v>
      </c>
      <c r="F88" s="12" t="s">
        <v>73</v>
      </c>
      <c r="G88" s="7">
        <v>1.0</v>
      </c>
      <c r="H88" s="51">
        <v>15916.0</v>
      </c>
      <c r="I88" s="51">
        <f t="shared" si="1"/>
        <v>15916</v>
      </c>
    </row>
    <row r="89" ht="15.75" customHeight="1">
      <c r="A89" s="6">
        <v>46134.0</v>
      </c>
      <c r="B89" s="12" t="s">
        <v>190</v>
      </c>
      <c r="C89" s="12" t="s">
        <v>17</v>
      </c>
      <c r="D89" s="12">
        <v>330.0</v>
      </c>
      <c r="E89" s="10" t="str">
        <f>+VLOOKUP(D89,ARTICULO!$A$2:$B$1048576,2,FALSE)</f>
        <v>CEREAL CON AZUCAR x 2.5 Kg</v>
      </c>
      <c r="F89" s="12" t="s">
        <v>73</v>
      </c>
      <c r="G89" s="7">
        <v>5.0</v>
      </c>
      <c r="H89" s="51">
        <v>15677.0</v>
      </c>
      <c r="I89" s="51">
        <f t="shared" si="1"/>
        <v>78385</v>
      </c>
    </row>
    <row r="90" ht="15.75" customHeight="1">
      <c r="A90" s="6">
        <v>46134.0</v>
      </c>
      <c r="B90" s="7" t="s">
        <v>53</v>
      </c>
      <c r="C90" s="7" t="s">
        <v>19</v>
      </c>
      <c r="D90" s="12">
        <v>510.0</v>
      </c>
      <c r="E90" s="10" t="str">
        <f>+VLOOKUP(D90,ARTICULO!$A$2:$B$1048576,2,FALSE)</f>
        <v>COMINO EN GRANO</v>
      </c>
      <c r="F90" s="12" t="s">
        <v>74</v>
      </c>
      <c r="G90" s="7">
        <v>1.0</v>
      </c>
      <c r="H90" s="51">
        <v>16830.0</v>
      </c>
      <c r="I90" s="51">
        <f t="shared" si="1"/>
        <v>16830</v>
      </c>
    </row>
    <row r="91" ht="15.75" customHeight="1">
      <c r="A91" s="6">
        <v>46134.0</v>
      </c>
      <c r="B91" s="7" t="s">
        <v>53</v>
      </c>
      <c r="C91" s="7" t="s">
        <v>19</v>
      </c>
      <c r="D91" s="12">
        <v>117.0</v>
      </c>
      <c r="E91" s="10" t="str">
        <f>+VLOOKUP(D91,ARTICULO!$A$2:$B$1048576,2,FALSE)</f>
        <v>TIERNITO CACHO x 21 KG</v>
      </c>
      <c r="F91" s="12" t="s">
        <v>73</v>
      </c>
      <c r="G91" s="7">
        <v>3.0</v>
      </c>
      <c r="H91" s="51">
        <v>37081.0</v>
      </c>
      <c r="I91" s="51">
        <f t="shared" si="1"/>
        <v>111243</v>
      </c>
    </row>
    <row r="92" ht="15.75" customHeight="1">
      <c r="A92" s="6">
        <v>46134.0</v>
      </c>
      <c r="B92" s="7" t="s">
        <v>53</v>
      </c>
      <c r="C92" s="7" t="s">
        <v>19</v>
      </c>
      <c r="D92" s="12">
        <v>111.0</v>
      </c>
      <c r="E92" s="10" t="str">
        <f>+VLOOKUP(D92,ARTICULO!$A$2:$B$1048576,2,FALSE)</f>
        <v>TIERNITO CARNE  x 21 KG</v>
      </c>
      <c r="F92" s="12" t="s">
        <v>73</v>
      </c>
      <c r="G92" s="7">
        <v>2.0</v>
      </c>
      <c r="H92" s="51">
        <v>32737.0</v>
      </c>
      <c r="I92" s="51">
        <f t="shared" si="1"/>
        <v>65474</v>
      </c>
    </row>
    <row r="93" ht="15.75" customHeight="1">
      <c r="A93" s="6">
        <v>46134.0</v>
      </c>
      <c r="B93" s="7" t="s">
        <v>229</v>
      </c>
      <c r="C93" s="7" t="s">
        <v>19</v>
      </c>
      <c r="D93" s="12">
        <v>1.0</v>
      </c>
      <c r="E93" s="10" t="str">
        <f>+VLOOKUP(D93,ARTICULO!$A$2:$B$1048576,2,FALSE)</f>
        <v>BEBE x 25 Kg</v>
      </c>
      <c r="F93" s="12" t="s">
        <v>73</v>
      </c>
      <c r="G93" s="7">
        <v>1.0</v>
      </c>
      <c r="H93" s="51">
        <v>17792.0</v>
      </c>
      <c r="I93" s="51">
        <f t="shared" si="1"/>
        <v>17792</v>
      </c>
    </row>
    <row r="94" ht="15.75" customHeight="1">
      <c r="A94" s="6">
        <v>46135.0</v>
      </c>
      <c r="B94" s="7" t="s">
        <v>57</v>
      </c>
      <c r="C94" s="7" t="s">
        <v>19</v>
      </c>
      <c r="D94" s="12">
        <v>521.0</v>
      </c>
      <c r="E94" s="10" t="str">
        <f>+VLOOKUP(D94,ARTICULO!$A$2:$B$1048576,2,FALSE)</f>
        <v>PROVENZAL</v>
      </c>
      <c r="F94" s="7" t="s">
        <v>68</v>
      </c>
      <c r="G94" s="7">
        <v>2.0</v>
      </c>
      <c r="H94" s="51">
        <v>2872.0</v>
      </c>
      <c r="I94" s="51">
        <f t="shared" si="1"/>
        <v>5744</v>
      </c>
    </row>
    <row r="95" ht="15.75" customHeight="1">
      <c r="A95" s="6">
        <v>46135.0</v>
      </c>
      <c r="B95" s="7" t="s">
        <v>57</v>
      </c>
      <c r="C95" s="7" t="s">
        <v>19</v>
      </c>
      <c r="D95" s="12">
        <v>509.0</v>
      </c>
      <c r="E95" s="10" t="str">
        <f>+VLOOKUP(D95,ARTICULO!$A$2:$B$1048576,2,FALSE)</f>
        <v>COMINO COMUN</v>
      </c>
      <c r="F95" s="7" t="s">
        <v>68</v>
      </c>
      <c r="G95" s="7">
        <v>2.0</v>
      </c>
      <c r="H95" s="51">
        <v>3800.0</v>
      </c>
      <c r="I95" s="51">
        <f t="shared" si="1"/>
        <v>7600</v>
      </c>
    </row>
    <row r="96" ht="15.75" customHeight="1">
      <c r="A96" s="6">
        <v>46135.0</v>
      </c>
      <c r="B96" s="7" t="s">
        <v>57</v>
      </c>
      <c r="C96" s="7" t="s">
        <v>19</v>
      </c>
      <c r="D96" s="12">
        <v>524.0</v>
      </c>
      <c r="E96" s="10" t="str">
        <f>+VLOOKUP(D96,ARTICULO!$A$2:$B$1048576,2,FALSE)</f>
        <v>PIMENTON ESPAÐOL</v>
      </c>
      <c r="F96" s="7" t="s">
        <v>68</v>
      </c>
      <c r="G96" s="7">
        <v>2.0</v>
      </c>
      <c r="H96" s="51">
        <v>3200.0</v>
      </c>
      <c r="I96" s="51">
        <f t="shared" si="1"/>
        <v>6400</v>
      </c>
    </row>
    <row r="97" ht="15.75" customHeight="1">
      <c r="A97" s="6">
        <v>46135.0</v>
      </c>
      <c r="B97" s="7" t="s">
        <v>57</v>
      </c>
      <c r="C97" s="7" t="s">
        <v>19</v>
      </c>
      <c r="D97" s="12">
        <v>515.0</v>
      </c>
      <c r="E97" s="10" t="str">
        <f>+VLOOKUP(D97,ARTICULO!$A$2:$B$1048576,2,FALSE)</f>
        <v>OREGANO</v>
      </c>
      <c r="F97" s="7" t="s">
        <v>68</v>
      </c>
      <c r="G97" s="7">
        <v>2.0</v>
      </c>
      <c r="H97" s="51">
        <v>3750.0</v>
      </c>
      <c r="I97" s="51">
        <f t="shared" si="1"/>
        <v>7500</v>
      </c>
    </row>
    <row r="98" ht="15.75" customHeight="1">
      <c r="A98" s="6">
        <v>46135.0</v>
      </c>
      <c r="B98" s="7" t="s">
        <v>57</v>
      </c>
      <c r="C98" s="7" t="s">
        <v>19</v>
      </c>
      <c r="D98" s="12">
        <v>527.0</v>
      </c>
      <c r="E98" s="10" t="str">
        <f>+VLOOKUP(D98,ARTICULO!$A$2:$B$1048576,2,FALSE)</f>
        <v>PIMIENTA BLANCA</v>
      </c>
      <c r="F98" s="7" t="s">
        <v>68</v>
      </c>
      <c r="G98" s="7">
        <v>2.0</v>
      </c>
      <c r="H98" s="51">
        <v>2077.0</v>
      </c>
      <c r="I98" s="51">
        <f t="shared" si="1"/>
        <v>4154</v>
      </c>
    </row>
    <row r="99" ht="15.75" customHeight="1">
      <c r="A99" s="6">
        <v>46135.0</v>
      </c>
      <c r="B99" s="7" t="s">
        <v>57</v>
      </c>
      <c r="C99" s="7" t="s">
        <v>19</v>
      </c>
      <c r="D99" s="12">
        <v>501.0</v>
      </c>
      <c r="E99" s="10" t="str">
        <f>+VLOOKUP(D99,ARTICULO!$A$2:$B$1048576,2,FALSE)</f>
        <v>ADOBO P/PIZZA</v>
      </c>
      <c r="F99" s="7" t="s">
        <v>68</v>
      </c>
      <c r="G99" s="7">
        <v>2.0</v>
      </c>
      <c r="H99" s="51">
        <v>3750.0</v>
      </c>
      <c r="I99" s="51">
        <f t="shared" si="1"/>
        <v>7500</v>
      </c>
    </row>
    <row r="100" ht="15.75" customHeight="1">
      <c r="A100" s="6">
        <v>46135.0</v>
      </c>
      <c r="B100" s="7" t="s">
        <v>57</v>
      </c>
      <c r="C100" s="7" t="s">
        <v>19</v>
      </c>
      <c r="D100" s="12">
        <v>453.0</v>
      </c>
      <c r="E100" s="10" t="str">
        <f>+VLOOKUP(D100,ARTICULO!$A$2:$B$1048576,2,FALSE)</f>
        <v>AVENA FORRAJERA X KG</v>
      </c>
      <c r="F100" s="7" t="s">
        <v>68</v>
      </c>
      <c r="G100" s="7">
        <v>30.0</v>
      </c>
      <c r="H100" s="51">
        <v>567.0</v>
      </c>
      <c r="I100" s="51">
        <f t="shared" si="1"/>
        <v>17010</v>
      </c>
    </row>
    <row r="101" ht="15.75" customHeight="1">
      <c r="A101" s="6">
        <v>46135.0</v>
      </c>
      <c r="B101" s="7" t="s">
        <v>57</v>
      </c>
      <c r="C101" s="7" t="s">
        <v>19</v>
      </c>
      <c r="D101" s="12">
        <v>708.0</v>
      </c>
      <c r="E101" s="10" t="str">
        <f>+VLOOKUP(D101,ARTICULO!$A$2:$B$1048576,2,FALSE)</f>
        <v>CHIA</v>
      </c>
      <c r="F101" s="7" t="s">
        <v>68</v>
      </c>
      <c r="G101" s="7">
        <v>1.0</v>
      </c>
      <c r="H101" s="51">
        <v>7083.0</v>
      </c>
      <c r="I101" s="51">
        <f t="shared" si="1"/>
        <v>7083</v>
      </c>
    </row>
    <row r="102" ht="15.75" customHeight="1">
      <c r="A102" s="6">
        <v>46135.0</v>
      </c>
      <c r="B102" s="7" t="s">
        <v>57</v>
      </c>
      <c r="C102" s="7" t="s">
        <v>19</v>
      </c>
      <c r="D102" s="12">
        <v>721.0</v>
      </c>
      <c r="E102" s="10" t="str">
        <f>+VLOOKUP(D102,ARTICULO!$A$2:$B$1048576,2,FALSE)</f>
        <v>PISINGALLO</v>
      </c>
      <c r="F102" s="7" t="s">
        <v>68</v>
      </c>
      <c r="G102" s="7">
        <v>5.0</v>
      </c>
      <c r="H102" s="51">
        <v>1079.0</v>
      </c>
      <c r="I102" s="51">
        <f t="shared" si="1"/>
        <v>5395</v>
      </c>
    </row>
    <row r="103" ht="15.75" customHeight="1">
      <c r="A103" s="6">
        <v>46135.0</v>
      </c>
      <c r="B103" s="7" t="s">
        <v>57</v>
      </c>
      <c r="C103" s="7" t="s">
        <v>19</v>
      </c>
      <c r="D103" s="12">
        <v>507.0</v>
      </c>
      <c r="E103" s="10" t="str">
        <f>+VLOOKUP(D103,ARTICULO!$A$2:$B$1048576,2,FALSE)</f>
        <v>BICARBONATO</v>
      </c>
      <c r="F103" s="7" t="s">
        <v>68</v>
      </c>
      <c r="G103" s="7">
        <v>5.0</v>
      </c>
      <c r="H103" s="51">
        <v>3382.0</v>
      </c>
      <c r="I103" s="51">
        <f t="shared" si="1"/>
        <v>16910</v>
      </c>
    </row>
    <row r="104" ht="15.75" customHeight="1">
      <c r="A104" s="6">
        <v>46135.0</v>
      </c>
      <c r="B104" s="7" t="s">
        <v>57</v>
      </c>
      <c r="C104" s="7" t="s">
        <v>19</v>
      </c>
      <c r="D104" s="12">
        <v>602.0</v>
      </c>
      <c r="E104" s="10" t="str">
        <f>+VLOOKUP(D104,ARTICULO!$A$2:$B$1048576,2,FALSE)</f>
        <v>CIRUELA</v>
      </c>
      <c r="F104" s="7" t="s">
        <v>68</v>
      </c>
      <c r="G104" s="7">
        <v>1.0</v>
      </c>
      <c r="H104" s="51">
        <v>6412.0</v>
      </c>
      <c r="I104" s="51">
        <f t="shared" si="1"/>
        <v>6412</v>
      </c>
    </row>
    <row r="105" ht="15.75" customHeight="1">
      <c r="A105" s="6">
        <v>46135.0</v>
      </c>
      <c r="B105" s="7" t="s">
        <v>57</v>
      </c>
      <c r="C105" s="7" t="s">
        <v>19</v>
      </c>
      <c r="D105" s="12">
        <v>59.0</v>
      </c>
      <c r="E105" s="10" t="str">
        <f>+VLOOKUP(D105,ARTICULO!$A$2:$B$1048576,2,FALSE)</f>
        <v>INICIADOR X 40 KG</v>
      </c>
      <c r="F105" s="7" t="s">
        <v>68</v>
      </c>
      <c r="G105" s="7">
        <v>1.0</v>
      </c>
      <c r="H105" s="51">
        <v>27175.0</v>
      </c>
      <c r="I105" s="51">
        <f t="shared" si="1"/>
        <v>27175</v>
      </c>
    </row>
    <row r="106" ht="15.75" customHeight="1">
      <c r="A106" s="6">
        <v>46135.0</v>
      </c>
      <c r="B106" s="7" t="s">
        <v>57</v>
      </c>
      <c r="C106" s="7" t="s">
        <v>19</v>
      </c>
      <c r="D106" s="12">
        <v>57.0</v>
      </c>
      <c r="E106" s="10" t="str">
        <f>+VLOOKUP(D106,ARTICULO!$A$2:$B$1048576,2,FALSE)</f>
        <v>PONEDORA POSTURA X 40 KG</v>
      </c>
      <c r="F106" s="7" t="s">
        <v>68</v>
      </c>
      <c r="G106" s="7">
        <v>1.0</v>
      </c>
      <c r="H106" s="51">
        <v>20440.0</v>
      </c>
      <c r="I106" s="51">
        <f t="shared" si="1"/>
        <v>20440</v>
      </c>
    </row>
    <row r="107" ht="15.75" customHeight="1">
      <c r="A107" s="6">
        <v>46135.0</v>
      </c>
      <c r="B107" s="7" t="s">
        <v>60</v>
      </c>
      <c r="C107" s="7" t="s">
        <v>19</v>
      </c>
      <c r="D107" s="12">
        <v>167.0</v>
      </c>
      <c r="E107" s="10" t="str">
        <f>+VLOOKUP(D107,ARTICULO!$A$2:$B$1048576,2,FALSE)</f>
        <v>FLECKY CACHORRO X 10 KG</v>
      </c>
      <c r="F107" s="12" t="s">
        <v>73</v>
      </c>
      <c r="G107" s="7">
        <v>2.0</v>
      </c>
      <c r="H107" s="51">
        <v>13660.0</v>
      </c>
      <c r="I107" s="51">
        <f t="shared" si="1"/>
        <v>27320</v>
      </c>
    </row>
    <row r="108" ht="15.75" customHeight="1">
      <c r="A108" s="6">
        <v>46135.0</v>
      </c>
      <c r="B108" s="7" t="s">
        <v>60</v>
      </c>
      <c r="C108" s="7" t="s">
        <v>19</v>
      </c>
      <c r="D108" s="12">
        <v>165.0</v>
      </c>
      <c r="E108" s="10" t="str">
        <f>+VLOOKUP(D108,ARTICULO!$A$2:$B$1048576,2,FALSE)</f>
        <v>FLECKY ADULTO CARNE  X 15 KG</v>
      </c>
      <c r="F108" s="12" t="s">
        <v>73</v>
      </c>
      <c r="G108" s="7">
        <v>3.0</v>
      </c>
      <c r="H108" s="51">
        <v>14237.0</v>
      </c>
      <c r="I108" s="51">
        <f t="shared" si="1"/>
        <v>42711</v>
      </c>
    </row>
    <row r="109" ht="15.75" customHeight="1">
      <c r="A109" s="6">
        <v>46135.0</v>
      </c>
      <c r="B109" s="7" t="s">
        <v>151</v>
      </c>
      <c r="C109" s="7" t="s">
        <v>19</v>
      </c>
      <c r="D109" s="12">
        <v>402.0</v>
      </c>
      <c r="E109" s="10" t="str">
        <f>+VLOOKUP(D109,ARTICULO!$A$2:$B$1048576,2,FALSE)</f>
        <v>MIJO</v>
      </c>
      <c r="F109" s="12" t="s">
        <v>73</v>
      </c>
      <c r="G109" s="7">
        <v>30.0</v>
      </c>
      <c r="H109" s="51">
        <v>675.0</v>
      </c>
      <c r="I109" s="51">
        <f t="shared" si="1"/>
        <v>20250</v>
      </c>
    </row>
    <row r="110" ht="15.75" customHeight="1">
      <c r="A110" s="6">
        <v>46136.0</v>
      </c>
      <c r="B110" s="7" t="s">
        <v>18</v>
      </c>
      <c r="C110" s="7" t="s">
        <v>19</v>
      </c>
      <c r="D110" s="12">
        <v>491.0</v>
      </c>
      <c r="E110" s="10" t="str">
        <f>+VLOOKUP(D110,ARTICULO!$A$2:$B$1048576,2,FALSE)</f>
        <v>MEZCLA GALLO PREMIUM</v>
      </c>
      <c r="F110" s="12" t="s">
        <v>73</v>
      </c>
      <c r="G110" s="7">
        <v>180.0</v>
      </c>
      <c r="H110" s="51">
        <v>801.0</v>
      </c>
      <c r="I110" s="51">
        <f t="shared" si="1"/>
        <v>144180</v>
      </c>
    </row>
    <row r="111" ht="15.75" customHeight="1">
      <c r="A111" s="6">
        <v>46136.0</v>
      </c>
      <c r="B111" s="7" t="s">
        <v>95</v>
      </c>
      <c r="C111" s="7" t="s">
        <v>19</v>
      </c>
      <c r="D111" s="12">
        <v>723.0</v>
      </c>
      <c r="E111" s="10" t="str">
        <f>+VLOOKUP(D111,ARTICULO!$A$2:$B$1048576,2,FALSE)</f>
        <v>POROTO ALUBIA</v>
      </c>
      <c r="F111" s="12" t="s">
        <v>73</v>
      </c>
      <c r="G111" s="7">
        <v>10.0</v>
      </c>
      <c r="H111" s="51">
        <v>2092.0</v>
      </c>
      <c r="I111" s="51">
        <f t="shared" si="1"/>
        <v>20920</v>
      </c>
    </row>
    <row r="112" ht="15.75" customHeight="1">
      <c r="A112" s="6">
        <v>46136.0</v>
      </c>
      <c r="B112" s="7" t="s">
        <v>192</v>
      </c>
      <c r="C112" s="7" t="s">
        <v>19</v>
      </c>
      <c r="D112" s="12">
        <v>140.0</v>
      </c>
      <c r="E112" s="10" t="str">
        <f>+VLOOKUP(D112,ARTICULO!$A$2:$B$1048576,2,FALSE)</f>
        <v>GRAN CAMPEON MANTENIMIENTO x 21KG</v>
      </c>
      <c r="F112" s="12" t="s">
        <v>73</v>
      </c>
      <c r="G112" s="7">
        <v>4.0</v>
      </c>
      <c r="H112" s="51">
        <v>22219.0</v>
      </c>
      <c r="I112" s="51">
        <f t="shared" si="1"/>
        <v>88876</v>
      </c>
    </row>
    <row r="113" ht="15.75" customHeight="1">
      <c r="A113" s="6">
        <v>46136.0</v>
      </c>
      <c r="B113" s="7" t="s">
        <v>230</v>
      </c>
      <c r="C113" s="7" t="s">
        <v>15</v>
      </c>
      <c r="D113" s="7">
        <v>137.0</v>
      </c>
      <c r="E113" s="10" t="str">
        <f>+VLOOKUP(D113,ARTICULO!$A$2:$B$1048576,2,FALSE)</f>
        <v>GRAN CAMPEON GATO X 10 KG</v>
      </c>
      <c r="F113" s="12" t="s">
        <v>21</v>
      </c>
      <c r="G113" s="7">
        <v>2.0</v>
      </c>
      <c r="H113" s="51">
        <v>20264.0</v>
      </c>
      <c r="I113" s="51">
        <f t="shared" si="1"/>
        <v>40528</v>
      </c>
    </row>
    <row r="114" ht="15.75" customHeight="1">
      <c r="A114" s="6">
        <v>46136.0</v>
      </c>
      <c r="B114" s="7" t="s">
        <v>230</v>
      </c>
      <c r="C114" s="7" t="s">
        <v>15</v>
      </c>
      <c r="D114" s="7">
        <v>131.0</v>
      </c>
      <c r="E114" s="10" t="str">
        <f>+VLOOKUP(D114,ARTICULO!$A$2:$B$1048576,2,FALSE)</f>
        <v>GRAN CAMPEON CACHORRO X 10 KG</v>
      </c>
      <c r="F114" s="12" t="s">
        <v>21</v>
      </c>
      <c r="G114" s="7">
        <v>2.0</v>
      </c>
      <c r="H114" s="51">
        <v>15514.0</v>
      </c>
      <c r="I114" s="51">
        <f t="shared" si="1"/>
        <v>31028</v>
      </c>
    </row>
    <row r="115" ht="15.75" customHeight="1">
      <c r="A115" s="6">
        <v>46136.0</v>
      </c>
      <c r="B115" s="7" t="s">
        <v>230</v>
      </c>
      <c r="C115" s="7" t="s">
        <v>15</v>
      </c>
      <c r="D115" s="7">
        <v>140.0</v>
      </c>
      <c r="E115" s="10" t="str">
        <f>+VLOOKUP(D115,ARTICULO!$A$2:$B$1048576,2,FALSE)</f>
        <v>GRAN CAMPEON MANTENIMIENTO x 21KG</v>
      </c>
      <c r="F115" s="12" t="s">
        <v>21</v>
      </c>
      <c r="G115" s="7">
        <v>2.0</v>
      </c>
      <c r="H115" s="51">
        <v>22219.0</v>
      </c>
      <c r="I115" s="51">
        <f t="shared" si="1"/>
        <v>44438</v>
      </c>
    </row>
    <row r="116" ht="15.75" customHeight="1">
      <c r="A116" s="6">
        <v>46136.0</v>
      </c>
      <c r="B116" s="7" t="s">
        <v>230</v>
      </c>
      <c r="C116" s="7" t="s">
        <v>15</v>
      </c>
      <c r="D116" s="7">
        <v>1.0</v>
      </c>
      <c r="E116" s="10" t="str">
        <f>+VLOOKUP(D116,ARTICULO!$A$2:$B$1048576,2,FALSE)</f>
        <v>BEBE x 25 Kg</v>
      </c>
      <c r="F116" s="12" t="s">
        <v>21</v>
      </c>
      <c r="G116" s="7">
        <v>1.0</v>
      </c>
      <c r="H116" s="51">
        <v>19969.0</v>
      </c>
      <c r="I116" s="51">
        <f t="shared" si="1"/>
        <v>19969</v>
      </c>
    </row>
    <row r="117" ht="15.75" customHeight="1">
      <c r="A117" s="6">
        <v>46136.0</v>
      </c>
      <c r="B117" s="7" t="s">
        <v>230</v>
      </c>
      <c r="C117" s="7" t="s">
        <v>15</v>
      </c>
      <c r="D117" s="7">
        <v>720.0</v>
      </c>
      <c r="E117" s="10" t="str">
        <f>+VLOOKUP(D117,ARTICULO!$A$2:$B$1048576,2,FALSE)</f>
        <v>MAIZ MOLIDO BLANCO</v>
      </c>
      <c r="F117" s="12" t="s">
        <v>21</v>
      </c>
      <c r="G117" s="7">
        <v>10.0</v>
      </c>
      <c r="H117" s="51">
        <v>1661.0</v>
      </c>
      <c r="I117" s="51">
        <f t="shared" si="1"/>
        <v>16610</v>
      </c>
    </row>
    <row r="118" ht="15.75" customHeight="1">
      <c r="A118" s="6">
        <v>46136.0</v>
      </c>
      <c r="B118" s="7" t="s">
        <v>230</v>
      </c>
      <c r="C118" s="7" t="s">
        <v>15</v>
      </c>
      <c r="D118" s="7">
        <v>719.0</v>
      </c>
      <c r="E118" s="10" t="str">
        <f>+VLOOKUP(D118,ARTICULO!$A$2:$B$1048576,2,FALSE)</f>
        <v>MAIZ MOLIDO AMARILLO</v>
      </c>
      <c r="F118" s="12" t="s">
        <v>21</v>
      </c>
      <c r="G118" s="7">
        <v>10.0</v>
      </c>
      <c r="H118" s="51">
        <v>1073.0</v>
      </c>
      <c r="I118" s="51">
        <f t="shared" si="1"/>
        <v>10730</v>
      </c>
    </row>
    <row r="119" ht="15.75" customHeight="1">
      <c r="A119" s="6">
        <v>46136.0</v>
      </c>
      <c r="B119" s="7" t="s">
        <v>96</v>
      </c>
      <c r="C119" s="7" t="s">
        <v>15</v>
      </c>
      <c r="D119" s="7">
        <v>350.0</v>
      </c>
      <c r="E119" s="10" t="str">
        <f>+VLOOKUP(D119,ARTICULO!$A$2:$B$1048576,2,FALSE)</f>
        <v>GRANOLA CHOCOLATE X 1KG</v>
      </c>
      <c r="F119" s="12" t="s">
        <v>74</v>
      </c>
      <c r="G119" s="7">
        <v>7.0</v>
      </c>
      <c r="H119" s="51">
        <v>7089.0</v>
      </c>
      <c r="I119" s="51">
        <f t="shared" si="1"/>
        <v>49623</v>
      </c>
    </row>
    <row r="120" ht="15.75" customHeight="1">
      <c r="A120" s="6">
        <v>46136.0</v>
      </c>
      <c r="B120" s="7" t="s">
        <v>216</v>
      </c>
      <c r="C120" s="7" t="s">
        <v>19</v>
      </c>
      <c r="D120" s="12">
        <v>160.0</v>
      </c>
      <c r="E120" s="10" t="str">
        <f>+VLOOKUP(D120,ARTICULO!$A$2:$B$1048576,2,FALSE)</f>
        <v>ARROZ PARA PERRO LUMPY</v>
      </c>
      <c r="F120" s="12" t="s">
        <v>67</v>
      </c>
      <c r="G120" s="12">
        <v>38.0</v>
      </c>
      <c r="H120" s="51">
        <v>15336.0</v>
      </c>
      <c r="I120" s="51">
        <f t="shared" si="1"/>
        <v>582768</v>
      </c>
    </row>
    <row r="121" ht="15.75" customHeight="1">
      <c r="A121" s="6">
        <v>46136.0</v>
      </c>
      <c r="B121" s="7" t="s">
        <v>216</v>
      </c>
      <c r="C121" s="7" t="s">
        <v>19</v>
      </c>
      <c r="D121" s="12">
        <v>995.0</v>
      </c>
      <c r="E121" s="10" t="str">
        <f>+VLOOKUP(D121,ARTICULO!$A$2:$B$1048576,2,FALSE)</f>
        <v>PIEDRAS SANITARIAS MI NINO 12,5</v>
      </c>
      <c r="F121" s="12" t="s">
        <v>67</v>
      </c>
      <c r="G121" s="12">
        <v>1.0</v>
      </c>
      <c r="H121" s="51">
        <v>4972.0</v>
      </c>
      <c r="I121" s="51">
        <f t="shared" si="1"/>
        <v>4972</v>
      </c>
    </row>
    <row r="122" ht="15.75" customHeight="1">
      <c r="A122" s="6">
        <v>46137.0</v>
      </c>
      <c r="B122" s="7" t="s">
        <v>20</v>
      </c>
      <c r="C122" s="7" t="s">
        <v>11</v>
      </c>
      <c r="D122" s="12">
        <v>466.0</v>
      </c>
      <c r="E122" s="10" t="str">
        <f>+VLOOKUP(D122,ARTICULO!$A$2:$B$1048576,2,FALSE)</f>
        <v>MEZCLA CON VIT. (CANARIO)</v>
      </c>
      <c r="F122" s="12" t="s">
        <v>73</v>
      </c>
      <c r="G122" s="12">
        <v>5.0</v>
      </c>
      <c r="H122" s="51">
        <v>1555.0</v>
      </c>
      <c r="I122" s="51">
        <f t="shared" si="1"/>
        <v>7775</v>
      </c>
    </row>
    <row r="123" ht="15.75" customHeight="1">
      <c r="A123" s="6">
        <v>46139.0</v>
      </c>
      <c r="B123" s="7" t="s">
        <v>231</v>
      </c>
      <c r="C123" s="7" t="s">
        <v>17</v>
      </c>
      <c r="D123" s="12">
        <v>724.0</v>
      </c>
      <c r="E123" s="10" t="str">
        <f>+VLOOKUP(D123,ARTICULO!$A$2:$B$1048576,2,FALSE)</f>
        <v>POROTO PALLARES</v>
      </c>
      <c r="F123" s="12" t="s">
        <v>73</v>
      </c>
      <c r="G123" s="12">
        <v>20.0</v>
      </c>
      <c r="H123" s="51">
        <v>5265.0</v>
      </c>
      <c r="I123" s="51">
        <f t="shared" si="1"/>
        <v>105300</v>
      </c>
    </row>
    <row r="124" ht="15.75" customHeight="1">
      <c r="A124" s="6">
        <v>46139.0</v>
      </c>
      <c r="B124" s="7" t="s">
        <v>227</v>
      </c>
      <c r="C124" s="7" t="s">
        <v>17</v>
      </c>
      <c r="D124" s="12">
        <v>723.0</v>
      </c>
      <c r="E124" s="10" t="str">
        <f>+VLOOKUP(D124,ARTICULO!$A$2:$B$1048576,2,FALSE)</f>
        <v>POROTO ALUBIA</v>
      </c>
      <c r="F124" s="12" t="s">
        <v>73</v>
      </c>
      <c r="G124" s="12">
        <v>10.0</v>
      </c>
      <c r="H124" s="51">
        <v>2430.0</v>
      </c>
      <c r="I124" s="51">
        <f t="shared" si="1"/>
        <v>24300</v>
      </c>
    </row>
    <row r="125" ht="15.75" customHeight="1">
      <c r="A125" s="6">
        <v>46139.0</v>
      </c>
      <c r="B125" s="7" t="s">
        <v>227</v>
      </c>
      <c r="C125" s="7" t="s">
        <v>17</v>
      </c>
      <c r="D125" s="12">
        <v>724.0</v>
      </c>
      <c r="E125" s="10" t="str">
        <f>+VLOOKUP(D125,ARTICULO!$A$2:$B$1048576,2,FALSE)</f>
        <v>POROTO PALLARES</v>
      </c>
      <c r="F125" s="12" t="s">
        <v>73</v>
      </c>
      <c r="G125" s="12">
        <v>5.0</v>
      </c>
      <c r="H125" s="51">
        <v>5627.0</v>
      </c>
      <c r="I125" s="51">
        <f t="shared" si="1"/>
        <v>28135</v>
      </c>
    </row>
    <row r="126" ht="15.75" customHeight="1">
      <c r="A126" s="6">
        <v>46139.0</v>
      </c>
      <c r="B126" s="7" t="s">
        <v>232</v>
      </c>
      <c r="C126" s="7" t="s">
        <v>17</v>
      </c>
      <c r="D126" s="12">
        <v>166.0</v>
      </c>
      <c r="E126" s="10" t="str">
        <f>+VLOOKUP(D126,ARTICULO!$A$2:$B$1048576,2,FALSE)</f>
        <v>FLECKY ADULTO CARNE  X 21 KG</v>
      </c>
      <c r="F126" s="12" t="s">
        <v>207</v>
      </c>
      <c r="G126" s="12">
        <v>5.0</v>
      </c>
      <c r="H126" s="51">
        <v>19964.0</v>
      </c>
      <c r="I126" s="51">
        <f t="shared" si="1"/>
        <v>99820</v>
      </c>
    </row>
    <row r="127" ht="15.75" customHeight="1">
      <c r="A127" s="6">
        <v>46139.0</v>
      </c>
      <c r="B127" s="7" t="s">
        <v>48</v>
      </c>
      <c r="C127" s="7" t="s">
        <v>19</v>
      </c>
      <c r="D127" s="12">
        <v>971.0</v>
      </c>
      <c r="E127" s="10" t="str">
        <f>+VLOOKUP(D127,ARTICULO!$A$2:$B$1048576,2,FALSE)</f>
        <v>POLAR N░ 4</v>
      </c>
      <c r="F127" s="12" t="s">
        <v>73</v>
      </c>
      <c r="G127" s="12">
        <v>4.0</v>
      </c>
      <c r="H127" s="51">
        <v>2899.0</v>
      </c>
      <c r="I127" s="51">
        <f t="shared" si="1"/>
        <v>11596</v>
      </c>
    </row>
    <row r="128" ht="15.75" customHeight="1">
      <c r="A128" s="6">
        <v>46139.0</v>
      </c>
      <c r="B128" s="7" t="s">
        <v>48</v>
      </c>
      <c r="C128" s="7" t="s">
        <v>19</v>
      </c>
      <c r="D128" s="12">
        <v>974.0</v>
      </c>
      <c r="E128" s="10" t="str">
        <f>+VLOOKUP(D128,ARTICULO!$A$2:$B$1048576,2,FALSE)</f>
        <v>POLAR N░ 7</v>
      </c>
      <c r="F128" s="12" t="s">
        <v>73</v>
      </c>
      <c r="G128" s="12">
        <v>4.0</v>
      </c>
      <c r="H128" s="51">
        <v>4070.0</v>
      </c>
      <c r="I128" s="51">
        <f t="shared" si="1"/>
        <v>16280</v>
      </c>
    </row>
    <row r="129" ht="15.75" customHeight="1">
      <c r="A129" s="6">
        <v>46139.0</v>
      </c>
      <c r="B129" s="7" t="s">
        <v>104</v>
      </c>
      <c r="C129" s="7" t="s">
        <v>19</v>
      </c>
      <c r="D129" s="12">
        <v>704.0</v>
      </c>
      <c r="E129" s="10" t="str">
        <f>+VLOOKUP(D129,ARTICULO!$A$2:$B$1048576,2,FALSE)</f>
        <v>AVENA INSTANTANEA</v>
      </c>
      <c r="F129" s="12" t="s">
        <v>73</v>
      </c>
      <c r="G129" s="12">
        <v>10.0</v>
      </c>
      <c r="H129" s="51">
        <v>1797.0</v>
      </c>
      <c r="I129" s="51">
        <f t="shared" si="1"/>
        <v>17970</v>
      </c>
    </row>
    <row r="130" ht="15.75" customHeight="1">
      <c r="A130" s="6">
        <v>46139.0</v>
      </c>
      <c r="B130" s="12" t="s">
        <v>23</v>
      </c>
      <c r="C130" s="12" t="s">
        <v>11</v>
      </c>
      <c r="D130" s="12">
        <v>476.0</v>
      </c>
      <c r="E130" s="10" t="str">
        <f>+VLOOKUP(D130,ARTICULO!$A$2:$B$1048576,2,FALSE)</f>
        <v>MAIZ QUEBRADO FINO X 30 KG</v>
      </c>
      <c r="F130" s="12" t="s">
        <v>73</v>
      </c>
      <c r="G130" s="12">
        <v>1.0</v>
      </c>
      <c r="H130" s="51">
        <v>16150.0</v>
      </c>
      <c r="I130" s="51">
        <f t="shared" si="1"/>
        <v>16150</v>
      </c>
    </row>
    <row r="131" ht="15.75" customHeight="1">
      <c r="A131" s="6">
        <v>46140.0</v>
      </c>
      <c r="B131" s="12" t="s">
        <v>233</v>
      </c>
      <c r="C131" s="12" t="s">
        <v>17</v>
      </c>
      <c r="D131" s="12">
        <v>458.0</v>
      </c>
      <c r="E131" s="10" t="str">
        <f>+VLOOKUP(D131,ARTICULO!$A$2:$B$1048576,2,FALSE)</f>
        <v>GIRASOL GRANDE</v>
      </c>
      <c r="F131" s="12" t="s">
        <v>207</v>
      </c>
      <c r="G131" s="12">
        <v>10.0</v>
      </c>
      <c r="H131" s="51">
        <v>1852.0</v>
      </c>
      <c r="I131" s="51">
        <f t="shared" si="1"/>
        <v>18520</v>
      </c>
    </row>
    <row r="132" ht="15.75" customHeight="1">
      <c r="A132" s="6">
        <v>46140.0</v>
      </c>
      <c r="B132" s="12" t="s">
        <v>234</v>
      </c>
      <c r="C132" s="12" t="s">
        <v>17</v>
      </c>
      <c r="D132" s="12">
        <v>124.0</v>
      </c>
      <c r="E132" s="10" t="str">
        <f>+VLOOKUP(D132,ARTICULO!$A$2:$B$1048576,2,FALSE)</f>
        <v>DS CRIADORES RAZA PEQUEÐA X 15 KG</v>
      </c>
      <c r="F132" s="12" t="s">
        <v>207</v>
      </c>
      <c r="G132" s="12">
        <v>3.0</v>
      </c>
      <c r="H132" s="51">
        <v>26119.0</v>
      </c>
      <c r="I132" s="51">
        <f t="shared" si="1"/>
        <v>78357</v>
      </c>
    </row>
    <row r="133" ht="15.75" customHeight="1">
      <c r="A133" s="6">
        <v>46140.0</v>
      </c>
      <c r="B133" s="12" t="s">
        <v>235</v>
      </c>
      <c r="C133" s="12" t="s">
        <v>19</v>
      </c>
      <c r="D133" s="12">
        <v>320.0</v>
      </c>
      <c r="E133" s="10" t="str">
        <f>+VLOOKUP(D133,ARTICULO!$A$2:$B$1048576,2,FALSE)</f>
        <v>BOLITAS DE CHOCOLATE x 2.5 Kg</v>
      </c>
      <c r="F133" s="12" t="s">
        <v>74</v>
      </c>
      <c r="G133" s="12">
        <v>1.0</v>
      </c>
      <c r="H133" s="51">
        <v>3750.0</v>
      </c>
      <c r="I133" s="51">
        <f t="shared" si="1"/>
        <v>3750</v>
      </c>
    </row>
    <row r="134" ht="15.75" customHeight="1">
      <c r="A134" s="6">
        <v>46140.0</v>
      </c>
      <c r="B134" s="12" t="s">
        <v>235</v>
      </c>
      <c r="C134" s="12" t="s">
        <v>19</v>
      </c>
      <c r="D134" s="12">
        <v>515.0</v>
      </c>
      <c r="E134" s="10" t="str">
        <f>+VLOOKUP(D134,ARTICULO!$A$2:$B$1048576,2,FALSE)</f>
        <v>OREGANO</v>
      </c>
      <c r="F134" s="12" t="s">
        <v>73</v>
      </c>
      <c r="G134" s="12">
        <v>5.0</v>
      </c>
      <c r="H134" s="51">
        <v>19160.0</v>
      </c>
      <c r="I134" s="51">
        <f t="shared" si="1"/>
        <v>95800</v>
      </c>
    </row>
    <row r="135" ht="15.75" customHeight="1">
      <c r="A135" s="6">
        <v>46141.0</v>
      </c>
      <c r="B135" s="12" t="s">
        <v>220</v>
      </c>
      <c r="C135" s="12" t="s">
        <v>19</v>
      </c>
      <c r="D135" s="12">
        <v>464.0</v>
      </c>
      <c r="E135" s="10" t="str">
        <f>+VLOOKUP(D135,ARTICULO!$A$2:$B$1048576,2,FALSE)</f>
        <v>MEZCLA GALLO CON AVENA PELADA</v>
      </c>
      <c r="F135" s="12" t="s">
        <v>73</v>
      </c>
      <c r="G135" s="12">
        <v>30.0</v>
      </c>
      <c r="H135" s="51">
        <v>837.0</v>
      </c>
      <c r="I135" s="51">
        <f t="shared" si="1"/>
        <v>25110</v>
      </c>
    </row>
    <row r="136" ht="15.75" customHeight="1">
      <c r="A136" s="6">
        <v>46141.0</v>
      </c>
      <c r="B136" s="12" t="s">
        <v>220</v>
      </c>
      <c r="C136" s="12" t="s">
        <v>19</v>
      </c>
      <c r="D136" s="12">
        <v>661.0</v>
      </c>
      <c r="E136" s="10" t="str">
        <f>+VLOOKUP(D136,ARTICULO!$A$2:$B$1048576,2,FALSE)</f>
        <v>PASTA DE MANI NATURAL X 485GR X 12U- Mani king</v>
      </c>
      <c r="F136" s="12" t="s">
        <v>73</v>
      </c>
      <c r="G136" s="12">
        <v>4.0</v>
      </c>
      <c r="H136" s="51">
        <v>31336.0</v>
      </c>
      <c r="I136" s="51">
        <f t="shared" si="1"/>
        <v>125344</v>
      </c>
    </row>
    <row r="137" ht="15.75" customHeight="1">
      <c r="A137" s="6">
        <v>46141.0</v>
      </c>
      <c r="B137" s="12" t="s">
        <v>178</v>
      </c>
      <c r="C137" s="12" t="s">
        <v>17</v>
      </c>
      <c r="D137" s="12">
        <v>9.0</v>
      </c>
      <c r="E137" s="10" t="str">
        <f>+VLOOKUP(D137,ARTICULO!$A$2:$B$1048576,2,FALSE)</f>
        <v>FORTALEZA PROFESIONAL X 25 KG</v>
      </c>
      <c r="F137" s="12" t="s">
        <v>21</v>
      </c>
      <c r="G137" s="12">
        <v>1.0</v>
      </c>
      <c r="H137" s="51">
        <v>30195.0</v>
      </c>
      <c r="I137" s="51">
        <f t="shared" si="1"/>
        <v>30195</v>
      </c>
    </row>
    <row r="138" ht="15.75" customHeight="1">
      <c r="A138" s="6">
        <v>46141.0</v>
      </c>
      <c r="B138" s="12" t="s">
        <v>178</v>
      </c>
      <c r="C138" s="12" t="s">
        <v>17</v>
      </c>
      <c r="D138" s="12">
        <v>720.0</v>
      </c>
      <c r="E138" s="10" t="str">
        <f>+VLOOKUP(D138,ARTICULO!$A$2:$B$1048576,2,FALSE)</f>
        <v>MAIZ MOLIDO BLANCO</v>
      </c>
      <c r="F138" s="12" t="s">
        <v>21</v>
      </c>
      <c r="G138" s="12">
        <v>10.0</v>
      </c>
      <c r="H138" s="51">
        <v>1661.0</v>
      </c>
      <c r="I138" s="51">
        <f t="shared" si="1"/>
        <v>16610</v>
      </c>
    </row>
    <row r="139" ht="15.75" customHeight="1">
      <c r="A139" s="6">
        <v>46141.0</v>
      </c>
      <c r="B139" s="12" t="s">
        <v>178</v>
      </c>
      <c r="C139" s="12" t="s">
        <v>17</v>
      </c>
      <c r="D139" s="12">
        <v>719.0</v>
      </c>
      <c r="E139" s="10" t="str">
        <f>+VLOOKUP(D139,ARTICULO!$A$2:$B$1048576,2,FALSE)</f>
        <v>MAIZ MOLIDO AMARILLO</v>
      </c>
      <c r="F139" s="12" t="s">
        <v>21</v>
      </c>
      <c r="G139" s="12">
        <v>10.0</v>
      </c>
      <c r="H139" s="51">
        <v>1073.0</v>
      </c>
      <c r="I139" s="51">
        <f t="shared" si="1"/>
        <v>10730</v>
      </c>
    </row>
    <row r="140" ht="15.75" customHeight="1">
      <c r="A140" s="6">
        <v>46141.0</v>
      </c>
      <c r="B140" s="12" t="s">
        <v>178</v>
      </c>
      <c r="C140" s="12" t="s">
        <v>17</v>
      </c>
      <c r="D140" s="12">
        <v>612.0</v>
      </c>
      <c r="E140" s="10" t="str">
        <f>+VLOOKUP(D140,ARTICULO!$A$2:$B$1048576,2,FALSE)</f>
        <v>NUEZ PELADA AMBAR</v>
      </c>
      <c r="F140" s="12" t="s">
        <v>21</v>
      </c>
      <c r="G140" s="12">
        <v>1.0</v>
      </c>
      <c r="H140" s="51">
        <v>17550.0</v>
      </c>
      <c r="I140" s="51">
        <f t="shared" si="1"/>
        <v>17550</v>
      </c>
    </row>
    <row r="141" ht="15.75" customHeight="1">
      <c r="A141" s="6">
        <v>46141.0</v>
      </c>
      <c r="B141" s="12" t="s">
        <v>178</v>
      </c>
      <c r="C141" s="12" t="s">
        <v>17</v>
      </c>
      <c r="D141" s="12">
        <v>458.0</v>
      </c>
      <c r="E141" s="10" t="str">
        <f>+VLOOKUP(D141,ARTICULO!$A$2:$B$1048576,2,FALSE)</f>
        <v>GIRASOL GRANDE</v>
      </c>
      <c r="F141" s="12" t="s">
        <v>21</v>
      </c>
      <c r="G141" s="12">
        <v>20.0</v>
      </c>
      <c r="H141" s="51">
        <v>1768.0</v>
      </c>
      <c r="I141" s="51">
        <f t="shared" si="1"/>
        <v>35360</v>
      </c>
    </row>
    <row r="142" ht="15.75" customHeight="1">
      <c r="A142" s="6">
        <v>46142.0</v>
      </c>
      <c r="B142" s="12" t="s">
        <v>211</v>
      </c>
      <c r="C142" s="12" t="s">
        <v>17</v>
      </c>
      <c r="D142" s="12">
        <v>10.0</v>
      </c>
      <c r="E142" s="10" t="str">
        <f>+VLOOKUP(D142,ARTICULO!$A$2:$B$1048576,2,FALSE)</f>
        <v>PAJARO 4 mm x 25 Kg - GANAVE</v>
      </c>
      <c r="F142" s="12" t="s">
        <v>74</v>
      </c>
      <c r="G142" s="12">
        <v>1.0</v>
      </c>
      <c r="H142" s="51">
        <v>52686.0</v>
      </c>
      <c r="I142" s="51">
        <f t="shared" si="1"/>
        <v>52686</v>
      </c>
    </row>
    <row r="143" ht="15.75" customHeight="1">
      <c r="A143" s="6">
        <v>46142.0</v>
      </c>
      <c r="B143" s="12" t="s">
        <v>236</v>
      </c>
      <c r="C143" s="12" t="s">
        <v>19</v>
      </c>
      <c r="D143" s="12">
        <v>491.0</v>
      </c>
      <c r="E143" s="10" t="str">
        <f>+VLOOKUP(D143,ARTICULO!$A$2:$B$1048576,2,FALSE)</f>
        <v>MEZCLA GALLO PREMIUM</v>
      </c>
      <c r="F143" s="12" t="s">
        <v>68</v>
      </c>
      <c r="G143" s="12">
        <v>100.0</v>
      </c>
      <c r="H143" s="51">
        <v>801.34</v>
      </c>
      <c r="I143" s="51">
        <f t="shared" si="1"/>
        <v>80134</v>
      </c>
    </row>
    <row r="144" ht="15.75" customHeight="1">
      <c r="A144" s="6">
        <v>46142.0</v>
      </c>
      <c r="B144" s="12" t="s">
        <v>236</v>
      </c>
      <c r="C144" s="12" t="s">
        <v>19</v>
      </c>
      <c r="D144" s="12">
        <v>59.0</v>
      </c>
      <c r="E144" s="10" t="str">
        <f>+VLOOKUP(D144,ARTICULO!$A$2:$B$1048576,2,FALSE)</f>
        <v>INICIADOR X 40 KG</v>
      </c>
      <c r="F144" s="12" t="s">
        <v>68</v>
      </c>
      <c r="G144" s="12">
        <v>5.0</v>
      </c>
      <c r="H144" s="51">
        <v>25986.0</v>
      </c>
      <c r="I144" s="51">
        <f t="shared" si="1"/>
        <v>129930</v>
      </c>
    </row>
    <row r="145" ht="15.75" customHeight="1">
      <c r="A145" s="6">
        <v>46142.0</v>
      </c>
      <c r="B145" s="12" t="s">
        <v>236</v>
      </c>
      <c r="C145" s="12" t="s">
        <v>19</v>
      </c>
      <c r="D145" s="12">
        <v>160.0</v>
      </c>
      <c r="E145" s="10" t="str">
        <f>+VLOOKUP(D145,ARTICULO!$A$2:$B$1048576,2,FALSE)</f>
        <v>ARROZ PARA PERRO LUMPY</v>
      </c>
      <c r="F145" s="12" t="s">
        <v>68</v>
      </c>
      <c r="G145" s="12">
        <v>3.0</v>
      </c>
      <c r="H145" s="51">
        <v>15074.0</v>
      </c>
      <c r="I145" s="51">
        <f t="shared" si="1"/>
        <v>45222</v>
      </c>
    </row>
    <row r="146" ht="15.75" customHeight="1">
      <c r="A146" s="6">
        <v>46142.0</v>
      </c>
      <c r="B146" s="12" t="s">
        <v>236</v>
      </c>
      <c r="C146" s="12" t="s">
        <v>19</v>
      </c>
      <c r="D146" s="12">
        <v>903.0</v>
      </c>
      <c r="E146" s="10" t="str">
        <f>+VLOOKUP(D146,ARTICULO!$A$2:$B$1048576,2,FALSE)</f>
        <v>BANDEJA SANITARIA</v>
      </c>
      <c r="F146" s="12" t="s">
        <v>68</v>
      </c>
      <c r="G146" s="12">
        <v>6.0</v>
      </c>
      <c r="H146" s="51">
        <v>2320.0</v>
      </c>
      <c r="I146" s="51">
        <f t="shared" si="1"/>
        <v>13920</v>
      </c>
    </row>
    <row r="147" ht="15.75" customHeight="1">
      <c r="A147" s="6">
        <v>46142.0</v>
      </c>
      <c r="B147" s="12" t="s">
        <v>237</v>
      </c>
      <c r="C147" s="12" t="s">
        <v>15</v>
      </c>
      <c r="D147" s="12">
        <v>457.0</v>
      </c>
      <c r="E147" s="10" t="str">
        <f>+VLOOKUP(D147,ARTICULO!$A$2:$B$1048576,2,FALSE)</f>
        <v>GIRASOL CHICO</v>
      </c>
      <c r="F147" s="12" t="s">
        <v>68</v>
      </c>
      <c r="G147" s="12">
        <v>30.0</v>
      </c>
      <c r="H147" s="51">
        <v>1246.0</v>
      </c>
      <c r="I147" s="51">
        <f>SUM(H147*G147)</f>
        <v>37380</v>
      </c>
    </row>
    <row r="148" ht="15.75" customHeight="1">
      <c r="A148" s="12"/>
      <c r="B148" s="12"/>
      <c r="C148" s="12"/>
      <c r="D148" s="12"/>
      <c r="E148" s="7" t="str">
        <f>+VLOOKUP(D148,ARTICULO!$A$2:$B$1048576,2,FALSE)</f>
        <v>#N/A</v>
      </c>
      <c r="F148" s="12"/>
      <c r="G148" s="12"/>
      <c r="H148" s="51"/>
      <c r="I148" s="51"/>
    </row>
    <row r="149" ht="15.75" customHeight="1">
      <c r="A149" s="12"/>
      <c r="B149" s="12"/>
      <c r="C149" s="12"/>
      <c r="D149" s="12"/>
      <c r="E149" s="7" t="str">
        <f>+VLOOKUP(D149,ARTICULO!$A$2:$B$1048576,2,FALSE)</f>
        <v>#N/A</v>
      </c>
      <c r="F149" s="12"/>
      <c r="G149" s="12"/>
      <c r="H149" s="51"/>
      <c r="I149" s="51"/>
    </row>
    <row r="150" ht="15.75" customHeight="1">
      <c r="A150" s="12"/>
      <c r="B150" s="12"/>
      <c r="C150" s="12"/>
      <c r="D150" s="12"/>
      <c r="E150" s="7" t="str">
        <f>+VLOOKUP(D150,ARTICULO!$A$2:$B$1048576,2,FALSE)</f>
        <v>#N/A</v>
      </c>
      <c r="F150" s="12"/>
      <c r="G150" s="12"/>
      <c r="H150" s="51"/>
      <c r="I150" s="51"/>
    </row>
    <row r="151" ht="15.75" customHeight="1">
      <c r="A151" s="12"/>
      <c r="B151" s="12"/>
      <c r="C151" s="12"/>
      <c r="D151" s="12"/>
      <c r="E151" s="7" t="str">
        <f>+VLOOKUP(D151,ARTICULO!$A$2:$B$1048576,2,FALSE)</f>
        <v>#N/A</v>
      </c>
      <c r="F151" s="12"/>
      <c r="G151" s="12"/>
      <c r="H151" s="51"/>
      <c r="I151" s="51"/>
    </row>
    <row r="152" ht="15.75" customHeight="1">
      <c r="A152" s="12"/>
      <c r="B152" s="12"/>
      <c r="C152" s="12"/>
      <c r="D152" s="12"/>
      <c r="E152" s="7" t="str">
        <f>+VLOOKUP(D152,ARTICULO!$A$2:$B$1048576,2,FALSE)</f>
        <v>#N/A</v>
      </c>
      <c r="F152" s="12"/>
      <c r="G152" s="12"/>
      <c r="H152" s="51"/>
      <c r="I152" s="51"/>
    </row>
    <row r="153" ht="15.75" customHeight="1">
      <c r="A153" s="12"/>
      <c r="B153" s="12"/>
      <c r="C153" s="12"/>
      <c r="D153" s="12"/>
      <c r="E153" s="7" t="str">
        <f>+VLOOKUP(D153,ARTICULO!$A$2:$B$1048576,2,FALSE)</f>
        <v>#N/A</v>
      </c>
      <c r="F153" s="12"/>
      <c r="G153" s="12"/>
      <c r="H153" s="51"/>
      <c r="I153" s="51"/>
    </row>
    <row r="154" ht="15.75" customHeight="1">
      <c r="A154" s="12"/>
      <c r="B154" s="12"/>
      <c r="C154" s="12"/>
      <c r="D154" s="12"/>
      <c r="E154" s="7" t="str">
        <f>+VLOOKUP(D154,ARTICULO!$A$2:$B$1048576,2,FALSE)</f>
        <v>#N/A</v>
      </c>
      <c r="F154" s="12"/>
      <c r="G154" s="12"/>
      <c r="H154" s="51"/>
      <c r="I154" s="51"/>
    </row>
    <row r="155" ht="15.75" customHeight="1">
      <c r="A155" s="12"/>
      <c r="B155" s="12"/>
      <c r="C155" s="12"/>
      <c r="D155" s="12"/>
      <c r="E155" s="7" t="str">
        <f>+VLOOKUP(D155,ARTICULO!$A$2:$B$1048576,2,FALSE)</f>
        <v>#N/A</v>
      </c>
      <c r="F155" s="12"/>
      <c r="G155" s="12"/>
      <c r="H155" s="51"/>
      <c r="I155" s="51"/>
    </row>
    <row r="156" ht="15.75" customHeight="1">
      <c r="A156" s="12"/>
      <c r="B156" s="12"/>
      <c r="C156" s="12"/>
      <c r="D156" s="12"/>
      <c r="E156" s="7" t="str">
        <f>+VLOOKUP(D156,ARTICULO!$A$2:$B$1048576,2,FALSE)</f>
        <v>#N/A</v>
      </c>
      <c r="F156" s="12"/>
      <c r="G156" s="12"/>
      <c r="H156" s="51"/>
      <c r="I156" s="51"/>
    </row>
    <row r="157" ht="15.75" customHeight="1">
      <c r="A157" s="12"/>
      <c r="B157" s="12"/>
      <c r="C157" s="12"/>
      <c r="D157" s="12"/>
      <c r="E157" s="7" t="str">
        <f>+VLOOKUP(D157,ARTICULO!$A$2:$B$1048576,2,FALSE)</f>
        <v>#N/A</v>
      </c>
      <c r="F157" s="12"/>
      <c r="G157" s="12"/>
      <c r="H157" s="51"/>
      <c r="I157" s="51"/>
    </row>
    <row r="158" ht="15.75" customHeight="1">
      <c r="A158" s="12"/>
      <c r="B158" s="12"/>
      <c r="C158" s="12"/>
      <c r="D158" s="12"/>
      <c r="E158" s="7" t="str">
        <f>+VLOOKUP(D158,ARTICULO!$A$2:$B$1048576,2,FALSE)</f>
        <v>#N/A</v>
      </c>
      <c r="F158" s="12"/>
      <c r="G158" s="12"/>
      <c r="H158" s="51"/>
      <c r="I158" s="51"/>
    </row>
    <row r="159" ht="15.75" customHeight="1">
      <c r="A159" s="12"/>
      <c r="B159" s="12"/>
      <c r="C159" s="12"/>
      <c r="D159" s="12"/>
      <c r="E159" s="7" t="str">
        <f>+VLOOKUP(D159,ARTICULO!$A$2:$B$1048576,2,FALSE)</f>
        <v>#N/A</v>
      </c>
      <c r="F159" s="12"/>
      <c r="G159" s="12"/>
      <c r="H159" s="51"/>
      <c r="I159" s="51"/>
    </row>
    <row r="160" ht="15.75" customHeight="1">
      <c r="A160" s="12"/>
      <c r="B160" s="12"/>
      <c r="C160" s="12"/>
      <c r="D160" s="12"/>
      <c r="E160" s="7" t="str">
        <f>+VLOOKUP(D160,ARTICULO!$A$2:$B$1048576,2,FALSE)</f>
        <v>#N/A</v>
      </c>
      <c r="F160" s="12"/>
      <c r="G160" s="12"/>
      <c r="H160" s="51"/>
      <c r="I160" s="51"/>
    </row>
    <row r="161" ht="15.75" customHeight="1">
      <c r="A161" s="12"/>
      <c r="B161" s="12"/>
      <c r="C161" s="12"/>
      <c r="D161" s="12"/>
      <c r="E161" s="7" t="str">
        <f>+VLOOKUP(D161,ARTICULO!$A$2:$B$1048576,2,FALSE)</f>
        <v>#N/A</v>
      </c>
      <c r="F161" s="12"/>
      <c r="G161" s="12"/>
      <c r="H161" s="51"/>
      <c r="I161" s="51"/>
    </row>
    <row r="162" ht="15.75" customHeight="1">
      <c r="A162" s="12"/>
      <c r="B162" s="12"/>
      <c r="C162" s="12"/>
      <c r="D162" s="12"/>
      <c r="E162" s="7" t="str">
        <f>+VLOOKUP(D162,ARTICULO!$A$2:$B$1048576,2,FALSE)</f>
        <v>#N/A</v>
      </c>
      <c r="F162" s="12"/>
      <c r="G162" s="12"/>
      <c r="H162" s="51"/>
      <c r="I162" s="51"/>
    </row>
    <row r="163" ht="15.75" customHeight="1">
      <c r="A163" s="12"/>
      <c r="B163" s="12"/>
      <c r="C163" s="12"/>
      <c r="D163" s="12"/>
      <c r="E163" s="7" t="str">
        <f>+VLOOKUP(D163,ARTICULO!$A$2:$B$1048576,2,FALSE)</f>
        <v>#N/A</v>
      </c>
      <c r="F163" s="12"/>
      <c r="G163" s="12"/>
      <c r="H163" s="51"/>
      <c r="I163" s="51"/>
    </row>
    <row r="164" ht="15.75" customHeight="1">
      <c r="A164" s="12"/>
      <c r="B164" s="12"/>
      <c r="C164" s="12"/>
      <c r="D164" s="12"/>
      <c r="E164" s="7" t="str">
        <f>+VLOOKUP(D164,ARTICULO!$A$2:$B$1048576,2,FALSE)</f>
        <v>#N/A</v>
      </c>
      <c r="F164" s="12"/>
      <c r="G164" s="12"/>
      <c r="H164" s="51"/>
      <c r="I164" s="51"/>
    </row>
    <row r="165" ht="15.75" customHeight="1">
      <c r="A165" s="12"/>
      <c r="B165" s="12"/>
      <c r="C165" s="12"/>
      <c r="D165" s="12"/>
      <c r="E165" s="7" t="str">
        <f>+VLOOKUP(D165,ARTICULO!$A$2:$B$1048576,2,FALSE)</f>
        <v>#N/A</v>
      </c>
      <c r="F165" s="12"/>
      <c r="G165" s="12"/>
      <c r="H165" s="51"/>
      <c r="I165" s="51"/>
    </row>
    <row r="166" ht="15.75" customHeight="1">
      <c r="A166" s="12"/>
      <c r="B166" s="12"/>
      <c r="C166" s="12"/>
      <c r="D166" s="12"/>
      <c r="E166" s="7" t="str">
        <f>+VLOOKUP(D166,ARTICULO!$A$2:$B$1048576,2,FALSE)</f>
        <v>#N/A</v>
      </c>
      <c r="F166" s="12"/>
      <c r="G166" s="12"/>
      <c r="H166" s="51"/>
      <c r="I166" s="51"/>
    </row>
    <row r="167" ht="15.75" customHeight="1">
      <c r="A167" s="12"/>
      <c r="B167" s="12"/>
      <c r="C167" s="12"/>
      <c r="D167" s="12"/>
      <c r="E167" s="7" t="str">
        <f>+VLOOKUP(D167,ARTICULO!$A$2:$B$1048576,2,FALSE)</f>
        <v>#N/A</v>
      </c>
      <c r="F167" s="12"/>
      <c r="G167" s="12"/>
      <c r="H167" s="51"/>
      <c r="I167" s="51"/>
    </row>
    <row r="168" ht="15.75" customHeight="1">
      <c r="A168" s="12"/>
      <c r="B168" s="12"/>
      <c r="C168" s="12"/>
      <c r="D168" s="12"/>
      <c r="E168" s="7" t="str">
        <f>+VLOOKUP(D168,ARTICULO!$A$2:$B$1048576,2,FALSE)</f>
        <v>#N/A</v>
      </c>
      <c r="F168" s="12"/>
      <c r="G168" s="12"/>
      <c r="H168" s="51"/>
      <c r="I168" s="51"/>
    </row>
    <row r="169" ht="15.75" customHeight="1">
      <c r="A169" s="12"/>
      <c r="B169" s="12"/>
      <c r="C169" s="12"/>
      <c r="D169" s="12"/>
      <c r="E169" s="7" t="str">
        <f>+VLOOKUP(D169,ARTICULO!$A$2:$B$1048576,2,FALSE)</f>
        <v>#N/A</v>
      </c>
      <c r="F169" s="12"/>
      <c r="G169" s="12"/>
      <c r="H169" s="51"/>
      <c r="I169" s="51"/>
    </row>
    <row r="170" ht="15.75" customHeight="1">
      <c r="A170" s="9"/>
      <c r="B170" s="9"/>
      <c r="C170" s="9"/>
      <c r="D170" s="9"/>
      <c r="E170" s="9"/>
      <c r="F170" s="9"/>
      <c r="G170" s="9"/>
      <c r="H170" s="65" t="s">
        <v>9</v>
      </c>
      <c r="I170" s="66">
        <f>SUM(I3:I169)</f>
        <v>5028681</v>
      </c>
    </row>
    <row r="171" ht="15.75" customHeight="1">
      <c r="E171" s="22" t="s">
        <v>66</v>
      </c>
      <c r="F171" s="3"/>
    </row>
    <row r="172" ht="15.75" customHeight="1">
      <c r="E172" s="12" t="s">
        <v>74</v>
      </c>
      <c r="F172" s="51">
        <f>+SUMIF(F3:F169,E172,I3:I169)</f>
        <v>183391</v>
      </c>
    </row>
    <row r="173" ht="15.75" customHeight="1">
      <c r="E173" s="33" t="s">
        <v>67</v>
      </c>
      <c r="F173" s="51">
        <f>+SUMIF(F3:F169,E173,I3:I169)</f>
        <v>633220</v>
      </c>
    </row>
    <row r="174" ht="15.75" customHeight="1">
      <c r="E174" s="12" t="s">
        <v>207</v>
      </c>
      <c r="F174" s="51">
        <f>+SUMIF(F3:F169,E174,I3:I169)</f>
        <v>427224</v>
      </c>
      <c r="H174" s="69" t="s">
        <v>204</v>
      </c>
    </row>
    <row r="175" ht="15.75" customHeight="1">
      <c r="E175" s="59" t="s">
        <v>21</v>
      </c>
      <c r="F175" s="51">
        <f>+SUMIF(F3:F169,E175,I3:I169)</f>
        <v>636070</v>
      </c>
    </row>
    <row r="176" ht="15.75" customHeight="1">
      <c r="E176" s="59" t="s">
        <v>73</v>
      </c>
      <c r="F176" s="51">
        <f>+SUMIF(F3:F169,E176,I3:I169)</f>
        <v>2640312</v>
      </c>
    </row>
    <row r="177" ht="15.75" customHeight="1">
      <c r="E177" s="12" t="s">
        <v>68</v>
      </c>
      <c r="F177" s="51">
        <f>+SUMIF(F3:F169,E177,I3:I169)</f>
        <v>508464</v>
      </c>
    </row>
    <row r="178" ht="15.75" customHeight="1">
      <c r="E178" s="12" t="s">
        <v>69</v>
      </c>
      <c r="F178" s="51">
        <f>+SUMIF(F3:F169,E178,I3:I169)</f>
        <v>0</v>
      </c>
    </row>
    <row r="179" ht="15.75" customHeight="1">
      <c r="E179" s="60" t="s">
        <v>9</v>
      </c>
      <c r="F179" s="61">
        <f>+SUM(F172:F178)</f>
        <v>5028681</v>
      </c>
    </row>
    <row r="180" ht="15.75" customHeight="1">
      <c r="E180" s="14"/>
      <c r="F180" s="14"/>
    </row>
    <row r="181" ht="15.75" customHeight="1">
      <c r="E181" s="14"/>
      <c r="F181" s="14"/>
    </row>
    <row r="182" ht="15.75" customHeight="1">
      <c r="E182" s="29" t="s">
        <v>70</v>
      </c>
      <c r="F182" s="30" t="s">
        <v>19</v>
      </c>
    </row>
    <row r="183" ht="15.75" customHeight="1">
      <c r="E183" s="31" t="s">
        <v>74</v>
      </c>
      <c r="F183" s="32">
        <f t="shared" ref="F183:F188" si="2">+SUMIFS($I$3:$I$169,$C$3:$C$169,$F$182,$F$3:$F$169,E183)</f>
        <v>55440</v>
      </c>
    </row>
    <row r="184" ht="15.75" customHeight="1">
      <c r="E184" s="33" t="s">
        <v>67</v>
      </c>
      <c r="F184" s="34">
        <f t="shared" si="2"/>
        <v>587740</v>
      </c>
    </row>
    <row r="185" ht="15.75" customHeight="1">
      <c r="E185" s="70" t="s">
        <v>207</v>
      </c>
      <c r="F185" s="34">
        <f t="shared" si="2"/>
        <v>208075</v>
      </c>
    </row>
    <row r="186" ht="15.75" customHeight="1">
      <c r="E186" s="59" t="s">
        <v>21</v>
      </c>
      <c r="F186" s="34">
        <f t="shared" si="2"/>
        <v>0</v>
      </c>
    </row>
    <row r="187" ht="15.75" customHeight="1">
      <c r="E187" s="59" t="s">
        <v>73</v>
      </c>
      <c r="F187" s="34">
        <f t="shared" si="2"/>
        <v>1532156</v>
      </c>
    </row>
    <row r="188" ht="15.75" customHeight="1">
      <c r="E188" s="35" t="s">
        <v>68</v>
      </c>
      <c r="F188" s="34">
        <f t="shared" si="2"/>
        <v>471084</v>
      </c>
    </row>
    <row r="189" ht="15.75" customHeight="1">
      <c r="E189" s="37" t="s">
        <v>9</v>
      </c>
      <c r="F189" s="38">
        <f>+SUM(F183:F188)</f>
        <v>2854495</v>
      </c>
    </row>
    <row r="190" ht="15.75" customHeight="1">
      <c r="E190" s="14"/>
      <c r="F190" s="14"/>
    </row>
    <row r="191" ht="15.75" customHeight="1">
      <c r="E191" s="29" t="s">
        <v>70</v>
      </c>
      <c r="F191" s="30" t="s">
        <v>11</v>
      </c>
    </row>
    <row r="192" ht="15.75" customHeight="1">
      <c r="E192" s="31" t="s">
        <v>74</v>
      </c>
      <c r="F192" s="32">
        <f t="shared" ref="F192:F197" si="3">+SUMIFS($I$3:$I$169,$C$3:$C$169,$F$191,$F$3:$F$169,E192)</f>
        <v>14450</v>
      </c>
    </row>
    <row r="193" ht="15.75" customHeight="1">
      <c r="E193" s="33" t="s">
        <v>67</v>
      </c>
      <c r="F193" s="32">
        <f t="shared" si="3"/>
        <v>0</v>
      </c>
    </row>
    <row r="194" ht="15.75" customHeight="1">
      <c r="E194" s="59" t="s">
        <v>207</v>
      </c>
      <c r="F194" s="32">
        <f t="shared" si="3"/>
        <v>0</v>
      </c>
    </row>
    <row r="195" ht="15.75" customHeight="1">
      <c r="E195" s="59" t="s">
        <v>21</v>
      </c>
      <c r="F195" s="32">
        <f t="shared" si="3"/>
        <v>362322</v>
      </c>
    </row>
    <row r="196" ht="15.75" customHeight="1">
      <c r="E196" s="59" t="s">
        <v>73</v>
      </c>
      <c r="F196" s="32">
        <f t="shared" si="3"/>
        <v>247146</v>
      </c>
    </row>
    <row r="197" ht="15.75" customHeight="1">
      <c r="E197" s="35" t="s">
        <v>68</v>
      </c>
      <c r="F197" s="32">
        <f t="shared" si="3"/>
        <v>0</v>
      </c>
    </row>
    <row r="198" ht="15.75" customHeight="1">
      <c r="E198" s="37" t="s">
        <v>9</v>
      </c>
      <c r="F198" s="40">
        <f>+SUM(F192:F197)</f>
        <v>623918</v>
      </c>
    </row>
    <row r="199" ht="15.75" customHeight="1">
      <c r="E199" s="14"/>
      <c r="F199" s="14"/>
    </row>
    <row r="200" ht="15.75" customHeight="1">
      <c r="E200" s="14"/>
      <c r="F200" s="14"/>
    </row>
    <row r="201" ht="15.75" customHeight="1">
      <c r="E201" s="29" t="s">
        <v>70</v>
      </c>
      <c r="F201" s="30" t="s">
        <v>15</v>
      </c>
    </row>
    <row r="202" ht="15.75" customHeight="1">
      <c r="E202" s="71" t="s">
        <v>74</v>
      </c>
      <c r="F202" s="32">
        <f t="shared" ref="F202:F207" si="4">+SUMIFS($I$3:$I$169,$C$3:$C$169,$F$201,$F$3:$F$169,E202)</f>
        <v>49623</v>
      </c>
    </row>
    <row r="203" ht="15.75" customHeight="1">
      <c r="E203" s="72" t="s">
        <v>67</v>
      </c>
      <c r="F203" s="32">
        <f t="shared" si="4"/>
        <v>45480</v>
      </c>
    </row>
    <row r="204" ht="15.75" customHeight="1">
      <c r="E204" s="70" t="s">
        <v>207</v>
      </c>
      <c r="F204" s="32">
        <f t="shared" si="4"/>
        <v>0</v>
      </c>
    </row>
    <row r="205" ht="15.75" customHeight="1">
      <c r="E205" s="70" t="s">
        <v>21</v>
      </c>
      <c r="F205" s="32">
        <f t="shared" si="4"/>
        <v>163303</v>
      </c>
    </row>
    <row r="206" ht="15.75" customHeight="1">
      <c r="E206" s="70" t="s">
        <v>73</v>
      </c>
      <c r="F206" s="32">
        <f t="shared" si="4"/>
        <v>452864</v>
      </c>
    </row>
    <row r="207" ht="15.75" customHeight="1">
      <c r="E207" s="73" t="s">
        <v>68</v>
      </c>
      <c r="F207" s="32">
        <f t="shared" si="4"/>
        <v>37380</v>
      </c>
    </row>
    <row r="208" ht="15.75" customHeight="1">
      <c r="E208" s="74" t="s">
        <v>9</v>
      </c>
      <c r="F208" s="40">
        <f>+SUM(F202:F207)</f>
        <v>748650</v>
      </c>
    </row>
    <row r="209" ht="15.75" customHeight="1">
      <c r="E209" s="14"/>
      <c r="F209" s="14"/>
    </row>
    <row r="210" ht="15.75" customHeight="1">
      <c r="E210" s="14"/>
      <c r="F210" s="14"/>
    </row>
    <row r="211" ht="15.75" customHeight="1">
      <c r="E211" s="29" t="s">
        <v>70</v>
      </c>
      <c r="F211" s="30" t="s">
        <v>17</v>
      </c>
    </row>
    <row r="212" ht="15.75" customHeight="1">
      <c r="E212" s="71" t="s">
        <v>74</v>
      </c>
      <c r="F212" s="32">
        <f t="shared" ref="F212:F217" si="5">+SUMIFS($I$3:$I$169,$C$3:$C$169,$F$211,$F$3:$F$169,E212)</f>
        <v>63878</v>
      </c>
    </row>
    <row r="213" ht="15.75" customHeight="1">
      <c r="E213" s="72" t="s">
        <v>67</v>
      </c>
      <c r="F213" s="32">
        <f t="shared" si="5"/>
        <v>0</v>
      </c>
    </row>
    <row r="214" ht="15.75" customHeight="1">
      <c r="E214" s="70" t="s">
        <v>207</v>
      </c>
      <c r="F214" s="32">
        <f t="shared" si="5"/>
        <v>219149</v>
      </c>
    </row>
    <row r="215" ht="15.75" customHeight="1">
      <c r="E215" s="70" t="s">
        <v>21</v>
      </c>
      <c r="F215" s="32">
        <f t="shared" si="5"/>
        <v>110445</v>
      </c>
    </row>
    <row r="216" ht="15.75" customHeight="1">
      <c r="E216" s="70" t="s">
        <v>73</v>
      </c>
      <c r="F216" s="32">
        <f t="shared" si="5"/>
        <v>408146</v>
      </c>
    </row>
    <row r="217" ht="15.75" customHeight="1">
      <c r="E217" s="73" t="s">
        <v>68</v>
      </c>
      <c r="F217" s="32">
        <f t="shared" si="5"/>
        <v>0</v>
      </c>
    </row>
    <row r="218" ht="15.75" customHeight="1">
      <c r="E218" s="74" t="s">
        <v>9</v>
      </c>
      <c r="F218" s="40">
        <f>+SUM(F212:F217)</f>
        <v>801618</v>
      </c>
    </row>
    <row r="219" ht="15.75" customHeight="1">
      <c r="H219" s="68"/>
    </row>
    <row r="220" ht="15.75" customHeight="1">
      <c r="H220" s="4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E171:F171"/>
  </mergeCells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43"/>
    <col customWidth="1" min="3" max="3" width="13.29"/>
    <col customWidth="1" min="4" max="4" width="8.14"/>
    <col customWidth="1" min="5" max="5" width="33.86"/>
    <col customWidth="1" min="6" max="6" width="15.29"/>
    <col customWidth="1" min="7" max="7" width="10.43"/>
    <col customWidth="1" min="8" max="9" width="13.14"/>
    <col customWidth="1" min="10" max="10" width="10.71"/>
  </cols>
  <sheetData>
    <row r="1" ht="27.75" customHeight="1">
      <c r="A1" s="41" t="s">
        <v>238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ht="15.75" customHeight="1">
      <c r="A3" s="49">
        <v>46144.0</v>
      </c>
      <c r="B3" s="7" t="s">
        <v>160</v>
      </c>
      <c r="C3" s="7" t="s">
        <v>11</v>
      </c>
      <c r="D3" s="7">
        <v>130.0</v>
      </c>
      <c r="E3" s="10" t="str">
        <f>+VLOOKUP(D3,ARTICULO!$A$2:$B$1048576,2,FALSE)</f>
        <v>GRAN CAMPEON AD ROJO Carne y Pollo X 21 KG</v>
      </c>
      <c r="F3" s="7" t="s">
        <v>68</v>
      </c>
      <c r="G3" s="7">
        <v>1.0</v>
      </c>
      <c r="H3" s="47">
        <v>25392.0</v>
      </c>
      <c r="I3" s="8">
        <f t="shared" ref="I3:I169" si="1">SUM(G3*H3)</f>
        <v>25392</v>
      </c>
    </row>
    <row r="4" ht="15.75" customHeight="1">
      <c r="A4" s="49">
        <v>46144.0</v>
      </c>
      <c r="B4" s="7" t="s">
        <v>160</v>
      </c>
      <c r="C4" s="7" t="s">
        <v>11</v>
      </c>
      <c r="D4" s="7">
        <v>131.0</v>
      </c>
      <c r="E4" s="10" t="str">
        <f>+VLOOKUP(D4,ARTICULO!$A$2:$B$1048576,2,FALSE)</f>
        <v>GRAN CAMPEON CACHORRO X 10 KG</v>
      </c>
      <c r="F4" s="7" t="s">
        <v>68</v>
      </c>
      <c r="G4" s="7">
        <v>1.0</v>
      </c>
      <c r="H4" s="47">
        <v>15514.0</v>
      </c>
      <c r="I4" s="8">
        <f t="shared" si="1"/>
        <v>15514</v>
      </c>
    </row>
    <row r="5" ht="15.75" customHeight="1">
      <c r="A5" s="49">
        <v>46144.0</v>
      </c>
      <c r="B5" s="7" t="s">
        <v>160</v>
      </c>
      <c r="C5" s="7" t="s">
        <v>11</v>
      </c>
      <c r="D5" s="7">
        <v>610.0</v>
      </c>
      <c r="E5" s="10" t="str">
        <f>+VLOOKUP(D5,ARTICULO!$A$2:$B$1048576,2,FALSE)</f>
        <v>MIX ENERGETICO S/C</v>
      </c>
      <c r="F5" s="7" t="s">
        <v>68</v>
      </c>
      <c r="G5" s="7">
        <v>1.0</v>
      </c>
      <c r="H5" s="47">
        <v>8103.0</v>
      </c>
      <c r="I5" s="8">
        <f t="shared" si="1"/>
        <v>8103</v>
      </c>
    </row>
    <row r="6" ht="15.75" customHeight="1">
      <c r="A6" s="49">
        <v>46144.0</v>
      </c>
      <c r="B6" s="7" t="s">
        <v>160</v>
      </c>
      <c r="C6" s="7" t="s">
        <v>11</v>
      </c>
      <c r="D6" s="7">
        <v>482.0</v>
      </c>
      <c r="E6" s="10" t="str">
        <f>+VLOOKUP(D6,ARTICULO!$A$2:$B$1048576,2,FALSE)</f>
        <v>MEZCLA FINA ESPECIAL (CARDENAL)</v>
      </c>
      <c r="F6" s="7" t="s">
        <v>68</v>
      </c>
      <c r="G6" s="7">
        <v>5.0</v>
      </c>
      <c r="H6" s="47">
        <v>846.0</v>
      </c>
      <c r="I6" s="8">
        <f t="shared" si="1"/>
        <v>4230</v>
      </c>
    </row>
    <row r="7" ht="15.75" customHeight="1">
      <c r="A7" s="49">
        <v>46144.0</v>
      </c>
      <c r="B7" s="7" t="s">
        <v>160</v>
      </c>
      <c r="C7" s="7" t="s">
        <v>11</v>
      </c>
      <c r="D7" s="7">
        <v>508.0</v>
      </c>
      <c r="E7" s="10" t="str">
        <f>+VLOOKUP(D7,ARTICULO!$A$2:$B$1048576,2,FALSE)</f>
        <v>COCO RALLADO</v>
      </c>
      <c r="F7" s="7" t="s">
        <v>68</v>
      </c>
      <c r="G7" s="7">
        <v>1.0</v>
      </c>
      <c r="H7" s="47">
        <v>10050.0</v>
      </c>
      <c r="I7" s="8">
        <f t="shared" si="1"/>
        <v>10050</v>
      </c>
    </row>
    <row r="8" ht="15.75" customHeight="1">
      <c r="A8" s="49">
        <v>46144.0</v>
      </c>
      <c r="B8" s="7" t="s">
        <v>160</v>
      </c>
      <c r="C8" s="7" t="s">
        <v>11</v>
      </c>
      <c r="D8" s="7">
        <v>470.0</v>
      </c>
      <c r="E8" s="10" t="str">
        <f>+VLOOKUP(D8,ARTICULO!$A$2:$B$1048576,2,FALSE)</f>
        <v>MEZCLA P/PAJARO</v>
      </c>
      <c r="F8" s="7" t="s">
        <v>68</v>
      </c>
      <c r="G8" s="7">
        <v>5.0</v>
      </c>
      <c r="H8" s="47">
        <v>1350.0</v>
      </c>
      <c r="I8" s="8">
        <f t="shared" si="1"/>
        <v>6750</v>
      </c>
    </row>
    <row r="9" ht="15.75" customHeight="1">
      <c r="A9" s="49">
        <v>46144.0</v>
      </c>
      <c r="B9" s="7" t="s">
        <v>160</v>
      </c>
      <c r="C9" s="7" t="s">
        <v>11</v>
      </c>
      <c r="D9" s="7">
        <v>320.0</v>
      </c>
      <c r="E9" s="10" t="str">
        <f>+VLOOKUP(D9,ARTICULO!$A$2:$B$1048576,2,FALSE)</f>
        <v>BOLITAS DE CHOCOLATE x 2.5 Kg</v>
      </c>
      <c r="F9" s="7" t="s">
        <v>68</v>
      </c>
      <c r="G9" s="7">
        <v>1.0</v>
      </c>
      <c r="H9" s="47">
        <v>15327.0</v>
      </c>
      <c r="I9" s="8">
        <f t="shared" si="1"/>
        <v>15327</v>
      </c>
    </row>
    <row r="10" ht="15.75" customHeight="1">
      <c r="A10" s="49">
        <v>46144.0</v>
      </c>
      <c r="B10" s="7" t="s">
        <v>160</v>
      </c>
      <c r="C10" s="7" t="s">
        <v>11</v>
      </c>
      <c r="D10" s="7">
        <v>612.0</v>
      </c>
      <c r="E10" s="10" t="str">
        <f>+VLOOKUP(D10,ARTICULO!$A$2:$B$1048576,2,FALSE)</f>
        <v>NUEZ PELADA AMBAR</v>
      </c>
      <c r="F10" s="7" t="s">
        <v>68</v>
      </c>
      <c r="G10" s="7">
        <v>1.0</v>
      </c>
      <c r="H10" s="47">
        <v>17550.0</v>
      </c>
      <c r="I10" s="8">
        <f t="shared" si="1"/>
        <v>17550</v>
      </c>
    </row>
    <row r="11" ht="15.75" customHeight="1">
      <c r="A11" s="49">
        <v>46144.0</v>
      </c>
      <c r="B11" s="7" t="s">
        <v>103</v>
      </c>
      <c r="C11" s="7" t="s">
        <v>11</v>
      </c>
      <c r="D11" s="7">
        <v>352.0</v>
      </c>
      <c r="E11" s="10" t="str">
        <f>+VLOOKUP(D11,ARTICULO!$A$2:$B$1048576,2,FALSE)</f>
        <v>GRANOLA x 1.5 kg</v>
      </c>
      <c r="F11" s="44" t="s">
        <v>74</v>
      </c>
      <c r="G11" s="7">
        <v>10.0</v>
      </c>
      <c r="H11" s="47">
        <v>10345.0</v>
      </c>
      <c r="I11" s="8">
        <f t="shared" si="1"/>
        <v>103450</v>
      </c>
      <c r="J11" s="69" t="s">
        <v>239</v>
      </c>
    </row>
    <row r="12" ht="15.75" customHeight="1">
      <c r="A12" s="49">
        <v>46144.0</v>
      </c>
      <c r="B12" s="7" t="s">
        <v>240</v>
      </c>
      <c r="C12" s="7" t="s">
        <v>11</v>
      </c>
      <c r="D12" s="7">
        <v>166.0</v>
      </c>
      <c r="E12" s="10" t="str">
        <f>+VLOOKUP(D12,ARTICULO!$A$2:$B$1048576,2,FALSE)</f>
        <v>FLECKY ADULTO CARNE  X 21 KG</v>
      </c>
      <c r="F12" s="12" t="s">
        <v>207</v>
      </c>
      <c r="G12" s="7">
        <v>2.0</v>
      </c>
      <c r="H12" s="47">
        <v>14392.0</v>
      </c>
      <c r="I12" s="8">
        <f t="shared" si="1"/>
        <v>28784</v>
      </c>
    </row>
    <row r="13" ht="15.75" customHeight="1">
      <c r="A13" s="49">
        <v>46144.0</v>
      </c>
      <c r="B13" s="7" t="s">
        <v>241</v>
      </c>
      <c r="C13" s="7" t="s">
        <v>11</v>
      </c>
      <c r="D13" s="7">
        <v>173.0</v>
      </c>
      <c r="E13" s="10" t="str">
        <f>+VLOOKUP(D13,ARTICULO!$A$2:$B$1048576,2,FALSE)</f>
        <v>BALANCED CACHORRO RAZA MED X 20KG</v>
      </c>
      <c r="F13" s="12" t="s">
        <v>207</v>
      </c>
      <c r="G13" s="7">
        <v>1.0</v>
      </c>
      <c r="H13" s="47">
        <v>85979.0</v>
      </c>
      <c r="I13" s="8">
        <f t="shared" si="1"/>
        <v>85979</v>
      </c>
    </row>
    <row r="14" ht="15.75" customHeight="1">
      <c r="A14" s="49">
        <v>46144.0</v>
      </c>
      <c r="B14" s="7" t="s">
        <v>192</v>
      </c>
      <c r="C14" s="7" t="s">
        <v>19</v>
      </c>
      <c r="D14" s="7">
        <v>1968.0</v>
      </c>
      <c r="E14" s="10" t="str">
        <f>+VLOOKUP(D14,ARTICULO!$A$2:$B$1048576,2,FALSE)</f>
        <v>ULTRA RATICIDA 30 SOBRES X 50 GR</v>
      </c>
      <c r="F14" s="7" t="s">
        <v>73</v>
      </c>
      <c r="G14" s="7">
        <v>30.0</v>
      </c>
      <c r="H14" s="47">
        <v>1161.0</v>
      </c>
      <c r="I14" s="8">
        <f t="shared" si="1"/>
        <v>34830</v>
      </c>
    </row>
    <row r="15" ht="15.75" customHeight="1">
      <c r="A15" s="49">
        <v>46146.0</v>
      </c>
      <c r="B15" s="7" t="s">
        <v>242</v>
      </c>
      <c r="C15" s="7" t="s">
        <v>19</v>
      </c>
      <c r="D15" s="7">
        <v>405.0</v>
      </c>
      <c r="E15" s="10" t="str">
        <f>+VLOOKUP(D15,ARTICULO!$A$2:$B$1048576,2,FALSE)</f>
        <v>SESAMO</v>
      </c>
      <c r="F15" s="7" t="s">
        <v>73</v>
      </c>
      <c r="G15" s="7">
        <v>10.0</v>
      </c>
      <c r="H15" s="47">
        <v>2186.0</v>
      </c>
      <c r="I15" s="8">
        <f t="shared" si="1"/>
        <v>21860</v>
      </c>
    </row>
    <row r="16" ht="15.75" customHeight="1">
      <c r="A16" s="49">
        <v>46147.0</v>
      </c>
      <c r="B16" s="7" t="s">
        <v>148</v>
      </c>
      <c r="C16" s="7" t="s">
        <v>17</v>
      </c>
      <c r="D16" s="7">
        <v>134.0</v>
      </c>
      <c r="E16" s="10" t="str">
        <f>+VLOOKUP(D16,ARTICULO!$A$2:$B$1048576,2,FALSE)</f>
        <v>BELCAN ADULTOS X 22KG</v>
      </c>
      <c r="F16" s="7" t="s">
        <v>21</v>
      </c>
      <c r="G16" s="7">
        <v>2.0</v>
      </c>
      <c r="H16" s="47">
        <v>27403.0</v>
      </c>
      <c r="I16" s="8">
        <f t="shared" si="1"/>
        <v>54806</v>
      </c>
    </row>
    <row r="17" ht="15.75" customHeight="1">
      <c r="A17" s="49">
        <v>46117.0</v>
      </c>
      <c r="B17" s="7" t="s">
        <v>148</v>
      </c>
      <c r="C17" s="7" t="s">
        <v>17</v>
      </c>
      <c r="D17" s="7">
        <v>602.0</v>
      </c>
      <c r="E17" s="10" t="str">
        <f>+VLOOKUP(D17,ARTICULO!$A$2:$B$1048576,2,FALSE)</f>
        <v>CIRUELA</v>
      </c>
      <c r="F17" s="7" t="s">
        <v>21</v>
      </c>
      <c r="G17" s="7">
        <v>3.0</v>
      </c>
      <c r="H17" s="47">
        <v>6412.0</v>
      </c>
      <c r="I17" s="8">
        <f t="shared" si="1"/>
        <v>19236</v>
      </c>
    </row>
    <row r="18" ht="15.75" customHeight="1">
      <c r="A18" s="49">
        <v>46117.0</v>
      </c>
      <c r="B18" s="7" t="s">
        <v>243</v>
      </c>
      <c r="C18" s="7" t="s">
        <v>17</v>
      </c>
      <c r="D18" s="7">
        <v>57.0</v>
      </c>
      <c r="E18" s="10" t="str">
        <f>+VLOOKUP(D18,ARTICULO!$A$2:$B$1048576,2,FALSE)</f>
        <v>PONEDORA POSTURA X 40 KG</v>
      </c>
      <c r="F18" s="7" t="s">
        <v>73</v>
      </c>
      <c r="G18" s="7">
        <v>1.0</v>
      </c>
      <c r="H18" s="47">
        <v>20427.0</v>
      </c>
      <c r="I18" s="8">
        <f t="shared" si="1"/>
        <v>20427</v>
      </c>
    </row>
    <row r="19" ht="15.75" customHeight="1">
      <c r="A19" s="49">
        <v>46148.0</v>
      </c>
      <c r="B19" s="7" t="s">
        <v>244</v>
      </c>
      <c r="C19" s="7" t="s">
        <v>15</v>
      </c>
      <c r="D19" s="7">
        <v>117.0</v>
      </c>
      <c r="E19" s="10" t="str">
        <f>+VLOOKUP(D19,ARTICULO!$A$2:$B$1048576,2,FALSE)</f>
        <v>TIERNITO CACHO x 21 KG</v>
      </c>
      <c r="F19" s="7" t="s">
        <v>21</v>
      </c>
      <c r="G19" s="7">
        <v>1.0</v>
      </c>
      <c r="H19" s="47">
        <v>38045.0</v>
      </c>
      <c r="I19" s="8">
        <f t="shared" si="1"/>
        <v>38045</v>
      </c>
    </row>
    <row r="20" ht="15.75" customHeight="1">
      <c r="A20" s="49">
        <v>46148.0</v>
      </c>
      <c r="B20" s="7" t="s">
        <v>244</v>
      </c>
      <c r="C20" s="7" t="s">
        <v>15</v>
      </c>
      <c r="D20" s="7">
        <v>150.0</v>
      </c>
      <c r="E20" s="10" t="str">
        <f>+VLOOKUP(D20,ARTICULO!$A$2:$B$1048576,2,FALSE)</f>
        <v>ZIMPI X 15 KG</v>
      </c>
      <c r="F20" s="7" t="s">
        <v>21</v>
      </c>
      <c r="G20" s="7">
        <v>2.0</v>
      </c>
      <c r="H20" s="47">
        <v>13962.0</v>
      </c>
      <c r="I20" s="8">
        <f t="shared" si="1"/>
        <v>27924</v>
      </c>
    </row>
    <row r="21" ht="15.75" customHeight="1">
      <c r="A21" s="49">
        <v>46148.0</v>
      </c>
      <c r="B21" s="7" t="s">
        <v>244</v>
      </c>
      <c r="C21" s="7" t="s">
        <v>15</v>
      </c>
      <c r="D21" s="7">
        <v>185.0</v>
      </c>
      <c r="E21" s="10" t="str">
        <f>+VLOOKUP(D21,ARTICULO!$A$2:$B$1048576,2,FALSE)</f>
        <v>ZIMPI GATO X 15 KG</v>
      </c>
      <c r="F21" s="7" t="s">
        <v>21</v>
      </c>
      <c r="G21" s="7">
        <v>3.0</v>
      </c>
      <c r="H21" s="47">
        <v>22790.0</v>
      </c>
      <c r="I21" s="8">
        <f t="shared" si="1"/>
        <v>68370</v>
      </c>
    </row>
    <row r="22" ht="15.75" customHeight="1">
      <c r="A22" s="49">
        <v>46148.0</v>
      </c>
      <c r="B22" s="7" t="s">
        <v>83</v>
      </c>
      <c r="C22" s="7" t="s">
        <v>11</v>
      </c>
      <c r="D22" s="7">
        <v>10.0</v>
      </c>
      <c r="E22" s="10" t="str">
        <f>+VLOOKUP(D22,ARTICULO!$A$2:$B$1048576,2,FALSE)</f>
        <v>PAJARO 4 mm x 25 Kg - GANAVE</v>
      </c>
      <c r="F22" s="7" t="s">
        <v>73</v>
      </c>
      <c r="G22" s="7">
        <v>1.0</v>
      </c>
      <c r="H22" s="47">
        <v>47418.0</v>
      </c>
      <c r="I22" s="8">
        <f t="shared" si="1"/>
        <v>47418</v>
      </c>
    </row>
    <row r="23" ht="15.75" customHeight="1">
      <c r="A23" s="49">
        <v>46149.0</v>
      </c>
      <c r="B23" s="7" t="s">
        <v>115</v>
      </c>
      <c r="C23" s="7" t="s">
        <v>19</v>
      </c>
      <c r="D23" s="7">
        <v>151.0</v>
      </c>
      <c r="E23" s="10" t="str">
        <f>+VLOOKUP(D23,ARTICULO!$A$2:$B$1048576,2,FALSE)</f>
        <v>ZIMPI X 25 KG</v>
      </c>
      <c r="F23" s="44" t="s">
        <v>74</v>
      </c>
      <c r="G23" s="7">
        <v>30.0</v>
      </c>
      <c r="H23" s="47">
        <v>17090.0</v>
      </c>
      <c r="I23" s="8">
        <f t="shared" si="1"/>
        <v>512700</v>
      </c>
      <c r="J23" s="69" t="s">
        <v>245</v>
      </c>
    </row>
    <row r="24" ht="15.75" customHeight="1">
      <c r="A24" s="49">
        <v>46149.0</v>
      </c>
      <c r="B24" s="7" t="s">
        <v>58</v>
      </c>
      <c r="C24" s="7" t="s">
        <v>19</v>
      </c>
      <c r="D24" s="7">
        <v>468.0</v>
      </c>
      <c r="E24" s="10" t="str">
        <f>+VLOOKUP(D24,ARTICULO!$A$2:$B$1048576,2,FALSE)</f>
        <v>MEZCLA GRUESA/MEDIANA</v>
      </c>
      <c r="F24" s="7" t="s">
        <v>73</v>
      </c>
      <c r="G24" s="7">
        <v>120.0</v>
      </c>
      <c r="H24" s="47">
        <v>530.0</v>
      </c>
      <c r="I24" s="8">
        <f t="shared" si="1"/>
        <v>63600</v>
      </c>
    </row>
    <row r="25" ht="15.75" customHeight="1">
      <c r="A25" s="49">
        <v>46149.0</v>
      </c>
      <c r="B25" s="7" t="s">
        <v>246</v>
      </c>
      <c r="C25" s="7" t="s">
        <v>11</v>
      </c>
      <c r="D25" s="7">
        <v>652.0</v>
      </c>
      <c r="E25" s="10" t="str">
        <f>+VLOOKUP(D25,ARTICULO!$A$2:$B$1048576,2,FALSE)</f>
        <v>MANI SABORIZADO</v>
      </c>
      <c r="F25" s="12" t="s">
        <v>207</v>
      </c>
      <c r="G25" s="7">
        <v>1.0</v>
      </c>
      <c r="H25" s="47">
        <v>4200.0</v>
      </c>
      <c r="I25" s="8">
        <f t="shared" si="1"/>
        <v>4200</v>
      </c>
    </row>
    <row r="26" ht="15.75" customHeight="1">
      <c r="A26" s="49">
        <v>46149.0</v>
      </c>
      <c r="B26" s="7" t="s">
        <v>57</v>
      </c>
      <c r="C26" s="7" t="s">
        <v>19</v>
      </c>
      <c r="D26" s="7">
        <v>117.0</v>
      </c>
      <c r="E26" s="10" t="str">
        <f>+VLOOKUP(D26,ARTICULO!$A$2:$B$1048576,2,FALSE)</f>
        <v>TIERNITO CACHO x 21 KG</v>
      </c>
      <c r="F26" s="7" t="s">
        <v>73</v>
      </c>
      <c r="G26" s="7">
        <v>2.0</v>
      </c>
      <c r="H26" s="47">
        <v>36043.0</v>
      </c>
      <c r="I26" s="8">
        <f t="shared" si="1"/>
        <v>72086</v>
      </c>
    </row>
    <row r="27" ht="15.75" customHeight="1">
      <c r="A27" s="49">
        <v>46149.0</v>
      </c>
      <c r="B27" s="7" t="s">
        <v>57</v>
      </c>
      <c r="C27" s="7" t="s">
        <v>19</v>
      </c>
      <c r="D27" s="7">
        <v>6.0</v>
      </c>
      <c r="E27" s="10" t="str">
        <f>+VLOOKUP(D27,ARTICULO!$A$2:$B$1048576,2,FALSE)</f>
        <v>CONEJO X 25 KG - CONECAR</v>
      </c>
      <c r="F27" s="12" t="s">
        <v>207</v>
      </c>
      <c r="G27" s="7">
        <v>1.0</v>
      </c>
      <c r="H27" s="47">
        <v>17777.0</v>
      </c>
      <c r="I27" s="8">
        <f t="shared" si="1"/>
        <v>17777</v>
      </c>
    </row>
    <row r="28" ht="15.75" customHeight="1">
      <c r="A28" s="49">
        <v>46149.0</v>
      </c>
      <c r="B28" s="7" t="s">
        <v>247</v>
      </c>
      <c r="C28" s="7" t="s">
        <v>17</v>
      </c>
      <c r="D28" s="7">
        <v>330.0</v>
      </c>
      <c r="E28" s="10" t="str">
        <f>+VLOOKUP(D28,ARTICULO!$A$2:$B$1048576,2,FALSE)</f>
        <v>CEREAL CON AZUCAR x 2.5 Kg</v>
      </c>
      <c r="F28" s="7" t="s">
        <v>73</v>
      </c>
      <c r="G28" s="7">
        <v>4.0</v>
      </c>
      <c r="H28" s="47">
        <v>11633.0</v>
      </c>
      <c r="I28" s="8">
        <f t="shared" si="1"/>
        <v>46532</v>
      </c>
    </row>
    <row r="29" ht="15.75" customHeight="1">
      <c r="A29" s="49">
        <v>46149.0</v>
      </c>
      <c r="B29" s="7" t="s">
        <v>247</v>
      </c>
      <c r="C29" s="7" t="s">
        <v>17</v>
      </c>
      <c r="D29" s="7">
        <v>410.0</v>
      </c>
      <c r="E29" s="10" t="str">
        <f>+VLOOKUP(D29,ARTICULO!$A$2:$B$1048576,2,FALSE)</f>
        <v>SALVADO DE TRIGO</v>
      </c>
      <c r="F29" s="12" t="s">
        <v>207</v>
      </c>
      <c r="G29" s="7">
        <v>10.0</v>
      </c>
      <c r="H29" s="47">
        <v>980.0</v>
      </c>
      <c r="I29" s="8">
        <f t="shared" si="1"/>
        <v>9800</v>
      </c>
    </row>
    <row r="30" ht="15.75" customHeight="1">
      <c r="A30" s="49">
        <v>46146.0</v>
      </c>
      <c r="B30" s="7" t="s">
        <v>248</v>
      </c>
      <c r="C30" s="7" t="s">
        <v>11</v>
      </c>
      <c r="D30" s="7">
        <v>169.0</v>
      </c>
      <c r="E30" s="10" t="str">
        <f>+VLOOKUP(D30,ARTICULO!$A$2:$B$1048576,2,FALSE)</f>
        <v>COMPLETE PERRO ADULTO RAZA MED Y GDE X 20KG</v>
      </c>
      <c r="F30" s="44" t="s">
        <v>74</v>
      </c>
      <c r="G30" s="7">
        <v>1.0</v>
      </c>
      <c r="H30" s="47">
        <v>52776.0</v>
      </c>
      <c r="I30" s="8">
        <f t="shared" si="1"/>
        <v>52776</v>
      </c>
      <c r="J30" s="69" t="s">
        <v>239</v>
      </c>
    </row>
    <row r="31" ht="15.75" customHeight="1">
      <c r="A31" s="49">
        <v>46149.0</v>
      </c>
      <c r="B31" s="7" t="s">
        <v>172</v>
      </c>
      <c r="C31" s="7" t="s">
        <v>19</v>
      </c>
      <c r="D31" s="7">
        <v>1905.0</v>
      </c>
      <c r="E31" s="10" t="str">
        <f>+VLOOKUP(D31,ARTICULO!$A$2:$B$1048576,2,FALSE)</f>
        <v>FERTIFOX HORM. ENRAIZAR x 75 gr</v>
      </c>
      <c r="F31" s="7" t="s">
        <v>73</v>
      </c>
      <c r="G31" s="7">
        <v>3.0</v>
      </c>
      <c r="H31" s="47">
        <v>6969.0</v>
      </c>
      <c r="I31" s="8">
        <f t="shared" si="1"/>
        <v>20907</v>
      </c>
    </row>
    <row r="32" ht="15.75" customHeight="1">
      <c r="A32" s="49">
        <v>46149.0</v>
      </c>
      <c r="B32" s="7" t="s">
        <v>151</v>
      </c>
      <c r="C32" s="7" t="s">
        <v>19</v>
      </c>
      <c r="D32" s="7">
        <v>6.0</v>
      </c>
      <c r="E32" s="10" t="str">
        <f>+VLOOKUP(D32,ARTICULO!$A$2:$B$1048576,2,FALSE)</f>
        <v>CONEJO X 25 KG - CONECAR</v>
      </c>
      <c r="F32" s="12" t="s">
        <v>207</v>
      </c>
      <c r="G32" s="7">
        <v>1.0</v>
      </c>
      <c r="H32" s="47">
        <v>15685.0</v>
      </c>
      <c r="I32" s="8">
        <f t="shared" si="1"/>
        <v>15685</v>
      </c>
    </row>
    <row r="33" ht="15.75" customHeight="1">
      <c r="A33" s="49">
        <v>46241.0</v>
      </c>
      <c r="B33" s="7" t="s">
        <v>249</v>
      </c>
      <c r="C33" s="7" t="s">
        <v>15</v>
      </c>
      <c r="D33" s="7">
        <v>491.0</v>
      </c>
      <c r="E33" s="10" t="str">
        <f>+VLOOKUP(D33,ARTICULO!$A$2:$B$1048576,2,FALSE)</f>
        <v>MEZCLA GALLO PREMIUM</v>
      </c>
      <c r="F33" s="7" t="s">
        <v>92</v>
      </c>
      <c r="G33" s="7">
        <v>150.0</v>
      </c>
      <c r="H33" s="47">
        <v>801.0</v>
      </c>
      <c r="I33" s="47">
        <f t="shared" si="1"/>
        <v>120150</v>
      </c>
    </row>
    <row r="34" ht="15.75" customHeight="1">
      <c r="A34" s="49">
        <v>46150.0</v>
      </c>
      <c r="B34" s="7" t="s">
        <v>32</v>
      </c>
      <c r="C34" s="7" t="s">
        <v>17</v>
      </c>
      <c r="D34" s="7">
        <v>652.0</v>
      </c>
      <c r="E34" s="10" t="str">
        <f>+VLOOKUP(D34,ARTICULO!$A$2:$B$1048576,2,FALSE)</f>
        <v>MANI SABORIZADO</v>
      </c>
      <c r="F34" s="12" t="s">
        <v>207</v>
      </c>
      <c r="G34" s="7">
        <v>2.0</v>
      </c>
      <c r="H34" s="47">
        <v>4200.0</v>
      </c>
      <c r="I34" s="47">
        <f t="shared" si="1"/>
        <v>8400</v>
      </c>
    </row>
    <row r="35" ht="15.75" customHeight="1">
      <c r="A35" s="49">
        <v>46150.0</v>
      </c>
      <c r="B35" s="7" t="s">
        <v>250</v>
      </c>
      <c r="C35" s="7" t="s">
        <v>19</v>
      </c>
      <c r="D35" s="7">
        <v>6.0</v>
      </c>
      <c r="E35" s="10" t="str">
        <f>+VLOOKUP(D35,ARTICULO!$A$2:$B$1048576,2,FALSE)</f>
        <v>CONEJO X 25 KG - CONECAR</v>
      </c>
      <c r="F35" s="12" t="s">
        <v>207</v>
      </c>
      <c r="G35" s="7">
        <v>1.0</v>
      </c>
      <c r="H35" s="51">
        <v>17777.0</v>
      </c>
      <c r="I35" s="47">
        <f t="shared" si="1"/>
        <v>17777</v>
      </c>
    </row>
    <row r="36" ht="15.75" customHeight="1">
      <c r="A36" s="49">
        <v>46150.0</v>
      </c>
      <c r="B36" s="7" t="s">
        <v>32</v>
      </c>
      <c r="C36" s="7" t="s">
        <v>17</v>
      </c>
      <c r="D36" s="7">
        <v>652.0</v>
      </c>
      <c r="E36" s="10" t="str">
        <f>+VLOOKUP(D36,ARTICULO!$A$2:$B$1048576,2,FALSE)</f>
        <v>MANI SABORIZADO</v>
      </c>
      <c r="F36" s="12" t="s">
        <v>207</v>
      </c>
      <c r="G36" s="7">
        <v>2.0</v>
      </c>
      <c r="H36" s="51">
        <v>4200.0</v>
      </c>
      <c r="I36" s="51">
        <f t="shared" si="1"/>
        <v>8400</v>
      </c>
    </row>
    <row r="37" ht="15.75" customHeight="1">
      <c r="A37" s="49">
        <v>46150.0</v>
      </c>
      <c r="B37" s="7" t="s">
        <v>251</v>
      </c>
      <c r="C37" s="7" t="s">
        <v>19</v>
      </c>
      <c r="D37" s="7">
        <v>1950.0</v>
      </c>
      <c r="E37" s="10" t="str">
        <f>+VLOOKUP(D37,ARTICULO!$A$2:$B$1048576,2,FALSE)</f>
        <v>GERMANI GEL JERINGA X 5 GR</v>
      </c>
      <c r="F37" s="44" t="s">
        <v>74</v>
      </c>
      <c r="G37" s="7">
        <v>6.0</v>
      </c>
      <c r="H37" s="47">
        <v>3284.0</v>
      </c>
      <c r="I37" s="51">
        <f t="shared" si="1"/>
        <v>19704</v>
      </c>
      <c r="J37" s="69" t="s">
        <v>239</v>
      </c>
    </row>
    <row r="38" ht="15.75" customHeight="1">
      <c r="A38" s="49">
        <v>46150.0</v>
      </c>
      <c r="B38" s="7" t="s">
        <v>95</v>
      </c>
      <c r="C38" s="7" t="s">
        <v>19</v>
      </c>
      <c r="D38" s="7">
        <v>6.0</v>
      </c>
      <c r="E38" s="10" t="str">
        <f>+VLOOKUP(D38,ARTICULO!$A$2:$B$1048576,2,FALSE)</f>
        <v>CONEJO X 25 KG - CONECAR</v>
      </c>
      <c r="F38" s="12" t="s">
        <v>207</v>
      </c>
      <c r="G38" s="7">
        <v>2.0</v>
      </c>
      <c r="H38" s="47">
        <v>17777.0</v>
      </c>
      <c r="I38" s="51">
        <f t="shared" si="1"/>
        <v>35554</v>
      </c>
    </row>
    <row r="39" ht="15.75" customHeight="1">
      <c r="A39" s="49">
        <v>46150.0</v>
      </c>
      <c r="B39" s="7" t="s">
        <v>252</v>
      </c>
      <c r="C39" s="7" t="s">
        <v>17</v>
      </c>
      <c r="D39" s="7">
        <v>10672.0</v>
      </c>
      <c r="E39" s="10" t="str">
        <f>+VLOOKUP(D39,ARTICULO!$A$2:$B$1048576,2,FALSE)</f>
        <v>MANI TOSTADO SALADO X KG - Mani king</v>
      </c>
      <c r="F39" s="7" t="s">
        <v>73</v>
      </c>
      <c r="G39" s="7">
        <v>1.0</v>
      </c>
      <c r="H39" s="47">
        <v>4810.0</v>
      </c>
      <c r="I39" s="51">
        <f t="shared" si="1"/>
        <v>4810</v>
      </c>
    </row>
    <row r="40" ht="15.75" customHeight="1">
      <c r="A40" s="49">
        <v>46150.0</v>
      </c>
      <c r="B40" s="7" t="s">
        <v>38</v>
      </c>
      <c r="C40" s="7" t="s">
        <v>15</v>
      </c>
      <c r="D40" s="7">
        <v>1950.0</v>
      </c>
      <c r="E40" s="10" t="str">
        <f>+VLOOKUP(D40,ARTICULO!$A$2:$B$1048576,2,FALSE)</f>
        <v>GERMANI GEL JERINGA X 5 GR</v>
      </c>
      <c r="F40" s="7" t="s">
        <v>73</v>
      </c>
      <c r="G40" s="7">
        <v>2.0</v>
      </c>
      <c r="H40" s="47">
        <v>20020.0</v>
      </c>
      <c r="I40" s="51">
        <f t="shared" si="1"/>
        <v>40040</v>
      </c>
    </row>
    <row r="41" ht="15.75" customHeight="1">
      <c r="A41" s="49">
        <v>46150.0</v>
      </c>
      <c r="B41" s="7" t="s">
        <v>253</v>
      </c>
      <c r="C41" s="7" t="s">
        <v>19</v>
      </c>
      <c r="D41" s="7">
        <v>330.0</v>
      </c>
      <c r="E41" s="10" t="str">
        <f>+VLOOKUP(D41,ARTICULO!$A$2:$B$1048576,2,FALSE)</f>
        <v>CEREAL CON AZUCAR x 2.5 Kg</v>
      </c>
      <c r="F41" s="7" t="s">
        <v>73</v>
      </c>
      <c r="G41" s="7">
        <v>1.0</v>
      </c>
      <c r="H41" s="47">
        <v>10802.0</v>
      </c>
      <c r="I41" s="51">
        <f t="shared" si="1"/>
        <v>10802</v>
      </c>
    </row>
    <row r="42" ht="15.75" customHeight="1">
      <c r="A42" s="49">
        <v>46150.0</v>
      </c>
      <c r="B42" s="7" t="s">
        <v>155</v>
      </c>
      <c r="C42" s="7" t="s">
        <v>15</v>
      </c>
      <c r="D42" s="7">
        <v>2002.0</v>
      </c>
      <c r="E42" s="7" t="str">
        <f>+VLOOKUP(D42,ARTICULO!$A$2:$B$1048576,2,FALSE)</f>
        <v>FRAC. SALADO FRITO S/PIEL MK 350GR</v>
      </c>
      <c r="F42" s="44" t="s">
        <v>74</v>
      </c>
      <c r="G42" s="7">
        <v>1.0</v>
      </c>
      <c r="H42" s="47">
        <v>2373.0</v>
      </c>
      <c r="I42" s="51">
        <f t="shared" si="1"/>
        <v>2373</v>
      </c>
      <c r="J42" s="69" t="s">
        <v>245</v>
      </c>
    </row>
    <row r="43" ht="15.75" customHeight="1">
      <c r="A43" s="49">
        <v>46151.0</v>
      </c>
      <c r="B43" s="7" t="s">
        <v>254</v>
      </c>
      <c r="C43" s="7" t="s">
        <v>17</v>
      </c>
      <c r="D43" s="7">
        <v>1009.0</v>
      </c>
      <c r="E43" s="10" t="str">
        <f>+VLOOKUP(D43,ARTICULO!$A$2:$B$1048576,2,FALSE)</f>
        <v>PIEDRAS SANITARIAS X 20 KG</v>
      </c>
      <c r="F43" s="7" t="s">
        <v>73</v>
      </c>
      <c r="G43" s="7">
        <v>15.0</v>
      </c>
      <c r="H43" s="47">
        <v>9276.0</v>
      </c>
      <c r="I43" s="51">
        <f t="shared" si="1"/>
        <v>139140</v>
      </c>
    </row>
    <row r="44" ht="15.75" customHeight="1">
      <c r="A44" s="49">
        <v>46153.0</v>
      </c>
      <c r="B44" s="7" t="s">
        <v>255</v>
      </c>
      <c r="C44" s="7" t="s">
        <v>17</v>
      </c>
      <c r="D44" s="7">
        <v>7.0</v>
      </c>
      <c r="E44" s="10" t="str">
        <f>+VLOOKUP(D44,ARTICULO!$A$2:$B$1048576,2,FALSE)</f>
        <v>CONEJO X 25 KG - GEPSA</v>
      </c>
      <c r="F44" s="7" t="s">
        <v>73</v>
      </c>
      <c r="G44" s="7">
        <v>1.0</v>
      </c>
      <c r="H44" s="47">
        <v>18133.0</v>
      </c>
      <c r="I44" s="51">
        <f t="shared" si="1"/>
        <v>18133</v>
      </c>
    </row>
    <row r="45" ht="15.75" customHeight="1">
      <c r="A45" s="49">
        <v>46153.0</v>
      </c>
      <c r="B45" s="7" t="s">
        <v>202</v>
      </c>
      <c r="C45" s="7" t="s">
        <v>19</v>
      </c>
      <c r="D45" s="7">
        <v>400.0</v>
      </c>
      <c r="E45" s="10" t="str">
        <f>+VLOOKUP(D45,ARTICULO!$A$2:$B$1048576,2,FALSE)</f>
        <v>ALPISTE</v>
      </c>
      <c r="F45" s="44" t="s">
        <v>74</v>
      </c>
      <c r="G45" s="7">
        <v>30.0</v>
      </c>
      <c r="H45" s="47">
        <v>1230.0</v>
      </c>
      <c r="I45" s="51">
        <f t="shared" si="1"/>
        <v>36900</v>
      </c>
      <c r="J45" s="69" t="s">
        <v>245</v>
      </c>
    </row>
    <row r="46" ht="15.75" customHeight="1">
      <c r="A46" s="49">
        <v>46153.0</v>
      </c>
      <c r="B46" s="7" t="s">
        <v>232</v>
      </c>
      <c r="C46" s="7" t="s">
        <v>17</v>
      </c>
      <c r="D46" s="7">
        <v>478.0</v>
      </c>
      <c r="E46" s="10" t="str">
        <f>+VLOOKUP(D46,ARTICULO!$A$2:$B$1048576,2,FALSE)</f>
        <v>MAIZ QUEBRADO GRUESO X 30 KG</v>
      </c>
      <c r="F46" s="7" t="s">
        <v>73</v>
      </c>
      <c r="G46" s="7">
        <v>1.0</v>
      </c>
      <c r="H46" s="47">
        <v>17000.0</v>
      </c>
      <c r="I46" s="51">
        <f t="shared" si="1"/>
        <v>17000</v>
      </c>
    </row>
    <row r="47" ht="15.75" customHeight="1">
      <c r="A47" s="49">
        <v>46154.0</v>
      </c>
      <c r="B47" s="7" t="s">
        <v>256</v>
      </c>
      <c r="C47" s="7" t="s">
        <v>11</v>
      </c>
      <c r="D47" s="7">
        <v>995.0</v>
      </c>
      <c r="E47" s="10" t="str">
        <f>+VLOOKUP(D47,ARTICULO!$A$2:$B$1048576,2,FALSE)</f>
        <v>PIEDRAS SANITARIAS MI NINO 12,5</v>
      </c>
      <c r="F47" s="12" t="s">
        <v>92</v>
      </c>
      <c r="G47" s="7">
        <v>12.0</v>
      </c>
      <c r="H47" s="47">
        <v>6193.0</v>
      </c>
      <c r="I47" s="51">
        <f t="shared" si="1"/>
        <v>74316</v>
      </c>
    </row>
    <row r="48" ht="15.75" customHeight="1">
      <c r="A48" s="49">
        <v>46154.0</v>
      </c>
      <c r="B48" s="7" t="s">
        <v>197</v>
      </c>
      <c r="C48" s="7" t="s">
        <v>11</v>
      </c>
      <c r="D48" s="7">
        <v>464.0</v>
      </c>
      <c r="E48" s="10" t="str">
        <f>+VLOOKUP(D48,ARTICULO!$A$2:$B$1048576,2,FALSE)</f>
        <v>MEZCLA GALLO CON AVENA PELADA</v>
      </c>
      <c r="F48" s="12" t="s">
        <v>21</v>
      </c>
      <c r="G48" s="7">
        <v>30.0</v>
      </c>
      <c r="H48" s="47">
        <v>681.0</v>
      </c>
      <c r="I48" s="51">
        <f t="shared" si="1"/>
        <v>20430</v>
      </c>
    </row>
    <row r="49" ht="15.75" customHeight="1">
      <c r="A49" s="49">
        <v>46154.0</v>
      </c>
      <c r="B49" s="7" t="s">
        <v>197</v>
      </c>
      <c r="C49" s="7" t="s">
        <v>11</v>
      </c>
      <c r="D49" s="7">
        <v>470.0</v>
      </c>
      <c r="E49" s="10" t="str">
        <f>+VLOOKUP(D49,ARTICULO!$A$2:$B$1048576,2,FALSE)</f>
        <v>MEZCLA P/PAJARO</v>
      </c>
      <c r="F49" s="12" t="s">
        <v>21</v>
      </c>
      <c r="G49" s="7">
        <v>30.0</v>
      </c>
      <c r="H49" s="47">
        <v>1058.0</v>
      </c>
      <c r="I49" s="51">
        <f t="shared" si="1"/>
        <v>31740</v>
      </c>
    </row>
    <row r="50" ht="15.75" customHeight="1">
      <c r="A50" s="49">
        <v>46154.0</v>
      </c>
      <c r="B50" s="7" t="s">
        <v>197</v>
      </c>
      <c r="C50" s="7" t="s">
        <v>11</v>
      </c>
      <c r="D50" s="7">
        <v>723.0</v>
      </c>
      <c r="E50" s="10" t="str">
        <f>+VLOOKUP(D50,ARTICULO!$A$2:$B$1048576,2,FALSE)</f>
        <v>POROTO ALUBIA</v>
      </c>
      <c r="F50" s="12" t="s">
        <v>21</v>
      </c>
      <c r="G50" s="7">
        <v>25.0</v>
      </c>
      <c r="H50" s="47">
        <v>2092.0</v>
      </c>
      <c r="I50" s="51">
        <f t="shared" si="1"/>
        <v>52300</v>
      </c>
    </row>
    <row r="51" ht="15.75" customHeight="1">
      <c r="A51" s="49">
        <v>46154.0</v>
      </c>
      <c r="B51" s="7" t="s">
        <v>197</v>
      </c>
      <c r="C51" s="7" t="s">
        <v>11</v>
      </c>
      <c r="D51" s="7">
        <v>57.0</v>
      </c>
      <c r="E51" s="10" t="str">
        <f>+VLOOKUP(D51,ARTICULO!$A$2:$B$1048576,2,FALSE)</f>
        <v>PONEDORA POSTURA X 40 KG</v>
      </c>
      <c r="F51" s="12" t="s">
        <v>21</v>
      </c>
      <c r="G51" s="7">
        <v>1.0</v>
      </c>
      <c r="H51" s="47">
        <v>20427.0</v>
      </c>
      <c r="I51" s="51">
        <f t="shared" si="1"/>
        <v>20427</v>
      </c>
    </row>
    <row r="52" ht="15.75" customHeight="1">
      <c r="A52" s="49">
        <v>46154.0</v>
      </c>
      <c r="B52" s="7" t="s">
        <v>197</v>
      </c>
      <c r="C52" s="7" t="s">
        <v>11</v>
      </c>
      <c r="D52" s="7">
        <v>59.0</v>
      </c>
      <c r="E52" s="10" t="str">
        <f>+VLOOKUP(D52,ARTICULO!$A$2:$B$1048576,2,FALSE)</f>
        <v>INICIADOR X 40 KG</v>
      </c>
      <c r="F52" s="12" t="s">
        <v>21</v>
      </c>
      <c r="G52" s="7">
        <v>1.0</v>
      </c>
      <c r="H52" s="47">
        <v>27450.0</v>
      </c>
      <c r="I52" s="51">
        <f t="shared" si="1"/>
        <v>27450</v>
      </c>
    </row>
    <row r="53" ht="15.75" customHeight="1">
      <c r="A53" s="49">
        <v>46154.0</v>
      </c>
      <c r="B53" s="7" t="s">
        <v>197</v>
      </c>
      <c r="C53" s="7" t="s">
        <v>11</v>
      </c>
      <c r="D53" s="7">
        <v>7.0</v>
      </c>
      <c r="E53" s="10" t="str">
        <f>+VLOOKUP(D53,ARTICULO!$A$2:$B$1048576,2,FALSE)</f>
        <v>CONEJO X 25 KG - GEPSA</v>
      </c>
      <c r="F53" s="12" t="s">
        <v>21</v>
      </c>
      <c r="G53" s="7">
        <v>2.0</v>
      </c>
      <c r="H53" s="47">
        <v>16260.0</v>
      </c>
      <c r="I53" s="51">
        <f t="shared" si="1"/>
        <v>32520</v>
      </c>
    </row>
    <row r="54" ht="15.75" customHeight="1">
      <c r="A54" s="49">
        <v>46154.0</v>
      </c>
      <c r="B54" s="7" t="s">
        <v>197</v>
      </c>
      <c r="C54" s="7" t="s">
        <v>11</v>
      </c>
      <c r="D54" s="7">
        <v>703.0</v>
      </c>
      <c r="E54" s="10" t="str">
        <f>+VLOOKUP(D54,ARTICULO!$A$2:$B$1048576,2,FALSE)</f>
        <v>AVENA ARROLLADA</v>
      </c>
      <c r="F54" s="12" t="s">
        <v>21</v>
      </c>
      <c r="G54" s="7">
        <v>30.0</v>
      </c>
      <c r="H54" s="47">
        <v>1469.0</v>
      </c>
      <c r="I54" s="51">
        <f t="shared" si="1"/>
        <v>44070</v>
      </c>
    </row>
    <row r="55" ht="15.75" customHeight="1">
      <c r="A55" s="49">
        <v>46154.0</v>
      </c>
      <c r="B55" s="7" t="s">
        <v>197</v>
      </c>
      <c r="C55" s="7" t="s">
        <v>11</v>
      </c>
      <c r="D55" s="7">
        <v>720.0</v>
      </c>
      <c r="E55" s="10" t="str">
        <f>+VLOOKUP(D55,ARTICULO!$A$2:$B$1048576,2,FALSE)</f>
        <v>MAIZ MOLIDO BLANCO</v>
      </c>
      <c r="F55" s="12" t="s">
        <v>21</v>
      </c>
      <c r="G55" s="7">
        <v>25.0</v>
      </c>
      <c r="H55" s="47">
        <v>1485.0</v>
      </c>
      <c r="I55" s="51">
        <f t="shared" si="1"/>
        <v>37125</v>
      </c>
    </row>
    <row r="56" ht="15.75" customHeight="1">
      <c r="A56" s="49">
        <v>46154.0</v>
      </c>
      <c r="B56" s="7" t="s">
        <v>197</v>
      </c>
      <c r="C56" s="7" t="s">
        <v>11</v>
      </c>
      <c r="D56" s="7">
        <v>60.0</v>
      </c>
      <c r="E56" s="10" t="str">
        <f>+VLOOKUP(D56,ARTICULO!$A$2:$B$1048576,2,FALSE)</f>
        <v>TERMINADOR X 40 KG</v>
      </c>
      <c r="F56" s="12" t="s">
        <v>21</v>
      </c>
      <c r="G56" s="7">
        <v>1.0</v>
      </c>
      <c r="H56" s="47">
        <v>22447.0</v>
      </c>
      <c r="I56" s="51">
        <f t="shared" si="1"/>
        <v>22447</v>
      </c>
    </row>
    <row r="57" ht="15.75" customHeight="1">
      <c r="A57" s="49">
        <v>46154.0</v>
      </c>
      <c r="B57" s="7" t="s">
        <v>166</v>
      </c>
      <c r="C57" s="7" t="s">
        <v>11</v>
      </c>
      <c r="D57" s="7">
        <v>995.0</v>
      </c>
      <c r="E57" s="10" t="str">
        <f>+VLOOKUP(D57,ARTICULO!$A$2:$B$1048576,2,FALSE)</f>
        <v>PIEDRAS SANITARIAS MI NINO 12,5</v>
      </c>
      <c r="F57" s="12" t="s">
        <v>92</v>
      </c>
      <c r="G57" s="7">
        <v>10.0</v>
      </c>
      <c r="H57" s="47">
        <v>6193.0</v>
      </c>
      <c r="I57" s="51">
        <f t="shared" si="1"/>
        <v>61930</v>
      </c>
    </row>
    <row r="58" ht="15.75" customHeight="1">
      <c r="A58" s="49">
        <v>46154.0</v>
      </c>
      <c r="B58" s="7" t="s">
        <v>257</v>
      </c>
      <c r="C58" s="7" t="s">
        <v>17</v>
      </c>
      <c r="D58" s="7">
        <v>56.0</v>
      </c>
      <c r="E58" s="10" t="str">
        <f>+VLOOKUP(D58,ARTICULO!$A$2:$B$1048576,2,FALSE)</f>
        <v>PONEDORA 15-17 SEMANAS X 40 KG Nutrimas</v>
      </c>
      <c r="F58" s="12" t="s">
        <v>207</v>
      </c>
      <c r="G58" s="7">
        <v>20.0</v>
      </c>
      <c r="H58" s="47">
        <v>18344.0</v>
      </c>
      <c r="I58" s="51">
        <f t="shared" si="1"/>
        <v>366880</v>
      </c>
    </row>
    <row r="59" ht="15.75" customHeight="1">
      <c r="A59" s="49">
        <v>46154.0</v>
      </c>
      <c r="B59" s="7" t="s">
        <v>187</v>
      </c>
      <c r="C59" s="7" t="s">
        <v>17</v>
      </c>
      <c r="D59" s="7">
        <v>608.0</v>
      </c>
      <c r="E59" s="10" t="str">
        <f>+VLOOKUP(D59,ARTICULO!$A$2:$B$1048576,2,FALSE)</f>
        <v>MEDALLONES</v>
      </c>
      <c r="F59" s="12" t="s">
        <v>73</v>
      </c>
      <c r="G59" s="7">
        <v>5.0</v>
      </c>
      <c r="H59" s="47">
        <v>11750.0</v>
      </c>
      <c r="I59" s="51">
        <f t="shared" si="1"/>
        <v>58750</v>
      </c>
    </row>
    <row r="60" ht="15.75" customHeight="1">
      <c r="A60" s="49">
        <v>46155.0</v>
      </c>
      <c r="B60" s="7" t="s">
        <v>258</v>
      </c>
      <c r="C60" s="7" t="s">
        <v>19</v>
      </c>
      <c r="D60" s="7">
        <v>614.0</v>
      </c>
      <c r="E60" s="10" t="str">
        <f>+VLOOKUP(D60,ARTICULO!$A$2:$B$1048576,2,FALSE)</f>
        <v>PASAS SIN SEMILLA</v>
      </c>
      <c r="F60" s="12" t="s">
        <v>73</v>
      </c>
      <c r="G60" s="7">
        <v>5.0</v>
      </c>
      <c r="H60" s="47">
        <v>4812.0</v>
      </c>
      <c r="I60" s="51">
        <f t="shared" si="1"/>
        <v>24060</v>
      </c>
    </row>
    <row r="61" ht="15.75" customHeight="1">
      <c r="A61" s="49">
        <v>46155.0</v>
      </c>
      <c r="B61" s="7" t="s">
        <v>259</v>
      </c>
      <c r="C61" s="7" t="s">
        <v>15</v>
      </c>
      <c r="D61" s="7">
        <v>116.0</v>
      </c>
      <c r="E61" s="10" t="str">
        <f>+VLOOKUP(D61,ARTICULO!$A$2:$B$1048576,2,FALSE)</f>
        <v>TIERNITO CACHOx 15 KG</v>
      </c>
      <c r="F61" s="12" t="s">
        <v>73</v>
      </c>
      <c r="G61" s="7">
        <v>5.0</v>
      </c>
      <c r="H61" s="47">
        <v>31009.0</v>
      </c>
      <c r="I61" s="51">
        <f t="shared" si="1"/>
        <v>155045</v>
      </c>
    </row>
    <row r="62" ht="15.75" customHeight="1">
      <c r="A62" s="49">
        <v>46155.0</v>
      </c>
      <c r="B62" s="7" t="s">
        <v>259</v>
      </c>
      <c r="C62" s="7" t="s">
        <v>15</v>
      </c>
      <c r="D62" s="7">
        <v>111.0</v>
      </c>
      <c r="E62" s="10" t="str">
        <f>+VLOOKUP(D62,ARTICULO!$A$2:$B$1048576,2,FALSE)</f>
        <v>TIERNITO CARNE  x 21 KG</v>
      </c>
      <c r="F62" s="12" t="s">
        <v>73</v>
      </c>
      <c r="G62" s="7">
        <v>5.0</v>
      </c>
      <c r="H62" s="47">
        <v>35345.0</v>
      </c>
      <c r="I62" s="51">
        <f t="shared" si="1"/>
        <v>176725</v>
      </c>
    </row>
    <row r="63" ht="15.75" customHeight="1">
      <c r="A63" s="49">
        <v>46155.0</v>
      </c>
      <c r="B63" s="7" t="s">
        <v>260</v>
      </c>
      <c r="C63" s="7" t="s">
        <v>19</v>
      </c>
      <c r="D63" s="7">
        <v>478.0</v>
      </c>
      <c r="E63" s="10" t="str">
        <f>+VLOOKUP(D63,ARTICULO!$A$2:$B$1048576,2,FALSE)</f>
        <v>MAIZ QUEBRADO GRUESO X 30 KG</v>
      </c>
      <c r="F63" s="12" t="s">
        <v>73</v>
      </c>
      <c r="G63" s="7">
        <v>1.0</v>
      </c>
      <c r="H63" s="47">
        <v>17000.0</v>
      </c>
      <c r="I63" s="51">
        <f t="shared" si="1"/>
        <v>17000</v>
      </c>
    </row>
    <row r="64" ht="15.75" customHeight="1">
      <c r="A64" s="49">
        <v>46156.0</v>
      </c>
      <c r="B64" s="7" t="s">
        <v>61</v>
      </c>
      <c r="C64" s="7" t="s">
        <v>15</v>
      </c>
      <c r="D64" s="7">
        <v>478.0</v>
      </c>
      <c r="E64" s="10" t="str">
        <f>+VLOOKUP(D64,ARTICULO!$A$2:$B$1048576,2,FALSE)</f>
        <v>MAIZ QUEBRADO GRUESO X 30 KG</v>
      </c>
      <c r="F64" s="12" t="s">
        <v>73</v>
      </c>
      <c r="G64" s="7">
        <v>1.0</v>
      </c>
      <c r="H64" s="47">
        <v>17000.0</v>
      </c>
      <c r="I64" s="51">
        <f t="shared" si="1"/>
        <v>17000</v>
      </c>
    </row>
    <row r="65" ht="15.75" customHeight="1">
      <c r="A65" s="49">
        <v>46156.0</v>
      </c>
      <c r="B65" s="7" t="s">
        <v>212</v>
      </c>
      <c r="C65" s="7" t="s">
        <v>19</v>
      </c>
      <c r="D65" s="7">
        <v>11.0</v>
      </c>
      <c r="E65" s="10" t="str">
        <f>+VLOOKUP(D65,ARTICULO!$A$2:$B$1048576,2,FALSE)</f>
        <v>PAJARO 3 mm x 25 kg - GEPSA</v>
      </c>
      <c r="F65" s="12" t="s">
        <v>73</v>
      </c>
      <c r="G65" s="7">
        <v>1.0</v>
      </c>
      <c r="H65" s="47">
        <v>46698.0</v>
      </c>
      <c r="I65" s="51">
        <f t="shared" si="1"/>
        <v>46698</v>
      </c>
    </row>
    <row r="66" ht="15.75" customHeight="1">
      <c r="A66" s="49">
        <v>46156.0</v>
      </c>
      <c r="B66" s="7" t="s">
        <v>212</v>
      </c>
      <c r="C66" s="7" t="s">
        <v>19</v>
      </c>
      <c r="D66" s="7">
        <v>468.0</v>
      </c>
      <c r="E66" s="10" t="str">
        <f>+VLOOKUP(D66,ARTICULO!$A$2:$B$1048576,2,FALSE)</f>
        <v>MEZCLA GRUESA/MEDIANA</v>
      </c>
      <c r="F66" s="12" t="s">
        <v>73</v>
      </c>
      <c r="G66" s="7">
        <v>25.0</v>
      </c>
      <c r="H66" s="47">
        <v>530.0</v>
      </c>
      <c r="I66" s="51">
        <f t="shared" si="1"/>
        <v>13250</v>
      </c>
    </row>
    <row r="67" ht="15.75" customHeight="1">
      <c r="A67" s="49">
        <v>46156.0</v>
      </c>
      <c r="B67" s="7" t="s">
        <v>14</v>
      </c>
      <c r="C67" s="7" t="s">
        <v>19</v>
      </c>
      <c r="D67" s="7">
        <v>130.0</v>
      </c>
      <c r="E67" s="10" t="str">
        <f>+VLOOKUP(D67,ARTICULO!$A$2:$B$1048576,2,FALSE)</f>
        <v>GRAN CAMPEON AD ROJO Carne y Pollo X 21 KG</v>
      </c>
      <c r="F67" s="12" t="s">
        <v>73</v>
      </c>
      <c r="G67" s="7">
        <v>5.0</v>
      </c>
      <c r="H67" s="47">
        <v>27424.0</v>
      </c>
      <c r="I67" s="51">
        <f t="shared" si="1"/>
        <v>137120</v>
      </c>
    </row>
    <row r="68" ht="15.75" customHeight="1">
      <c r="A68" s="49">
        <v>46156.0</v>
      </c>
      <c r="B68" s="7" t="s">
        <v>134</v>
      </c>
      <c r="C68" s="7" t="s">
        <v>11</v>
      </c>
      <c r="D68" s="7">
        <v>10668.0</v>
      </c>
      <c r="E68" s="10" t="str">
        <f>+VLOOKUP(D68,ARTICULO!$A$2:$B$1048576,2,FALSE)</f>
        <v>MANI FRITO SALADO KING X KG</v>
      </c>
      <c r="F68" s="44" t="s">
        <v>74</v>
      </c>
      <c r="G68" s="7">
        <v>2.0</v>
      </c>
      <c r="H68" s="47">
        <v>4950.0</v>
      </c>
      <c r="I68" s="51">
        <f t="shared" si="1"/>
        <v>9900</v>
      </c>
      <c r="J68" s="69" t="s">
        <v>239</v>
      </c>
    </row>
    <row r="69" ht="15.75" customHeight="1">
      <c r="A69" s="49">
        <v>46156.0</v>
      </c>
      <c r="B69" s="7" t="s">
        <v>261</v>
      </c>
      <c r="C69" s="7" t="s">
        <v>15</v>
      </c>
      <c r="D69" s="7">
        <v>1934.0</v>
      </c>
      <c r="E69" s="10" t="str">
        <f>+VLOOKUP(D69,ARTICULO!$A$2:$B$1048576,2,FALSE)</f>
        <v>PULVERIZADOR X 20 LT</v>
      </c>
      <c r="F69" s="12" t="s">
        <v>73</v>
      </c>
      <c r="G69" s="7">
        <v>2.0</v>
      </c>
      <c r="H69" s="47">
        <v>7046.0</v>
      </c>
      <c r="I69" s="51">
        <f t="shared" si="1"/>
        <v>14092</v>
      </c>
    </row>
    <row r="70" ht="15.75" customHeight="1">
      <c r="A70" s="49">
        <v>46157.0</v>
      </c>
      <c r="B70" s="7" t="s">
        <v>262</v>
      </c>
      <c r="C70" s="7" t="s">
        <v>19</v>
      </c>
      <c r="D70" s="7">
        <v>171.0</v>
      </c>
      <c r="E70" s="10" t="str">
        <f>+VLOOKUP(D70,ARTICULO!$A$2:$B$1048576,2,FALSE)</f>
        <v>COMPLETE GATO CASTRADO X 7,5KG</v>
      </c>
      <c r="F70" s="12" t="s">
        <v>92</v>
      </c>
      <c r="G70" s="7">
        <v>1.0</v>
      </c>
      <c r="H70" s="47">
        <v>41706.0</v>
      </c>
      <c r="I70" s="51">
        <f t="shared" si="1"/>
        <v>41706</v>
      </c>
    </row>
    <row r="71" ht="15.75" customHeight="1">
      <c r="A71" s="49">
        <v>46157.0</v>
      </c>
      <c r="B71" s="7" t="s">
        <v>263</v>
      </c>
      <c r="C71" s="7" t="s">
        <v>19</v>
      </c>
      <c r="D71" s="7">
        <v>987.0</v>
      </c>
      <c r="E71" s="10" t="str">
        <f>+VLOOKUP(D71,ARTICULO!$A$2:$B$1048576,2,FALSE)</f>
        <v>SHAMPOO OSSPRET  2 EN 1 X 250 CC</v>
      </c>
      <c r="F71" s="12" t="s">
        <v>73</v>
      </c>
      <c r="G71" s="7">
        <v>6.0</v>
      </c>
      <c r="H71" s="47">
        <v>7034.0</v>
      </c>
      <c r="I71" s="51">
        <f t="shared" si="1"/>
        <v>42204</v>
      </c>
    </row>
    <row r="72" ht="15.75" customHeight="1">
      <c r="A72" s="49">
        <v>46157.0</v>
      </c>
      <c r="B72" s="7" t="s">
        <v>153</v>
      </c>
      <c r="C72" s="7" t="s">
        <v>15</v>
      </c>
      <c r="D72" s="7">
        <v>402.0</v>
      </c>
      <c r="E72" s="10" t="str">
        <f>+VLOOKUP(D72,ARTICULO!$A$2:$B$1048576,2,FALSE)</f>
        <v>MIJO</v>
      </c>
      <c r="F72" s="12" t="s">
        <v>73</v>
      </c>
      <c r="G72" s="7">
        <v>30.0</v>
      </c>
      <c r="H72" s="47">
        <v>659.0</v>
      </c>
      <c r="I72" s="51">
        <f t="shared" si="1"/>
        <v>19770</v>
      </c>
    </row>
    <row r="73" ht="15.75" customHeight="1">
      <c r="A73" s="49">
        <v>46158.0</v>
      </c>
      <c r="B73" s="7" t="s">
        <v>241</v>
      </c>
      <c r="C73" s="7" t="s">
        <v>11</v>
      </c>
      <c r="D73" s="7">
        <v>172.0</v>
      </c>
      <c r="E73" s="10" t="str">
        <f>+VLOOKUP(D73,ARTICULO!$A$2:$B$1048576,2,FALSE)</f>
        <v>BALANCED CACHORRO RAZA PEQ X 7,5KG</v>
      </c>
      <c r="F73" s="12" t="s">
        <v>207</v>
      </c>
      <c r="G73" s="62">
        <v>2.0</v>
      </c>
      <c r="H73" s="47">
        <v>42458.0</v>
      </c>
      <c r="I73" s="51">
        <f t="shared" si="1"/>
        <v>84916</v>
      </c>
    </row>
    <row r="74" ht="15.75" customHeight="1">
      <c r="A74" s="49">
        <v>46158.0</v>
      </c>
      <c r="B74" s="7" t="s">
        <v>240</v>
      </c>
      <c r="C74" s="7" t="s">
        <v>11</v>
      </c>
      <c r="D74" s="7">
        <v>720.0</v>
      </c>
      <c r="E74" s="10" t="str">
        <f>+VLOOKUP(D74,ARTICULO!$A$2:$B$1048576,2,FALSE)</f>
        <v>MAIZ MOLIDO BLANCO</v>
      </c>
      <c r="F74" s="7" t="s">
        <v>264</v>
      </c>
      <c r="G74" s="62">
        <v>10.0</v>
      </c>
      <c r="H74" s="47">
        <v>1661.0</v>
      </c>
      <c r="I74" s="51">
        <f t="shared" si="1"/>
        <v>16610</v>
      </c>
    </row>
    <row r="75" ht="15.75" customHeight="1">
      <c r="A75" s="49">
        <v>46158.0</v>
      </c>
      <c r="B75" s="7" t="s">
        <v>240</v>
      </c>
      <c r="C75" s="7" t="s">
        <v>11</v>
      </c>
      <c r="D75" s="7">
        <v>723.0</v>
      </c>
      <c r="E75" s="10" t="str">
        <f>+VLOOKUP(D75,ARTICULO!$A$2:$B$1048576,2,FALSE)</f>
        <v>POROTO ALUBIA</v>
      </c>
      <c r="F75" s="7" t="s">
        <v>264</v>
      </c>
      <c r="G75" s="62">
        <v>10.0</v>
      </c>
      <c r="H75" s="47">
        <v>2430.0</v>
      </c>
      <c r="I75" s="51">
        <f t="shared" si="1"/>
        <v>24300</v>
      </c>
    </row>
    <row r="76" ht="15.75" customHeight="1">
      <c r="A76" s="49">
        <v>46158.0</v>
      </c>
      <c r="B76" s="7" t="s">
        <v>240</v>
      </c>
      <c r="C76" s="7" t="s">
        <v>11</v>
      </c>
      <c r="D76" s="7">
        <v>705.0</v>
      </c>
      <c r="E76" s="10" t="str">
        <f>+VLOOKUP(D76,ARTICULO!$A$2:$B$1048576,2,FALSE)</f>
        <v>BURGOL FINO</v>
      </c>
      <c r="F76" s="7" t="s">
        <v>264</v>
      </c>
      <c r="G76" s="62">
        <v>5.0</v>
      </c>
      <c r="H76" s="47">
        <v>1566.0</v>
      </c>
      <c r="I76" s="51">
        <f t="shared" si="1"/>
        <v>7830</v>
      </c>
    </row>
    <row r="77" ht="15.75" customHeight="1">
      <c r="A77" s="49">
        <v>46158.0</v>
      </c>
      <c r="B77" s="7" t="s">
        <v>240</v>
      </c>
      <c r="C77" s="7" t="s">
        <v>11</v>
      </c>
      <c r="D77" s="7">
        <v>281.0</v>
      </c>
      <c r="E77" s="10" t="str">
        <f>+VLOOKUP(D77,ARTICULO!$A$2:$B$1048576,2,FALSE)</f>
        <v>FULL CAT PESCADO X 10 KG</v>
      </c>
      <c r="F77" s="7" t="s">
        <v>264</v>
      </c>
      <c r="G77" s="62">
        <v>2.0</v>
      </c>
      <c r="H77" s="47">
        <v>11203.0</v>
      </c>
      <c r="I77" s="51">
        <f t="shared" si="1"/>
        <v>22406</v>
      </c>
    </row>
    <row r="78" ht="15.75" customHeight="1">
      <c r="A78" s="49">
        <v>46158.0</v>
      </c>
      <c r="B78" s="7" t="s">
        <v>240</v>
      </c>
      <c r="C78" s="7" t="s">
        <v>11</v>
      </c>
      <c r="D78" s="7">
        <v>130.0</v>
      </c>
      <c r="E78" s="10" t="str">
        <f>+VLOOKUP(D78,ARTICULO!$A$2:$B$1048576,2,FALSE)</f>
        <v>GRAN CAMPEON AD ROJO Carne y Pollo X 21 KG</v>
      </c>
      <c r="F78" s="7" t="s">
        <v>264</v>
      </c>
      <c r="G78" s="62">
        <v>2.0</v>
      </c>
      <c r="H78" s="47">
        <v>27424.0</v>
      </c>
      <c r="I78" s="51">
        <f t="shared" si="1"/>
        <v>54848</v>
      </c>
    </row>
    <row r="79" ht="15.75" customHeight="1">
      <c r="A79" s="49">
        <v>46158.0</v>
      </c>
      <c r="B79" s="7" t="s">
        <v>240</v>
      </c>
      <c r="C79" s="7" t="s">
        <v>11</v>
      </c>
      <c r="D79" s="7">
        <v>131.0</v>
      </c>
      <c r="E79" s="10" t="str">
        <f>+VLOOKUP(D79,ARTICULO!$A$2:$B$1048576,2,FALSE)</f>
        <v>GRAN CAMPEON CACHORRO X 10 KG</v>
      </c>
      <c r="F79" s="7" t="s">
        <v>264</v>
      </c>
      <c r="G79" s="62">
        <v>2.0</v>
      </c>
      <c r="H79" s="47">
        <v>16755.0</v>
      </c>
      <c r="I79" s="51">
        <f t="shared" si="1"/>
        <v>33510</v>
      </c>
    </row>
    <row r="80" ht="15.75" customHeight="1">
      <c r="A80" s="49">
        <v>46158.0</v>
      </c>
      <c r="B80" s="7" t="s">
        <v>240</v>
      </c>
      <c r="C80" s="7" t="s">
        <v>11</v>
      </c>
      <c r="D80" s="7">
        <v>995.0</v>
      </c>
      <c r="E80" s="10" t="str">
        <f>+VLOOKUP(D80,ARTICULO!$A$2:$B$1048576,2,FALSE)</f>
        <v>PIEDRAS SANITARIAS MI NINO 12,5</v>
      </c>
      <c r="F80" s="7" t="s">
        <v>264</v>
      </c>
      <c r="G80" s="62">
        <v>5.0</v>
      </c>
      <c r="H80" s="47">
        <v>6193.0</v>
      </c>
      <c r="I80" s="51">
        <f t="shared" si="1"/>
        <v>30965</v>
      </c>
    </row>
    <row r="81" ht="15.75" customHeight="1">
      <c r="A81" s="49">
        <v>46158.0</v>
      </c>
      <c r="B81" s="7" t="s">
        <v>240</v>
      </c>
      <c r="C81" s="7" t="s">
        <v>11</v>
      </c>
      <c r="D81" s="7">
        <v>166.0</v>
      </c>
      <c r="E81" s="10" t="str">
        <f>+VLOOKUP(D81,ARTICULO!$A$2:$B$1048576,2,FALSE)</f>
        <v>FLECKY ADULTO CARNE  X 21 KG</v>
      </c>
      <c r="F81" s="7" t="s">
        <v>264</v>
      </c>
      <c r="G81" s="62">
        <v>1.0</v>
      </c>
      <c r="H81" s="47">
        <v>19964.0</v>
      </c>
      <c r="I81" s="51">
        <f t="shared" si="1"/>
        <v>19964</v>
      </c>
    </row>
    <row r="82" ht="15.75" customHeight="1">
      <c r="A82" s="6">
        <v>46158.0</v>
      </c>
      <c r="B82" s="7" t="s">
        <v>240</v>
      </c>
      <c r="C82" s="75" t="s">
        <v>11</v>
      </c>
      <c r="D82" s="12">
        <v>695.0</v>
      </c>
      <c r="E82" s="7" t="str">
        <f>+VLOOKUP(D82,ARTICULO!$A$2:$B$1048576,2,FALSE)</f>
        <v>MONKY NEGRA X 18ud</v>
      </c>
      <c r="F82" s="7" t="s">
        <v>264</v>
      </c>
      <c r="G82" s="62">
        <v>1.0</v>
      </c>
      <c r="H82" s="51">
        <v>18375.0</v>
      </c>
      <c r="I82" s="51">
        <f t="shared" si="1"/>
        <v>18375</v>
      </c>
    </row>
    <row r="83" ht="15.75" customHeight="1">
      <c r="A83" s="6">
        <v>46158.0</v>
      </c>
      <c r="B83" s="7" t="s">
        <v>240</v>
      </c>
      <c r="C83" s="75" t="s">
        <v>11</v>
      </c>
      <c r="D83" s="12">
        <v>476.0</v>
      </c>
      <c r="E83" s="10" t="str">
        <f>+VLOOKUP(D83,ARTICULO!$A$2:$B$1048576,2,FALSE)</f>
        <v>MAIZ QUEBRADO FINO X 30 KG</v>
      </c>
      <c r="F83" s="7" t="s">
        <v>264</v>
      </c>
      <c r="G83" s="62">
        <v>1.0</v>
      </c>
      <c r="H83" s="51">
        <v>17000.0</v>
      </c>
      <c r="I83" s="51">
        <f t="shared" si="1"/>
        <v>17000</v>
      </c>
    </row>
    <row r="84" ht="15.75" customHeight="1">
      <c r="A84" s="6">
        <v>46158.0</v>
      </c>
      <c r="B84" s="7" t="s">
        <v>240</v>
      </c>
      <c r="C84" s="75" t="s">
        <v>11</v>
      </c>
      <c r="D84" s="12">
        <v>528.0</v>
      </c>
      <c r="E84" s="10" t="str">
        <f>+VLOOKUP(D84,ARTICULO!$A$2:$B$1048576,2,FALSE)</f>
        <v>CACAO AMARGO</v>
      </c>
      <c r="F84" s="7" t="s">
        <v>264</v>
      </c>
      <c r="G84" s="62">
        <v>2.0</v>
      </c>
      <c r="H84" s="51">
        <v>10353.0</v>
      </c>
      <c r="I84" s="51">
        <f t="shared" si="1"/>
        <v>20706</v>
      </c>
    </row>
    <row r="85" ht="15.75" customHeight="1">
      <c r="A85" s="6">
        <v>46160.0</v>
      </c>
      <c r="B85" s="12" t="s">
        <v>265</v>
      </c>
      <c r="C85" s="12" t="s">
        <v>11</v>
      </c>
      <c r="D85" s="12">
        <v>2.0</v>
      </c>
      <c r="E85" s="10" t="str">
        <f>+VLOOKUP(D85,ARTICULO!$A$2:$B$1048576,2,FALSE)</f>
        <v>RECRIA x 25 Kg</v>
      </c>
      <c r="F85" s="12" t="s">
        <v>207</v>
      </c>
      <c r="G85" s="62">
        <v>1.0</v>
      </c>
      <c r="H85" s="51">
        <v>20228.0</v>
      </c>
      <c r="I85" s="51">
        <f t="shared" si="1"/>
        <v>20228</v>
      </c>
    </row>
    <row r="86" ht="15.75" customHeight="1">
      <c r="A86" s="6">
        <v>46160.0</v>
      </c>
      <c r="B86" s="12" t="s">
        <v>107</v>
      </c>
      <c r="C86" s="12" t="s">
        <v>19</v>
      </c>
      <c r="D86" s="12">
        <v>402.0</v>
      </c>
      <c r="E86" s="10" t="str">
        <f>+VLOOKUP(D86,ARTICULO!$A$2:$B$1048576,2,FALSE)</f>
        <v>MIJO</v>
      </c>
      <c r="F86" s="44" t="s">
        <v>74</v>
      </c>
      <c r="G86" s="62">
        <v>20.0</v>
      </c>
      <c r="H86" s="51">
        <v>659.0</v>
      </c>
      <c r="I86" s="51">
        <f t="shared" si="1"/>
        <v>13180</v>
      </c>
      <c r="J86" s="69" t="s">
        <v>245</v>
      </c>
    </row>
    <row r="87" ht="15.75" customHeight="1">
      <c r="A87" s="6">
        <v>46160.0</v>
      </c>
      <c r="B87" s="12" t="s">
        <v>266</v>
      </c>
      <c r="C87" s="12" t="s">
        <v>17</v>
      </c>
      <c r="D87" s="12">
        <v>234.0</v>
      </c>
      <c r="E87" s="10" t="str">
        <f>+VLOOKUP(D87,ARTICULO!$A$2:$B$1048576,2,FALSE)</f>
        <v>EXACT CRIADORES ADULTO X21</v>
      </c>
      <c r="F87" s="44" t="s">
        <v>74</v>
      </c>
      <c r="G87" s="62">
        <v>1.0</v>
      </c>
      <c r="H87" s="51">
        <v>20599.0</v>
      </c>
      <c r="I87" s="51">
        <f t="shared" si="1"/>
        <v>20599</v>
      </c>
      <c r="J87" s="69" t="s">
        <v>245</v>
      </c>
    </row>
    <row r="88" ht="15.75" customHeight="1">
      <c r="A88" s="6">
        <v>46160.0</v>
      </c>
      <c r="B88" s="12" t="s">
        <v>266</v>
      </c>
      <c r="C88" s="12" t="s">
        <v>17</v>
      </c>
      <c r="D88" s="12">
        <v>236.0</v>
      </c>
      <c r="E88" s="7" t="str">
        <f>+VLOOKUP(D88,ARTICULO!$A$2:$B$1048576,2,FALSE)</f>
        <v>EXACT CRIADORES GATO 10K</v>
      </c>
      <c r="F88" s="12" t="s">
        <v>207</v>
      </c>
      <c r="G88" s="62">
        <v>6.0</v>
      </c>
      <c r="H88" s="51">
        <v>17048.0</v>
      </c>
      <c r="I88" s="51">
        <f t="shared" si="1"/>
        <v>102288</v>
      </c>
    </row>
    <row r="89" ht="15.75" customHeight="1">
      <c r="A89" s="6">
        <v>46160.0</v>
      </c>
      <c r="B89" s="12" t="s">
        <v>227</v>
      </c>
      <c r="C89" s="12" t="s">
        <v>17</v>
      </c>
      <c r="D89" s="12">
        <v>457.0</v>
      </c>
      <c r="E89" s="10" t="str">
        <f>+VLOOKUP(D89,ARTICULO!$A$2:$B$1048576,2,FALSE)</f>
        <v>GIRASOL CHICO</v>
      </c>
      <c r="F89" s="12" t="s">
        <v>73</v>
      </c>
      <c r="G89" s="62">
        <v>5.0</v>
      </c>
      <c r="H89" s="51">
        <v>1246.0</v>
      </c>
      <c r="I89" s="51">
        <f t="shared" si="1"/>
        <v>6230</v>
      </c>
    </row>
    <row r="90" ht="15.75" customHeight="1">
      <c r="A90" s="6">
        <v>46160.0</v>
      </c>
      <c r="B90" s="12" t="s">
        <v>227</v>
      </c>
      <c r="C90" s="12" t="s">
        <v>17</v>
      </c>
      <c r="D90" s="12">
        <v>458.0</v>
      </c>
      <c r="E90" s="10" t="str">
        <f>+VLOOKUP(D90,ARTICULO!$A$2:$B$1048576,2,FALSE)</f>
        <v>GIRASOL GRANDE</v>
      </c>
      <c r="F90" s="12" t="s">
        <v>73</v>
      </c>
      <c r="G90" s="62">
        <v>5.0</v>
      </c>
      <c r="H90" s="51">
        <v>1713.0</v>
      </c>
      <c r="I90" s="51">
        <f t="shared" si="1"/>
        <v>8565</v>
      </c>
    </row>
    <row r="91" ht="15.75" customHeight="1">
      <c r="A91" s="6">
        <v>46160.0</v>
      </c>
      <c r="B91" s="12" t="s">
        <v>217</v>
      </c>
      <c r="C91" s="12" t="s">
        <v>19</v>
      </c>
      <c r="D91" s="12">
        <v>610.0</v>
      </c>
      <c r="E91" s="10" t="str">
        <f>+VLOOKUP(D91,ARTICULO!$A$2:$B$1048576,2,FALSE)</f>
        <v>MIX ENERGETICO S/C</v>
      </c>
      <c r="F91" s="12" t="s">
        <v>92</v>
      </c>
      <c r="G91" s="62">
        <v>1.0</v>
      </c>
      <c r="H91" s="51">
        <v>8095.0</v>
      </c>
      <c r="I91" s="51">
        <f t="shared" si="1"/>
        <v>8095</v>
      </c>
    </row>
    <row r="92" ht="15.75" customHeight="1">
      <c r="A92" s="6">
        <v>46160.0</v>
      </c>
      <c r="B92" s="12" t="s">
        <v>185</v>
      </c>
      <c r="C92" s="12" t="s">
        <v>11</v>
      </c>
      <c r="D92" s="12">
        <v>509.0</v>
      </c>
      <c r="E92" s="10" t="str">
        <f>+VLOOKUP(D92,ARTICULO!$A$2:$B$1048576,2,FALSE)</f>
        <v>COMINO COMUN</v>
      </c>
      <c r="F92" s="44" t="s">
        <v>74</v>
      </c>
      <c r="G92" s="62">
        <v>2.0</v>
      </c>
      <c r="H92" s="51">
        <v>4028.0</v>
      </c>
      <c r="I92" s="51">
        <f t="shared" si="1"/>
        <v>8056</v>
      </c>
      <c r="J92" s="69" t="s">
        <v>245</v>
      </c>
    </row>
    <row r="93" ht="15.75" customHeight="1">
      <c r="A93" s="6">
        <v>46160.0</v>
      </c>
      <c r="B93" s="12" t="s">
        <v>267</v>
      </c>
      <c r="C93" s="12" t="s">
        <v>19</v>
      </c>
      <c r="D93" s="12">
        <v>665.0</v>
      </c>
      <c r="E93" s="10" t="str">
        <f>+VLOOKUP(D93,ARTICULO!$A$2:$B$1048576,2,FALSE)</f>
        <v>PASTA DE MANI NATURAL X 1KG X6UD</v>
      </c>
      <c r="F93" s="44" t="s">
        <v>74</v>
      </c>
      <c r="G93" s="62">
        <v>1.0</v>
      </c>
      <c r="H93" s="51">
        <v>28204.0</v>
      </c>
      <c r="I93" s="51">
        <f t="shared" si="1"/>
        <v>28204</v>
      </c>
      <c r="J93" s="69" t="s">
        <v>245</v>
      </c>
    </row>
    <row r="94" ht="15.75" customHeight="1">
      <c r="A94" s="6">
        <v>46160.0</v>
      </c>
      <c r="B94" s="12" t="s">
        <v>268</v>
      </c>
      <c r="C94" s="12" t="s">
        <v>11</v>
      </c>
      <c r="D94" s="12">
        <v>168.0</v>
      </c>
      <c r="E94" s="10" t="str">
        <f>+VLOOKUP(D94,ARTICULO!$A$2:$B$1048576,2,FALSE)</f>
        <v>COMPLETE PERRO ADULTO RAZA PEQ X 20KG</v>
      </c>
      <c r="F94" s="12" t="s">
        <v>207</v>
      </c>
      <c r="G94" s="62">
        <v>1.0</v>
      </c>
      <c r="H94" s="51">
        <v>55611.0</v>
      </c>
      <c r="I94" s="51">
        <f t="shared" si="1"/>
        <v>55611</v>
      </c>
    </row>
    <row r="95" ht="15.75" customHeight="1">
      <c r="A95" s="6">
        <v>46160.0</v>
      </c>
      <c r="B95" s="12" t="s">
        <v>268</v>
      </c>
      <c r="C95" s="12" t="s">
        <v>11</v>
      </c>
      <c r="D95" s="12">
        <v>131.0</v>
      </c>
      <c r="E95" s="10" t="str">
        <f>+VLOOKUP(D95,ARTICULO!$A$2:$B$1048576,2,FALSE)</f>
        <v>GRAN CAMPEON CACHORRO X 10 KG</v>
      </c>
      <c r="F95" s="12" t="s">
        <v>73</v>
      </c>
      <c r="G95" s="62">
        <v>6.0</v>
      </c>
      <c r="H95" s="51">
        <v>16755.0</v>
      </c>
      <c r="I95" s="51">
        <f t="shared" si="1"/>
        <v>100530</v>
      </c>
    </row>
    <row r="96" ht="15.75" customHeight="1">
      <c r="A96" s="6">
        <v>46161.0</v>
      </c>
      <c r="B96" s="12" t="s">
        <v>269</v>
      </c>
      <c r="C96" s="12" t="s">
        <v>17</v>
      </c>
      <c r="D96" s="12">
        <v>477.0</v>
      </c>
      <c r="E96" s="10" t="str">
        <f>+VLOOKUP(D96,ARTICULO!$A$2:$B$1048576,2,FALSE)</f>
        <v>MAIZ QUEBRADO MEDIANO X 30 KG</v>
      </c>
      <c r="F96" s="12" t="s">
        <v>73</v>
      </c>
      <c r="G96" s="62">
        <v>1.0</v>
      </c>
      <c r="H96" s="51">
        <v>17000.0</v>
      </c>
      <c r="I96" s="51">
        <f t="shared" si="1"/>
        <v>17000</v>
      </c>
    </row>
    <row r="97" ht="15.75" customHeight="1">
      <c r="A97" s="6">
        <v>46162.0</v>
      </c>
      <c r="B97" s="12" t="s">
        <v>258</v>
      </c>
      <c r="C97" s="12" t="s">
        <v>19</v>
      </c>
      <c r="D97" s="12">
        <v>6.0</v>
      </c>
      <c r="E97" s="10" t="str">
        <f>+VLOOKUP(D97,ARTICULO!$A$2:$B$1048576,2,FALSE)</f>
        <v>CONEJO X 25 KG - CONECAR</v>
      </c>
      <c r="F97" s="12" t="s">
        <v>21</v>
      </c>
      <c r="G97" s="62">
        <v>3.0</v>
      </c>
      <c r="H97" s="51">
        <v>17777.0</v>
      </c>
      <c r="I97" s="51">
        <f t="shared" si="1"/>
        <v>53331</v>
      </c>
    </row>
    <row r="98" ht="15.75" customHeight="1">
      <c r="A98" s="6">
        <v>46162.0</v>
      </c>
      <c r="B98" s="12" t="s">
        <v>258</v>
      </c>
      <c r="C98" s="12" t="s">
        <v>19</v>
      </c>
      <c r="D98" s="12">
        <v>471.0</v>
      </c>
      <c r="E98" s="10" t="str">
        <f>+VLOOKUP(D98,ARTICULO!$A$2:$B$1048576,2,FALSE)</f>
        <v>PELLET</v>
      </c>
      <c r="F98" s="12" t="s">
        <v>21</v>
      </c>
      <c r="G98" s="62">
        <v>5.0</v>
      </c>
      <c r="H98" s="51">
        <v>12000.0</v>
      </c>
      <c r="I98" s="51">
        <f t="shared" si="1"/>
        <v>60000</v>
      </c>
    </row>
    <row r="99" ht="15.75" customHeight="1">
      <c r="A99" s="6">
        <v>46162.0</v>
      </c>
      <c r="B99" s="12" t="s">
        <v>258</v>
      </c>
      <c r="C99" s="12" t="s">
        <v>19</v>
      </c>
      <c r="D99" s="12">
        <v>602.0</v>
      </c>
      <c r="E99" s="10" t="str">
        <f>+VLOOKUP(D99,ARTICULO!$A$2:$B$1048576,2,FALSE)</f>
        <v>CIRUELA</v>
      </c>
      <c r="F99" s="12" t="s">
        <v>21</v>
      </c>
      <c r="G99" s="62">
        <v>1.0</v>
      </c>
      <c r="H99" s="51">
        <v>6412.0</v>
      </c>
      <c r="I99" s="51">
        <f t="shared" si="1"/>
        <v>6412</v>
      </c>
    </row>
    <row r="100" ht="15.75" customHeight="1">
      <c r="A100" s="6">
        <v>46162.0</v>
      </c>
      <c r="B100" s="12" t="s">
        <v>258</v>
      </c>
      <c r="C100" s="12" t="s">
        <v>19</v>
      </c>
      <c r="D100" s="12">
        <v>716.0</v>
      </c>
      <c r="E100" s="10" t="str">
        <f>+VLOOKUP(D100,ARTICULO!$A$2:$B$1048576,2,FALSE)</f>
        <v>HARINA P/TAMALES</v>
      </c>
      <c r="F100" s="12" t="s">
        <v>21</v>
      </c>
      <c r="G100" s="62">
        <v>10.0</v>
      </c>
      <c r="H100" s="51">
        <v>641.0</v>
      </c>
      <c r="I100" s="51">
        <f t="shared" si="1"/>
        <v>6410</v>
      </c>
    </row>
    <row r="101" ht="15.75" customHeight="1">
      <c r="A101" s="6">
        <v>46162.0</v>
      </c>
      <c r="B101" s="12" t="s">
        <v>258</v>
      </c>
      <c r="C101" s="12" t="s">
        <v>19</v>
      </c>
      <c r="D101" s="12">
        <v>521.0</v>
      </c>
      <c r="E101" s="10" t="str">
        <f>+VLOOKUP(D101,ARTICULO!$A$2:$B$1048576,2,FALSE)</f>
        <v>PROVENZAL</v>
      </c>
      <c r="F101" s="12" t="s">
        <v>21</v>
      </c>
      <c r="G101" s="62">
        <v>2.0</v>
      </c>
      <c r="H101" s="51">
        <v>2872.0</v>
      </c>
      <c r="I101" s="51">
        <f t="shared" si="1"/>
        <v>5744</v>
      </c>
    </row>
    <row r="102" ht="15.75" customHeight="1">
      <c r="A102" s="6">
        <v>46162.0</v>
      </c>
      <c r="B102" s="12" t="s">
        <v>258</v>
      </c>
      <c r="C102" s="12" t="s">
        <v>19</v>
      </c>
      <c r="D102" s="12">
        <v>515.0</v>
      </c>
      <c r="E102" s="10" t="str">
        <f>+VLOOKUP(D102,ARTICULO!$A$2:$B$1048576,2,FALSE)</f>
        <v>OREGANO</v>
      </c>
      <c r="F102" s="12" t="s">
        <v>21</v>
      </c>
      <c r="G102" s="62">
        <v>2.0</v>
      </c>
      <c r="H102" s="51">
        <v>3975.0</v>
      </c>
      <c r="I102" s="51">
        <f t="shared" si="1"/>
        <v>7950</v>
      </c>
    </row>
    <row r="103" ht="15.75" customHeight="1">
      <c r="A103" s="6">
        <v>46162.0</v>
      </c>
      <c r="B103" s="12" t="s">
        <v>53</v>
      </c>
      <c r="C103" s="12" t="s">
        <v>19</v>
      </c>
      <c r="D103" s="12">
        <v>723.0</v>
      </c>
      <c r="E103" s="10" t="str">
        <f>+VLOOKUP(D103,ARTICULO!$A$2:$B$1048576,2,FALSE)</f>
        <v>POROTO ALUBIA</v>
      </c>
      <c r="F103" s="12" t="s">
        <v>73</v>
      </c>
      <c r="G103" s="62">
        <v>25.0</v>
      </c>
      <c r="H103" s="51">
        <v>2092.0</v>
      </c>
      <c r="I103" s="51">
        <f t="shared" si="1"/>
        <v>52300</v>
      </c>
    </row>
    <row r="104" ht="15.75" customHeight="1">
      <c r="A104" s="6">
        <v>46162.0</v>
      </c>
      <c r="B104" s="12" t="s">
        <v>53</v>
      </c>
      <c r="C104" s="12" t="s">
        <v>19</v>
      </c>
      <c r="D104" s="12">
        <v>722.0</v>
      </c>
      <c r="E104" s="10" t="str">
        <f>+VLOOKUP(D104,ARTICULO!$A$2:$B$1048576,2,FALSE)</f>
        <v>POLENTA</v>
      </c>
      <c r="F104" s="12" t="s">
        <v>73</v>
      </c>
      <c r="G104" s="62">
        <v>50.0</v>
      </c>
      <c r="H104" s="51">
        <v>826.0</v>
      </c>
      <c r="I104" s="51">
        <f t="shared" si="1"/>
        <v>41300</v>
      </c>
    </row>
    <row r="105" ht="15.75" customHeight="1">
      <c r="A105" s="6">
        <v>46162.0</v>
      </c>
      <c r="B105" s="12" t="s">
        <v>270</v>
      </c>
      <c r="C105" s="12" t="s">
        <v>15</v>
      </c>
      <c r="D105" s="12">
        <v>330.0</v>
      </c>
      <c r="E105" s="10" t="str">
        <f>+VLOOKUP(D105,ARTICULO!$A$2:$B$1048576,2,FALSE)</f>
        <v>CEREAL CON AZUCAR x 2.5 Kg</v>
      </c>
      <c r="F105" s="12" t="s">
        <v>73</v>
      </c>
      <c r="G105" s="62">
        <v>1.0</v>
      </c>
      <c r="H105" s="51">
        <v>12464.0</v>
      </c>
      <c r="I105" s="51">
        <f t="shared" si="1"/>
        <v>12464</v>
      </c>
    </row>
    <row r="106" ht="15.75" customHeight="1">
      <c r="A106" s="6">
        <v>46162.0</v>
      </c>
      <c r="B106" s="12" t="s">
        <v>270</v>
      </c>
      <c r="C106" s="12" t="s">
        <v>15</v>
      </c>
      <c r="D106" s="12">
        <v>332.0</v>
      </c>
      <c r="E106" s="10" t="str">
        <f>+VLOOKUP(D106,ARTICULO!$A$2:$B$1048576,2,FALSE)</f>
        <v>CEREAL SIN AZUCAR X 2.5 KG</v>
      </c>
      <c r="F106" s="12" t="s">
        <v>73</v>
      </c>
      <c r="G106" s="62">
        <v>1.0</v>
      </c>
      <c r="H106" s="51">
        <v>12868.0</v>
      </c>
      <c r="I106" s="51">
        <f t="shared" si="1"/>
        <v>12868</v>
      </c>
    </row>
    <row r="107" ht="15.75" customHeight="1">
      <c r="A107" s="6">
        <v>46162.0</v>
      </c>
      <c r="B107" s="12" t="s">
        <v>271</v>
      </c>
      <c r="C107" s="12" t="s">
        <v>19</v>
      </c>
      <c r="D107" s="12">
        <v>130.0</v>
      </c>
      <c r="E107" s="10" t="str">
        <f>+VLOOKUP(D107,ARTICULO!$A$2:$B$1048576,2,FALSE)</f>
        <v>GRAN CAMPEON AD ROJO Carne y Pollo X 21 KG</v>
      </c>
      <c r="F107" s="44" t="s">
        <v>74</v>
      </c>
      <c r="G107" s="62">
        <v>3.0</v>
      </c>
      <c r="H107" s="51">
        <v>27424.0</v>
      </c>
      <c r="I107" s="51">
        <f t="shared" si="1"/>
        <v>82272</v>
      </c>
      <c r="J107" s="69" t="s">
        <v>239</v>
      </c>
    </row>
    <row r="108" ht="15.75" customHeight="1">
      <c r="A108" s="6">
        <v>46162.0</v>
      </c>
      <c r="B108" s="12" t="s">
        <v>114</v>
      </c>
      <c r="C108" s="12" t="s">
        <v>15</v>
      </c>
      <c r="D108" s="12">
        <v>351.0</v>
      </c>
      <c r="E108" s="10" t="str">
        <f>+VLOOKUP(D108,ARTICULO!$A$2:$B$1048576,2,FALSE)</f>
        <v>GRANOLA MIX X 1 KG</v>
      </c>
      <c r="F108" s="12" t="s">
        <v>92</v>
      </c>
      <c r="G108" s="62">
        <v>16.0</v>
      </c>
      <c r="H108" s="51">
        <v>7749.0</v>
      </c>
      <c r="I108" s="51">
        <f t="shared" si="1"/>
        <v>123984</v>
      </c>
    </row>
    <row r="109" ht="15.75" customHeight="1">
      <c r="A109" s="6">
        <v>46162.0</v>
      </c>
      <c r="B109" s="12" t="s">
        <v>114</v>
      </c>
      <c r="C109" s="12" t="s">
        <v>15</v>
      </c>
      <c r="D109" s="12">
        <v>617.0</v>
      </c>
      <c r="E109" s="10" t="str">
        <f>+VLOOKUP(D109,ARTICULO!$A$2:$B$1048576,2,FALSE)</f>
        <v>NUEZ PELADA LIGHT</v>
      </c>
      <c r="F109" s="44" t="s">
        <v>74</v>
      </c>
      <c r="G109" s="62">
        <v>5.0</v>
      </c>
      <c r="H109" s="51">
        <v>20020.0</v>
      </c>
      <c r="I109" s="51">
        <f t="shared" si="1"/>
        <v>100100</v>
      </c>
      <c r="J109" s="69" t="s">
        <v>239</v>
      </c>
    </row>
    <row r="110" ht="15.75" customHeight="1">
      <c r="A110" s="6">
        <v>46162.0</v>
      </c>
      <c r="B110" s="12" t="s">
        <v>272</v>
      </c>
      <c r="C110" s="12" t="s">
        <v>17</v>
      </c>
      <c r="D110" s="12">
        <v>352.0</v>
      </c>
      <c r="E110" s="10" t="str">
        <f>+VLOOKUP(D110,ARTICULO!$A$2:$B$1048576,2,FALSE)</f>
        <v>GRANOLA x 1.5 kg</v>
      </c>
      <c r="F110" s="12" t="s">
        <v>207</v>
      </c>
      <c r="G110" s="62">
        <v>1.0</v>
      </c>
      <c r="H110" s="51">
        <v>12206.0</v>
      </c>
      <c r="I110" s="51">
        <f t="shared" si="1"/>
        <v>12206</v>
      </c>
    </row>
    <row r="111" ht="15.75" customHeight="1">
      <c r="A111" s="6">
        <v>46162.0</v>
      </c>
      <c r="B111" s="12" t="s">
        <v>273</v>
      </c>
      <c r="C111" s="12" t="s">
        <v>11</v>
      </c>
      <c r="D111" s="12">
        <v>705.0</v>
      </c>
      <c r="E111" s="10" t="str">
        <f>+VLOOKUP(D111,ARTICULO!$A$2:$B$1048576,2,FALSE)</f>
        <v>BURGOL FINO</v>
      </c>
      <c r="F111" s="12" t="s">
        <v>73</v>
      </c>
      <c r="G111" s="62">
        <v>20.0</v>
      </c>
      <c r="H111" s="51">
        <v>1566.0</v>
      </c>
      <c r="I111" s="51">
        <f t="shared" si="1"/>
        <v>31320</v>
      </c>
    </row>
    <row r="112" ht="15.75" customHeight="1">
      <c r="A112" s="6">
        <v>46163.0</v>
      </c>
      <c r="B112" s="12" t="s">
        <v>58</v>
      </c>
      <c r="C112" s="12" t="s">
        <v>19</v>
      </c>
      <c r="D112" s="12">
        <v>177.0</v>
      </c>
      <c r="E112" s="10" t="str">
        <f>+VLOOKUP(D112,ARTICULO!$A$2:$B$1048576,2,FALSE)</f>
        <v>PREMIUM CACHORRO X 15KG</v>
      </c>
      <c r="F112" s="12" t="s">
        <v>207</v>
      </c>
      <c r="G112" s="62">
        <v>1.0</v>
      </c>
      <c r="H112" s="51">
        <v>38815.0</v>
      </c>
      <c r="I112" s="51">
        <f t="shared" si="1"/>
        <v>38815</v>
      </c>
    </row>
    <row r="113" ht="15.75" customHeight="1">
      <c r="A113" s="6">
        <v>46163.0</v>
      </c>
      <c r="B113" s="12" t="s">
        <v>172</v>
      </c>
      <c r="C113" s="12" t="s">
        <v>19</v>
      </c>
      <c r="D113" s="12">
        <v>1227.0</v>
      </c>
      <c r="E113" s="10" t="str">
        <f>+VLOOKUP(D113,ARTICULO!$A$2:$B$1048576,2,FALSE)</f>
        <v>MACETA CLASICA N░ 27</v>
      </c>
      <c r="F113" s="12" t="s">
        <v>207</v>
      </c>
      <c r="G113" s="62">
        <v>5.0</v>
      </c>
      <c r="H113" s="51">
        <v>2629.0</v>
      </c>
      <c r="I113" s="51">
        <f t="shared" si="1"/>
        <v>13145</v>
      </c>
    </row>
    <row r="114" ht="15.75" customHeight="1">
      <c r="A114" s="6">
        <v>46163.0</v>
      </c>
      <c r="B114" s="12" t="s">
        <v>223</v>
      </c>
      <c r="C114" s="12" t="s">
        <v>19</v>
      </c>
      <c r="D114" s="12">
        <v>705.0</v>
      </c>
      <c r="E114" s="10" t="str">
        <f>+VLOOKUP(D114,ARTICULO!$A$2:$B$1048576,2,FALSE)</f>
        <v>BURGOL FINO</v>
      </c>
      <c r="F114" s="12" t="s">
        <v>73</v>
      </c>
      <c r="G114" s="62">
        <v>10.0</v>
      </c>
      <c r="H114" s="51">
        <v>1357.0</v>
      </c>
      <c r="I114" s="51">
        <f t="shared" si="1"/>
        <v>13570</v>
      </c>
    </row>
    <row r="115" ht="15.75" customHeight="1">
      <c r="A115" s="6">
        <v>46163.0</v>
      </c>
      <c r="B115" s="12" t="s">
        <v>274</v>
      </c>
      <c r="C115" s="12" t="s">
        <v>19</v>
      </c>
      <c r="D115" s="12">
        <v>130.0</v>
      </c>
      <c r="E115" s="10" t="str">
        <f>+VLOOKUP(D115,ARTICULO!$A$2:$B$1048576,2,FALSE)</f>
        <v>GRAN CAMPEON AD ROJO Carne y Pollo X 21 KG</v>
      </c>
      <c r="F115" s="12" t="s">
        <v>73</v>
      </c>
      <c r="G115" s="62">
        <v>5.0</v>
      </c>
      <c r="H115" s="51">
        <v>27424.0</v>
      </c>
      <c r="I115" s="51">
        <f t="shared" si="1"/>
        <v>137120</v>
      </c>
    </row>
    <row r="116" ht="15.75" customHeight="1">
      <c r="A116" s="6">
        <v>46164.0</v>
      </c>
      <c r="B116" s="12" t="s">
        <v>171</v>
      </c>
      <c r="C116" s="12" t="s">
        <v>17</v>
      </c>
      <c r="D116" s="12">
        <v>7.0</v>
      </c>
      <c r="E116" s="10" t="str">
        <f>+VLOOKUP(D116,ARTICULO!$A$2:$B$1048576,2,FALSE)</f>
        <v>CONEJO X 25 KG - GEPSA</v>
      </c>
      <c r="F116" s="12" t="s">
        <v>68</v>
      </c>
      <c r="G116" s="62">
        <v>1.0</v>
      </c>
      <c r="H116" s="51">
        <v>18132.0</v>
      </c>
      <c r="I116" s="51">
        <f t="shared" si="1"/>
        <v>18132</v>
      </c>
    </row>
    <row r="117" ht="15.75" customHeight="1">
      <c r="A117" s="6">
        <v>46164.0</v>
      </c>
      <c r="B117" s="12" t="s">
        <v>171</v>
      </c>
      <c r="C117" s="12" t="s">
        <v>17</v>
      </c>
      <c r="D117" s="12">
        <v>716.0</v>
      </c>
      <c r="E117" s="10" t="str">
        <f>+VLOOKUP(D117,ARTICULO!$A$2:$B$1048576,2,FALSE)</f>
        <v>HARINA P/TAMALES</v>
      </c>
      <c r="F117" s="12" t="s">
        <v>68</v>
      </c>
      <c r="G117" s="62">
        <v>25.0</v>
      </c>
      <c r="H117" s="51">
        <v>810.0</v>
      </c>
      <c r="I117" s="51">
        <f t="shared" si="1"/>
        <v>20250</v>
      </c>
    </row>
    <row r="118" ht="15.75" customHeight="1">
      <c r="A118" s="6">
        <v>46164.0</v>
      </c>
      <c r="B118" s="12" t="s">
        <v>171</v>
      </c>
      <c r="C118" s="12" t="s">
        <v>17</v>
      </c>
      <c r="D118" s="12">
        <v>57.0</v>
      </c>
      <c r="E118" s="10" t="str">
        <f>+VLOOKUP(D118,ARTICULO!$A$2:$B$1048576,2,FALSE)</f>
        <v>PONEDORA POSTURA X 40 KG</v>
      </c>
      <c r="F118" s="12" t="s">
        <v>68</v>
      </c>
      <c r="G118" s="62">
        <v>1.0</v>
      </c>
      <c r="H118" s="51">
        <v>22695.0</v>
      </c>
      <c r="I118" s="51">
        <f t="shared" si="1"/>
        <v>22695</v>
      </c>
    </row>
    <row r="119" ht="15.75" customHeight="1">
      <c r="A119" s="6">
        <v>46164.0</v>
      </c>
      <c r="B119" s="12" t="s">
        <v>171</v>
      </c>
      <c r="C119" s="12" t="s">
        <v>17</v>
      </c>
      <c r="D119" s="12">
        <v>59.0</v>
      </c>
      <c r="E119" s="10" t="str">
        <f>+VLOOKUP(D119,ARTICULO!$A$2:$B$1048576,2,FALSE)</f>
        <v>INICIADOR X 40 KG</v>
      </c>
      <c r="F119" s="12" t="s">
        <v>68</v>
      </c>
      <c r="G119" s="62">
        <v>1.0</v>
      </c>
      <c r="H119" s="51">
        <v>30855.0</v>
      </c>
      <c r="I119" s="51">
        <f t="shared" si="1"/>
        <v>30855</v>
      </c>
    </row>
    <row r="120" ht="15.75" customHeight="1">
      <c r="A120" s="6">
        <v>46164.0</v>
      </c>
      <c r="B120" s="12" t="s">
        <v>171</v>
      </c>
      <c r="C120" s="12" t="s">
        <v>17</v>
      </c>
      <c r="D120" s="12">
        <v>652.0</v>
      </c>
      <c r="E120" s="10" t="str">
        <f>+VLOOKUP(D120,ARTICULO!$A$2:$B$1048576,2,FALSE)</f>
        <v>MANI SABORIZADO</v>
      </c>
      <c r="F120" s="12" t="s">
        <v>68</v>
      </c>
      <c r="G120" s="62">
        <v>1.0</v>
      </c>
      <c r="H120" s="51">
        <v>4200.0</v>
      </c>
      <c r="I120" s="51">
        <f t="shared" si="1"/>
        <v>4200</v>
      </c>
    </row>
    <row r="121" ht="15.75" customHeight="1">
      <c r="A121" s="6">
        <v>46164.0</v>
      </c>
      <c r="B121" s="12" t="s">
        <v>171</v>
      </c>
      <c r="C121" s="12" t="s">
        <v>17</v>
      </c>
      <c r="D121" s="12">
        <v>723.0</v>
      </c>
      <c r="E121" s="10" t="str">
        <f>+VLOOKUP(D121,ARTICULO!$A$2:$B$1048576,2,FALSE)</f>
        <v>POROTO ALUBIA</v>
      </c>
      <c r="F121" s="12" t="s">
        <v>68</v>
      </c>
      <c r="G121" s="62">
        <v>5.0</v>
      </c>
      <c r="H121" s="51">
        <v>2430.0</v>
      </c>
      <c r="I121" s="51">
        <f t="shared" si="1"/>
        <v>12150</v>
      </c>
    </row>
    <row r="122" ht="15.75" customHeight="1">
      <c r="A122" s="6">
        <v>46164.0</v>
      </c>
      <c r="B122" s="12" t="s">
        <v>171</v>
      </c>
      <c r="C122" s="12" t="s">
        <v>17</v>
      </c>
      <c r="D122" s="12">
        <v>720.0</v>
      </c>
      <c r="E122" s="10" t="str">
        <f>+VLOOKUP(D122,ARTICULO!$A$2:$B$1048576,2,FALSE)</f>
        <v>MAIZ MOLIDO BLANCO</v>
      </c>
      <c r="F122" s="12" t="s">
        <v>68</v>
      </c>
      <c r="G122" s="62">
        <v>5.0</v>
      </c>
      <c r="H122" s="51">
        <v>1661.0</v>
      </c>
      <c r="I122" s="51">
        <f t="shared" si="1"/>
        <v>8305</v>
      </c>
    </row>
    <row r="123" ht="15.75" customHeight="1">
      <c r="A123" s="6">
        <v>46164.0</v>
      </c>
      <c r="B123" s="12" t="s">
        <v>171</v>
      </c>
      <c r="C123" s="12" t="s">
        <v>17</v>
      </c>
      <c r="D123" s="12">
        <v>470.0</v>
      </c>
      <c r="E123" s="10" t="str">
        <f>+VLOOKUP(D123,ARTICULO!$A$2:$B$1048576,2,FALSE)</f>
        <v>MEZCLA P/PAJARO</v>
      </c>
      <c r="F123" s="12" t="s">
        <v>68</v>
      </c>
      <c r="G123" s="62">
        <v>10.0</v>
      </c>
      <c r="H123" s="51">
        <v>1485.0</v>
      </c>
      <c r="I123" s="51">
        <f t="shared" si="1"/>
        <v>14850</v>
      </c>
    </row>
    <row r="124" ht="15.75" customHeight="1">
      <c r="A124" s="6">
        <v>46164.0</v>
      </c>
      <c r="B124" s="12" t="s">
        <v>117</v>
      </c>
      <c r="C124" s="12" t="s">
        <v>19</v>
      </c>
      <c r="D124" s="12">
        <v>130.0</v>
      </c>
      <c r="E124" s="10" t="str">
        <f>+VLOOKUP(D124,ARTICULO!$A$2:$B$1048576,2,FALSE)</f>
        <v>GRAN CAMPEON AD ROJO Carne y Pollo X 21 KG</v>
      </c>
      <c r="F124" s="12" t="s">
        <v>73</v>
      </c>
      <c r="G124" s="62">
        <v>5.0</v>
      </c>
      <c r="H124" s="51">
        <v>27424.0</v>
      </c>
      <c r="I124" s="51">
        <f t="shared" si="1"/>
        <v>137120</v>
      </c>
    </row>
    <row r="125" ht="15.75" customHeight="1">
      <c r="A125" s="6">
        <v>46164.0</v>
      </c>
      <c r="B125" s="12" t="s">
        <v>153</v>
      </c>
      <c r="C125" s="12" t="s">
        <v>15</v>
      </c>
      <c r="D125" s="12">
        <v>150.0</v>
      </c>
      <c r="E125" s="10" t="str">
        <f>+VLOOKUP(D125,ARTICULO!$A$2:$B$1048576,2,FALSE)</f>
        <v>ZIMPI X 15 KG</v>
      </c>
      <c r="F125" s="12" t="s">
        <v>73</v>
      </c>
      <c r="G125" s="62">
        <v>1.0</v>
      </c>
      <c r="H125" s="51">
        <v>11225.0</v>
      </c>
      <c r="I125" s="51">
        <f t="shared" si="1"/>
        <v>11225</v>
      </c>
    </row>
    <row r="126" ht="15.75" customHeight="1">
      <c r="A126" s="6">
        <v>46164.0</v>
      </c>
      <c r="B126" s="12" t="s">
        <v>36</v>
      </c>
      <c r="C126" s="12" t="s">
        <v>15</v>
      </c>
      <c r="D126" s="12">
        <v>352.0</v>
      </c>
      <c r="E126" s="10" t="str">
        <f>+VLOOKUP(D126,ARTICULO!$A$2:$B$1048576,2,FALSE)</f>
        <v>GRANOLA x 1.5 kg</v>
      </c>
      <c r="F126" s="12" t="s">
        <v>73</v>
      </c>
      <c r="G126" s="62">
        <v>12.0</v>
      </c>
      <c r="H126" s="51">
        <v>9550.0</v>
      </c>
      <c r="I126" s="51">
        <f t="shared" si="1"/>
        <v>114600</v>
      </c>
    </row>
    <row r="127" ht="15.75" customHeight="1">
      <c r="A127" s="6">
        <v>46165.0</v>
      </c>
      <c r="B127" s="12" t="s">
        <v>275</v>
      </c>
      <c r="C127" s="12" t="s">
        <v>11</v>
      </c>
      <c r="D127" s="12">
        <v>231.0</v>
      </c>
      <c r="E127" s="10" t="str">
        <f>+VLOOKUP(D127,ARTICULO!$A$2:$B$1048576,2,FALSE)</f>
        <v>EXACT PREMIUM CACHORRO X15KG</v>
      </c>
      <c r="F127" s="12" t="s">
        <v>207</v>
      </c>
      <c r="G127" s="62">
        <v>5.0</v>
      </c>
      <c r="H127" s="51">
        <v>26864.0</v>
      </c>
      <c r="I127" s="51">
        <f t="shared" si="1"/>
        <v>134320</v>
      </c>
    </row>
    <row r="128" ht="15.75" customHeight="1">
      <c r="A128" s="6">
        <v>46165.0</v>
      </c>
      <c r="B128" s="12" t="s">
        <v>254</v>
      </c>
      <c r="C128" s="12" t="s">
        <v>17</v>
      </c>
      <c r="D128" s="12">
        <v>400.0</v>
      </c>
      <c r="E128" s="10" t="str">
        <f>+VLOOKUP(D128,ARTICULO!$A$2:$B$1048576,2,FALSE)</f>
        <v>ALPISTE</v>
      </c>
      <c r="F128" s="12" t="s">
        <v>73</v>
      </c>
      <c r="G128" s="62">
        <v>30.0</v>
      </c>
      <c r="H128" s="51">
        <v>1367.0</v>
      </c>
      <c r="I128" s="51">
        <f t="shared" si="1"/>
        <v>41010</v>
      </c>
    </row>
    <row r="129" ht="15.75" customHeight="1">
      <c r="A129" s="6">
        <v>46168.0</v>
      </c>
      <c r="B129" s="12" t="s">
        <v>242</v>
      </c>
      <c r="C129" s="12" t="s">
        <v>19</v>
      </c>
      <c r="D129" s="12">
        <v>704.0</v>
      </c>
      <c r="E129" s="10" t="str">
        <f>+VLOOKUP(D129,ARTICULO!$A$2:$B$1048576,2,FALSE)</f>
        <v>AVENA INSTANTANEA</v>
      </c>
      <c r="F129" s="12" t="s">
        <v>73</v>
      </c>
      <c r="G129" s="62">
        <v>5.0</v>
      </c>
      <c r="H129" s="51">
        <v>1752.0</v>
      </c>
      <c r="I129" s="51">
        <f t="shared" si="1"/>
        <v>8760</v>
      </c>
    </row>
    <row r="130" ht="15.75" customHeight="1">
      <c r="A130" s="6">
        <v>46168.0</v>
      </c>
      <c r="B130" s="12" t="s">
        <v>276</v>
      </c>
      <c r="C130" s="12" t="s">
        <v>15</v>
      </c>
      <c r="D130" s="12">
        <v>165.0</v>
      </c>
      <c r="E130" s="10" t="str">
        <f>+VLOOKUP(D130,ARTICULO!$A$2:$B$1048576,2,FALSE)</f>
        <v>FLECKY ADULTO CARNE  X 15 KG</v>
      </c>
      <c r="F130" s="12" t="s">
        <v>21</v>
      </c>
      <c r="G130" s="62">
        <v>50.0</v>
      </c>
      <c r="H130" s="51">
        <v>10263.0</v>
      </c>
      <c r="I130" s="51">
        <f t="shared" si="1"/>
        <v>513150</v>
      </c>
    </row>
    <row r="131" ht="15.75" customHeight="1">
      <c r="A131" s="6">
        <v>46168.0</v>
      </c>
      <c r="B131" s="12" t="s">
        <v>276</v>
      </c>
      <c r="C131" s="12" t="s">
        <v>15</v>
      </c>
      <c r="D131" s="12">
        <v>160.0</v>
      </c>
      <c r="E131" s="10" t="str">
        <f>+VLOOKUP(D131,ARTICULO!$A$2:$B$1048576,2,FALSE)</f>
        <v>ARROZ PARA PERRO LUMPY</v>
      </c>
      <c r="F131" s="12" t="s">
        <v>207</v>
      </c>
      <c r="G131" s="62">
        <v>20.0</v>
      </c>
      <c r="H131" s="51">
        <v>11000.0</v>
      </c>
      <c r="I131" s="51">
        <f t="shared" si="1"/>
        <v>220000</v>
      </c>
    </row>
    <row r="132" ht="15.75" customHeight="1">
      <c r="A132" s="6">
        <v>46169.0</v>
      </c>
      <c r="B132" s="12" t="s">
        <v>277</v>
      </c>
      <c r="C132" s="12" t="s">
        <v>17</v>
      </c>
      <c r="D132" s="12">
        <v>1920.0</v>
      </c>
      <c r="E132" s="10" t="str">
        <f>+VLOOKUP(D132,ARTICULO!$A$2:$B$1048576,2,FALSE)</f>
        <v>TIERRA</v>
      </c>
      <c r="F132" s="12" t="s">
        <v>21</v>
      </c>
      <c r="G132" s="62">
        <v>20.0</v>
      </c>
      <c r="H132" s="51">
        <v>800.0</v>
      </c>
      <c r="I132" s="51">
        <f t="shared" si="1"/>
        <v>16000</v>
      </c>
    </row>
    <row r="133" ht="15.75" customHeight="1">
      <c r="A133" s="6">
        <v>46169.0</v>
      </c>
      <c r="B133" s="12" t="s">
        <v>277</v>
      </c>
      <c r="C133" s="12" t="s">
        <v>17</v>
      </c>
      <c r="D133" s="12">
        <v>131.0</v>
      </c>
      <c r="E133" s="10" t="str">
        <f>+VLOOKUP(D133,ARTICULO!$A$2:$B$1048576,2,FALSE)</f>
        <v>GRAN CAMPEON CACHORRO X 10 KG</v>
      </c>
      <c r="F133" s="12" t="s">
        <v>21</v>
      </c>
      <c r="G133" s="62">
        <v>5.0</v>
      </c>
      <c r="H133" s="51">
        <v>16755.0</v>
      </c>
      <c r="I133" s="51">
        <f t="shared" si="1"/>
        <v>83775</v>
      </c>
    </row>
    <row r="134" ht="15.75" customHeight="1">
      <c r="A134" s="6">
        <v>46169.0</v>
      </c>
      <c r="B134" s="12" t="s">
        <v>277</v>
      </c>
      <c r="C134" s="12" t="s">
        <v>17</v>
      </c>
      <c r="D134" s="12">
        <v>140.0</v>
      </c>
      <c r="E134" s="10" t="str">
        <f>+VLOOKUP(D134,ARTICULO!$A$2:$B$1048576,2,FALSE)</f>
        <v>GRAN CAMPEON MANTENIMIENTO x 21KG</v>
      </c>
      <c r="F134" s="12" t="s">
        <v>21</v>
      </c>
      <c r="G134" s="62">
        <v>3.0</v>
      </c>
      <c r="H134" s="51">
        <v>23996.0</v>
      </c>
      <c r="I134" s="51">
        <f t="shared" si="1"/>
        <v>71988</v>
      </c>
    </row>
    <row r="135" ht="15.75" customHeight="1">
      <c r="A135" s="6">
        <v>46169.0</v>
      </c>
      <c r="B135" s="12" t="s">
        <v>277</v>
      </c>
      <c r="C135" s="12" t="s">
        <v>17</v>
      </c>
      <c r="D135" s="12">
        <v>995.0</v>
      </c>
      <c r="E135" s="10" t="str">
        <f>+VLOOKUP(D135,ARTICULO!$A$2:$B$1048576,2,FALSE)</f>
        <v>PIEDRAS SANITARIAS MI NINO 12,5</v>
      </c>
      <c r="F135" s="12" t="s">
        <v>21</v>
      </c>
      <c r="G135" s="62">
        <v>5.0</v>
      </c>
      <c r="H135" s="51">
        <v>6193.0</v>
      </c>
      <c r="I135" s="51">
        <f t="shared" si="1"/>
        <v>30965</v>
      </c>
    </row>
    <row r="136" ht="15.75" customHeight="1">
      <c r="A136" s="6">
        <v>46169.0</v>
      </c>
      <c r="B136" s="12" t="s">
        <v>277</v>
      </c>
      <c r="C136" s="12" t="s">
        <v>17</v>
      </c>
      <c r="D136" s="12">
        <v>718.0</v>
      </c>
      <c r="E136" s="10" t="str">
        <f>+VLOOKUP(D136,ARTICULO!$A$2:$B$1048576,2,FALSE)</f>
        <v>MAICENA</v>
      </c>
      <c r="F136" s="12" t="s">
        <v>21</v>
      </c>
      <c r="G136" s="62">
        <v>10.0</v>
      </c>
      <c r="H136" s="51">
        <v>1755.0</v>
      </c>
      <c r="I136" s="51">
        <f t="shared" si="1"/>
        <v>17550</v>
      </c>
    </row>
    <row r="137" ht="15.75" customHeight="1">
      <c r="A137" s="6">
        <v>46169.0</v>
      </c>
      <c r="B137" s="12" t="s">
        <v>277</v>
      </c>
      <c r="C137" s="12" t="s">
        <v>17</v>
      </c>
      <c r="D137" s="12">
        <v>3.0</v>
      </c>
      <c r="E137" s="10" t="str">
        <f>+VLOOKUP(D137,ARTICULO!$A$2:$B$1048576,2,FALSE)</f>
        <v>ENGORDE x 25 Kg</v>
      </c>
      <c r="F137" s="12" t="s">
        <v>21</v>
      </c>
      <c r="G137" s="62">
        <v>1.0</v>
      </c>
      <c r="H137" s="51">
        <v>17271.0</v>
      </c>
      <c r="I137" s="51">
        <f t="shared" si="1"/>
        <v>17271</v>
      </c>
    </row>
    <row r="138" ht="15.75" customHeight="1">
      <c r="A138" s="6">
        <v>46169.0</v>
      </c>
      <c r="B138" s="12" t="s">
        <v>88</v>
      </c>
      <c r="C138" s="12" t="s">
        <v>17</v>
      </c>
      <c r="D138" s="12">
        <v>723.0</v>
      </c>
      <c r="E138" s="10" t="str">
        <f>+VLOOKUP(D138,ARTICULO!$A$2:$B$1048576,2,FALSE)</f>
        <v>POROTO ALUBIA</v>
      </c>
      <c r="F138" s="12" t="s">
        <v>73</v>
      </c>
      <c r="G138" s="62">
        <v>5.0</v>
      </c>
      <c r="H138" s="51">
        <v>2220.0</v>
      </c>
      <c r="I138" s="51">
        <f t="shared" si="1"/>
        <v>11100</v>
      </c>
    </row>
    <row r="139" ht="15.75" customHeight="1">
      <c r="A139" s="6">
        <v>46169.0</v>
      </c>
      <c r="B139" s="12" t="s">
        <v>88</v>
      </c>
      <c r="C139" s="12" t="s">
        <v>17</v>
      </c>
      <c r="D139" s="12">
        <v>703.0</v>
      </c>
      <c r="E139" s="10" t="str">
        <f>+VLOOKUP(D139,ARTICULO!$A$2:$B$1048576,2,FALSE)</f>
        <v>AVENA ARROLLADA</v>
      </c>
      <c r="F139" s="12" t="s">
        <v>73</v>
      </c>
      <c r="G139" s="62">
        <v>5.0</v>
      </c>
      <c r="H139" s="51">
        <v>1750.0</v>
      </c>
      <c r="I139" s="51">
        <f t="shared" si="1"/>
        <v>8750</v>
      </c>
    </row>
    <row r="140" ht="15.75" customHeight="1">
      <c r="A140" s="6">
        <v>46169.0</v>
      </c>
      <c r="B140" s="12" t="s">
        <v>278</v>
      </c>
      <c r="C140" s="12" t="s">
        <v>11</v>
      </c>
      <c r="D140" s="12">
        <v>471.0</v>
      </c>
      <c r="E140" s="10" t="str">
        <f>+VLOOKUP(D140,ARTICULO!$A$2:$B$1048576,2,FALSE)</f>
        <v>PELLET</v>
      </c>
      <c r="F140" s="31" t="s">
        <v>73</v>
      </c>
      <c r="G140" s="62">
        <v>2.0</v>
      </c>
      <c r="H140" s="51">
        <v>13333.0</v>
      </c>
      <c r="I140" s="51">
        <f t="shared" si="1"/>
        <v>26666</v>
      </c>
    </row>
    <row r="141" ht="15.75" customHeight="1">
      <c r="A141" s="6">
        <v>46170.0</v>
      </c>
      <c r="B141" s="12" t="s">
        <v>279</v>
      </c>
      <c r="C141" s="12" t="s">
        <v>15</v>
      </c>
      <c r="D141" s="12">
        <v>477.0</v>
      </c>
      <c r="E141" s="10" t="str">
        <f>+VLOOKUP(D141,ARTICULO!$A$2:$B$1048576,2,FALSE)</f>
        <v>MAIZ QUEBRADO MEDIANO X 30 KG</v>
      </c>
      <c r="F141" s="12" t="s">
        <v>68</v>
      </c>
      <c r="G141" s="7">
        <v>3.0</v>
      </c>
      <c r="H141" s="51">
        <v>14450.0</v>
      </c>
      <c r="I141" s="51">
        <f t="shared" si="1"/>
        <v>43350</v>
      </c>
    </row>
    <row r="142" ht="15.75" customHeight="1">
      <c r="A142" s="6">
        <v>46170.0</v>
      </c>
      <c r="B142" s="12" t="s">
        <v>279</v>
      </c>
      <c r="C142" s="12" t="s">
        <v>15</v>
      </c>
      <c r="D142" s="12">
        <v>2.0</v>
      </c>
      <c r="E142" s="10" t="str">
        <f>+VLOOKUP(D142,ARTICULO!$A$2:$B$1048576,2,FALSE)</f>
        <v>RECRIA x 25 Kg</v>
      </c>
      <c r="F142" s="12" t="s">
        <v>68</v>
      </c>
      <c r="G142" s="7">
        <v>1.0</v>
      </c>
      <c r="H142" s="51">
        <v>17670.0</v>
      </c>
      <c r="I142" s="51">
        <f t="shared" si="1"/>
        <v>17670</v>
      </c>
    </row>
    <row r="143" ht="15.75" customHeight="1">
      <c r="A143" s="6">
        <v>46170.0</v>
      </c>
      <c r="B143" s="12" t="s">
        <v>279</v>
      </c>
      <c r="C143" s="12" t="s">
        <v>15</v>
      </c>
      <c r="D143" s="12">
        <v>11.0</v>
      </c>
      <c r="E143" s="10" t="str">
        <f>+VLOOKUP(D143,ARTICULO!$A$2:$B$1048576,2,FALSE)</f>
        <v>PAJARO 3 mm x 25 kg - GEPSA</v>
      </c>
      <c r="F143" s="12" t="s">
        <v>68</v>
      </c>
      <c r="G143" s="7">
        <v>1.0</v>
      </c>
      <c r="H143" s="51">
        <v>51889.0</v>
      </c>
      <c r="I143" s="51">
        <f t="shared" si="1"/>
        <v>51889</v>
      </c>
    </row>
    <row r="144" ht="15.75" customHeight="1">
      <c r="A144" s="6">
        <v>46170.0</v>
      </c>
      <c r="B144" s="12" t="s">
        <v>271</v>
      </c>
      <c r="C144" s="12" t="s">
        <v>19</v>
      </c>
      <c r="D144" s="12">
        <v>483.0</v>
      </c>
      <c r="E144" s="10" t="str">
        <f>+VLOOKUP(D144,ARTICULO!$A$2:$B$1048576,2,FALSE)</f>
        <v>CABALLO PREMIUM X 30 KG</v>
      </c>
      <c r="F144" s="12" t="s">
        <v>21</v>
      </c>
      <c r="G144" s="7">
        <v>5.0</v>
      </c>
      <c r="H144" s="51">
        <v>14098.0</v>
      </c>
      <c r="I144" s="51">
        <f t="shared" si="1"/>
        <v>70490</v>
      </c>
    </row>
    <row r="145" ht="15.75" customHeight="1">
      <c r="A145" s="6">
        <v>46170.0</v>
      </c>
      <c r="B145" s="12" t="s">
        <v>271</v>
      </c>
      <c r="C145" s="12" t="s">
        <v>19</v>
      </c>
      <c r="D145" s="12">
        <v>131.0</v>
      </c>
      <c r="E145" s="10" t="str">
        <f>+VLOOKUP(D145,ARTICULO!$A$2:$B$1048576,2,FALSE)</f>
        <v>GRAN CAMPEON CACHORRO X 10 KG</v>
      </c>
      <c r="F145" s="12" t="s">
        <v>21</v>
      </c>
      <c r="G145" s="7">
        <v>5.0</v>
      </c>
      <c r="H145" s="51">
        <v>16755.0</v>
      </c>
      <c r="I145" s="51">
        <f t="shared" si="1"/>
        <v>83775</v>
      </c>
    </row>
    <row r="146" ht="15.75" customHeight="1">
      <c r="A146" s="6">
        <v>46170.0</v>
      </c>
      <c r="B146" s="12" t="s">
        <v>258</v>
      </c>
      <c r="C146" s="12" t="s">
        <v>19</v>
      </c>
      <c r="D146" s="12">
        <v>524.0</v>
      </c>
      <c r="E146" s="10" t="str">
        <f>+VLOOKUP(D146,ARTICULO!$A$2:$B$1048576,2,FALSE)</f>
        <v>PIMENTON ESPAÐOL</v>
      </c>
      <c r="F146" s="12" t="s">
        <v>73</v>
      </c>
      <c r="G146" s="7">
        <v>3.0</v>
      </c>
      <c r="H146" s="51">
        <v>3440.0</v>
      </c>
      <c r="I146" s="51">
        <f t="shared" si="1"/>
        <v>10320</v>
      </c>
    </row>
    <row r="147" ht="15.75" customHeight="1">
      <c r="A147" s="6">
        <v>46170.0</v>
      </c>
      <c r="B147" s="12" t="s">
        <v>270</v>
      </c>
      <c r="C147" s="12" t="s">
        <v>15</v>
      </c>
      <c r="D147" s="12">
        <v>140.0</v>
      </c>
      <c r="E147" s="10" t="str">
        <f>+VLOOKUP(D147,ARTICULO!$A$2:$B$1048576,2,FALSE)</f>
        <v>GRAN CAMPEON MANTENIMIENTO x 21KG</v>
      </c>
      <c r="F147" s="44" t="s">
        <v>74</v>
      </c>
      <c r="G147" s="7">
        <v>1.0</v>
      </c>
      <c r="H147" s="51">
        <v>23996.0</v>
      </c>
      <c r="I147" s="51">
        <f t="shared" si="1"/>
        <v>23996</v>
      </c>
      <c r="J147" s="69" t="s">
        <v>239</v>
      </c>
    </row>
    <row r="148" ht="15.75" customHeight="1">
      <c r="A148" s="6">
        <v>46170.0</v>
      </c>
      <c r="B148" s="12" t="s">
        <v>280</v>
      </c>
      <c r="C148" s="12" t="s">
        <v>15</v>
      </c>
      <c r="D148" s="12">
        <v>612.0</v>
      </c>
      <c r="E148" s="10" t="str">
        <f>+VLOOKUP(D148,ARTICULO!$A$2:$B$1048576,2,FALSE)</f>
        <v>NUEZ PELADA AMBAR</v>
      </c>
      <c r="F148" s="12" t="s">
        <v>73</v>
      </c>
      <c r="G148" s="7">
        <v>1.0</v>
      </c>
      <c r="H148" s="51">
        <v>17550.0</v>
      </c>
      <c r="I148" s="51">
        <f t="shared" si="1"/>
        <v>17550</v>
      </c>
    </row>
    <row r="149" ht="15.75" customHeight="1">
      <c r="A149" s="6">
        <v>46170.0</v>
      </c>
      <c r="B149" s="12" t="s">
        <v>281</v>
      </c>
      <c r="C149" s="12" t="s">
        <v>11</v>
      </c>
      <c r="D149" s="12">
        <v>466.0</v>
      </c>
      <c r="E149" s="10" t="str">
        <f>+VLOOKUP(D149,ARTICULO!$A$2:$B$1048576,2,FALSE)</f>
        <v>MEZCLA CON VIT. (CANARIO)</v>
      </c>
      <c r="F149" s="12" t="s">
        <v>73</v>
      </c>
      <c r="G149" s="7">
        <v>30.0</v>
      </c>
      <c r="H149" s="51">
        <v>1721.0</v>
      </c>
      <c r="I149" s="51">
        <f t="shared" si="1"/>
        <v>51630</v>
      </c>
    </row>
    <row r="150" ht="15.75" customHeight="1">
      <c r="A150" s="6">
        <v>46170.0</v>
      </c>
      <c r="B150" s="12" t="s">
        <v>30</v>
      </c>
      <c r="C150" s="12" t="s">
        <v>17</v>
      </c>
      <c r="D150" s="12">
        <v>704.0</v>
      </c>
      <c r="E150" s="10" t="str">
        <f>+VLOOKUP(D150,ARTICULO!$A$2:$B$1048576,2,FALSE)</f>
        <v>AVENA INSTANTANEA</v>
      </c>
      <c r="F150" s="12" t="s">
        <v>73</v>
      </c>
      <c r="G150" s="7">
        <v>20.0</v>
      </c>
      <c r="H150" s="51">
        <v>1518.0</v>
      </c>
      <c r="I150" s="51">
        <f t="shared" si="1"/>
        <v>30360</v>
      </c>
    </row>
    <row r="151" ht="15.75" customHeight="1">
      <c r="A151" s="6">
        <v>46171.0</v>
      </c>
      <c r="B151" s="12" t="s">
        <v>171</v>
      </c>
      <c r="C151" s="12" t="s">
        <v>17</v>
      </c>
      <c r="D151" s="12">
        <v>7.0</v>
      </c>
      <c r="E151" s="10" t="str">
        <f>+VLOOKUP(D151,ARTICULO!$A$2:$B$1048576,2,FALSE)</f>
        <v>CONEJO X 25 KG - GEPSA</v>
      </c>
      <c r="F151" s="12" t="s">
        <v>68</v>
      </c>
      <c r="G151" s="7">
        <v>1.0</v>
      </c>
      <c r="H151" s="51">
        <v>18132.0</v>
      </c>
      <c r="I151" s="51">
        <f t="shared" si="1"/>
        <v>18132</v>
      </c>
    </row>
    <row r="152" ht="15.75" customHeight="1">
      <c r="A152" s="6">
        <v>46171.0</v>
      </c>
      <c r="B152" s="12" t="s">
        <v>171</v>
      </c>
      <c r="C152" s="12" t="s">
        <v>17</v>
      </c>
      <c r="D152" s="12">
        <v>716.0</v>
      </c>
      <c r="E152" s="10" t="str">
        <f>+VLOOKUP(D152,ARTICULO!$A$2:$B$1048576,2,FALSE)</f>
        <v>HARINA P/TAMALES</v>
      </c>
      <c r="F152" s="12" t="s">
        <v>68</v>
      </c>
      <c r="G152" s="7">
        <v>25.0</v>
      </c>
      <c r="H152" s="51">
        <v>810.0</v>
      </c>
      <c r="I152" s="51">
        <f t="shared" si="1"/>
        <v>20250</v>
      </c>
    </row>
    <row r="153" ht="15.75" customHeight="1">
      <c r="A153" s="6">
        <v>46171.0</v>
      </c>
      <c r="B153" s="12" t="s">
        <v>171</v>
      </c>
      <c r="C153" s="12" t="s">
        <v>17</v>
      </c>
      <c r="D153" s="12">
        <v>59.0</v>
      </c>
      <c r="E153" s="10" t="str">
        <f>+VLOOKUP(D153,ARTICULO!$A$2:$B$1048576,2,FALSE)</f>
        <v>INICIADOR X 40 KG</v>
      </c>
      <c r="F153" s="12" t="s">
        <v>68</v>
      </c>
      <c r="G153" s="7">
        <v>1.0</v>
      </c>
      <c r="H153" s="51">
        <v>30855.0</v>
      </c>
      <c r="I153" s="51">
        <f t="shared" si="1"/>
        <v>30855</v>
      </c>
    </row>
    <row r="154" ht="15.75" customHeight="1">
      <c r="A154" s="6">
        <v>46171.0</v>
      </c>
      <c r="B154" s="12" t="s">
        <v>171</v>
      </c>
      <c r="C154" s="12" t="s">
        <v>17</v>
      </c>
      <c r="D154" s="12">
        <v>652.0</v>
      </c>
      <c r="E154" s="10" t="str">
        <f>+VLOOKUP(D154,ARTICULO!$A$2:$B$1048576,2,FALSE)</f>
        <v>MANI SABORIZADO</v>
      </c>
      <c r="F154" s="12" t="s">
        <v>68</v>
      </c>
      <c r="G154" s="7">
        <v>1.0</v>
      </c>
      <c r="H154" s="51">
        <v>4200.0</v>
      </c>
      <c r="I154" s="51">
        <f t="shared" si="1"/>
        <v>4200</v>
      </c>
    </row>
    <row r="155" ht="15.75" customHeight="1">
      <c r="A155" s="6">
        <v>46171.0</v>
      </c>
      <c r="B155" s="12" t="s">
        <v>171</v>
      </c>
      <c r="C155" s="12" t="s">
        <v>17</v>
      </c>
      <c r="D155" s="12">
        <v>723.0</v>
      </c>
      <c r="E155" s="10" t="str">
        <f>+VLOOKUP(D155,ARTICULO!$A$2:$B$1048576,2,FALSE)</f>
        <v>POROTO ALUBIA</v>
      </c>
      <c r="F155" s="12" t="s">
        <v>68</v>
      </c>
      <c r="G155" s="7">
        <v>5.0</v>
      </c>
      <c r="H155" s="51">
        <v>2430.0</v>
      </c>
      <c r="I155" s="51">
        <f t="shared" si="1"/>
        <v>12150</v>
      </c>
    </row>
    <row r="156" ht="15.75" customHeight="1">
      <c r="A156" s="6">
        <v>46171.0</v>
      </c>
      <c r="B156" s="12" t="s">
        <v>171</v>
      </c>
      <c r="C156" s="12" t="s">
        <v>17</v>
      </c>
      <c r="D156" s="12">
        <v>720.0</v>
      </c>
      <c r="E156" s="10" t="str">
        <f>+VLOOKUP(D156,ARTICULO!$A$2:$B$1048576,2,FALSE)</f>
        <v>MAIZ MOLIDO BLANCO</v>
      </c>
      <c r="F156" s="12" t="s">
        <v>68</v>
      </c>
      <c r="G156" s="7">
        <v>10.0</v>
      </c>
      <c r="H156" s="47">
        <v>1661.0</v>
      </c>
      <c r="I156" s="47">
        <f t="shared" si="1"/>
        <v>16610</v>
      </c>
    </row>
    <row r="157" ht="15.75" customHeight="1">
      <c r="A157" s="6">
        <v>46171.0</v>
      </c>
      <c r="B157" s="12" t="s">
        <v>171</v>
      </c>
      <c r="C157" s="12" t="s">
        <v>17</v>
      </c>
      <c r="D157" s="12">
        <v>470.0</v>
      </c>
      <c r="E157" s="10" t="str">
        <f>+VLOOKUP(D157,ARTICULO!$A$2:$B$1048576,2,FALSE)</f>
        <v>MEZCLA P/PAJARO</v>
      </c>
      <c r="F157" s="12" t="s">
        <v>68</v>
      </c>
      <c r="G157" s="7">
        <v>10.0</v>
      </c>
      <c r="H157" s="47">
        <v>1485.0</v>
      </c>
      <c r="I157" s="47">
        <f t="shared" si="1"/>
        <v>14850</v>
      </c>
    </row>
    <row r="158" ht="15.75" customHeight="1">
      <c r="A158" s="6">
        <v>46171.0</v>
      </c>
      <c r="B158" s="12" t="s">
        <v>212</v>
      </c>
      <c r="C158" s="12" t="s">
        <v>19</v>
      </c>
      <c r="D158" s="12">
        <v>720.0</v>
      </c>
      <c r="E158" s="10" t="str">
        <f>+VLOOKUP(D158,ARTICULO!$A$2:$B$1048576,2,FALSE)</f>
        <v>MAIZ MOLIDO BLANCO</v>
      </c>
      <c r="F158" s="12" t="s">
        <v>73</v>
      </c>
      <c r="G158" s="7">
        <v>250.0</v>
      </c>
      <c r="H158" s="47">
        <v>1485.0</v>
      </c>
      <c r="I158" s="47">
        <f t="shared" si="1"/>
        <v>371250</v>
      </c>
    </row>
    <row r="159" ht="15.75" customHeight="1">
      <c r="A159" s="6">
        <v>46171.0</v>
      </c>
      <c r="B159" s="12" t="s">
        <v>160</v>
      </c>
      <c r="C159" s="12" t="s">
        <v>11</v>
      </c>
      <c r="D159" s="12">
        <v>730.0</v>
      </c>
      <c r="E159" s="7" t="str">
        <f>+VLOOKUP(D159,ARTICULO!$A$2:$B$1048576,2,FALSE)</f>
        <v>ROCLETS X KG</v>
      </c>
      <c r="F159" s="12" t="s">
        <v>68</v>
      </c>
      <c r="G159" s="7">
        <v>1.0</v>
      </c>
      <c r="H159" s="47">
        <v>13614.0</v>
      </c>
      <c r="I159" s="47">
        <f t="shared" si="1"/>
        <v>13614</v>
      </c>
    </row>
    <row r="160" ht="15.75" customHeight="1">
      <c r="A160" s="6">
        <v>46172.0</v>
      </c>
      <c r="B160" s="12" t="s">
        <v>160</v>
      </c>
      <c r="C160" s="12" t="s">
        <v>11</v>
      </c>
      <c r="D160" s="12">
        <v>321.0</v>
      </c>
      <c r="E160" s="10" t="str">
        <f>+VLOOKUP(D160,ARTICULO!$A$2:$B$1048576,2,FALSE)</f>
        <v>COPITA DE CHOCOLATE X 2.5 KG</v>
      </c>
      <c r="F160" s="12" t="s">
        <v>68</v>
      </c>
      <c r="G160" s="7">
        <v>1.0</v>
      </c>
      <c r="H160" s="47">
        <v>15787.0</v>
      </c>
      <c r="I160" s="47">
        <f t="shared" si="1"/>
        <v>15787</v>
      </c>
    </row>
    <row r="161" ht="15.75" customHeight="1">
      <c r="A161" s="6">
        <v>46172.0</v>
      </c>
      <c r="B161" s="12" t="s">
        <v>160</v>
      </c>
      <c r="C161" s="12" t="s">
        <v>11</v>
      </c>
      <c r="D161" s="12">
        <v>136.0</v>
      </c>
      <c r="E161" s="10" t="str">
        <f>+VLOOKUP(D161,ARTICULO!$A$2:$B$1048576,2,FALSE)</f>
        <v>BELCAT X 10KG</v>
      </c>
      <c r="F161" s="12" t="s">
        <v>68</v>
      </c>
      <c r="G161" s="7">
        <v>1.0</v>
      </c>
      <c r="H161" s="47">
        <v>22549.0</v>
      </c>
      <c r="I161" s="47">
        <f t="shared" si="1"/>
        <v>22549</v>
      </c>
    </row>
    <row r="162" ht="15.75" customHeight="1">
      <c r="A162" s="6">
        <v>46172.0</v>
      </c>
      <c r="B162" s="12" t="s">
        <v>160</v>
      </c>
      <c r="C162" s="12" t="s">
        <v>11</v>
      </c>
      <c r="D162" s="12">
        <v>131.0</v>
      </c>
      <c r="E162" s="10" t="str">
        <f>+VLOOKUP(D162,ARTICULO!$A$2:$B$1048576,2,FALSE)</f>
        <v>GRAN CAMPEON CACHORRO X 10 KG</v>
      </c>
      <c r="F162" s="12" t="s">
        <v>68</v>
      </c>
      <c r="G162" s="7">
        <v>1.0</v>
      </c>
      <c r="H162" s="47">
        <v>16755.0</v>
      </c>
      <c r="I162" s="47">
        <f t="shared" si="1"/>
        <v>16755</v>
      </c>
    </row>
    <row r="163" ht="15.75" customHeight="1">
      <c r="A163" s="6">
        <v>46172.0</v>
      </c>
      <c r="B163" s="12" t="s">
        <v>160</v>
      </c>
      <c r="C163" s="12" t="s">
        <v>11</v>
      </c>
      <c r="D163" s="12">
        <v>130.0</v>
      </c>
      <c r="E163" s="10" t="str">
        <f>+VLOOKUP(D163,ARTICULO!$A$2:$B$1048576,2,FALSE)</f>
        <v>GRAN CAMPEON AD ROJO Carne y Pollo X 21 KG</v>
      </c>
      <c r="F163" s="12" t="s">
        <v>68</v>
      </c>
      <c r="G163" s="7">
        <v>1.0</v>
      </c>
      <c r="H163" s="47">
        <v>27424.0</v>
      </c>
      <c r="I163" s="47">
        <f t="shared" si="1"/>
        <v>27424</v>
      </c>
    </row>
    <row r="164" ht="15.75" customHeight="1">
      <c r="A164" s="6">
        <v>46172.0</v>
      </c>
      <c r="B164" s="12" t="s">
        <v>160</v>
      </c>
      <c r="C164" s="12" t="s">
        <v>11</v>
      </c>
      <c r="D164" s="12">
        <v>1009.0</v>
      </c>
      <c r="E164" s="10" t="str">
        <f>+VLOOKUP(D164,ARTICULO!$A$2:$B$1048576,2,FALSE)</f>
        <v>PIEDRAS SANITARIAS X 20 KG</v>
      </c>
      <c r="F164" s="12" t="s">
        <v>68</v>
      </c>
      <c r="G164" s="7">
        <v>1.0</v>
      </c>
      <c r="H164" s="47">
        <v>9256.0</v>
      </c>
      <c r="I164" s="47">
        <f t="shared" si="1"/>
        <v>9256</v>
      </c>
    </row>
    <row r="165" ht="15.75" customHeight="1">
      <c r="A165" s="6">
        <v>46172.0</v>
      </c>
      <c r="B165" s="12" t="s">
        <v>160</v>
      </c>
      <c r="C165" s="12" t="s">
        <v>11</v>
      </c>
      <c r="D165" s="12">
        <v>482.0</v>
      </c>
      <c r="E165" s="10" t="str">
        <f>+VLOOKUP(D165,ARTICULO!$A$2:$B$1048576,2,FALSE)</f>
        <v>MEZCLA FINA ESPECIAL (CARDENAL)</v>
      </c>
      <c r="F165" s="12" t="s">
        <v>68</v>
      </c>
      <c r="G165" s="7">
        <v>5.0</v>
      </c>
      <c r="H165" s="47">
        <v>871.0</v>
      </c>
      <c r="I165" s="47">
        <f t="shared" si="1"/>
        <v>4355</v>
      </c>
    </row>
    <row r="166" ht="15.75" customHeight="1">
      <c r="A166" s="6">
        <v>46172.0</v>
      </c>
      <c r="B166" s="12" t="s">
        <v>160</v>
      </c>
      <c r="C166" s="12" t="s">
        <v>11</v>
      </c>
      <c r="D166" s="12">
        <v>468.0</v>
      </c>
      <c r="E166" s="10" t="str">
        <f>+VLOOKUP(D166,ARTICULO!$A$2:$B$1048576,2,FALSE)</f>
        <v>MEZCLA GRUESA/MEDIANA</v>
      </c>
      <c r="F166" s="12" t="s">
        <v>68</v>
      </c>
      <c r="G166" s="7">
        <v>5.0</v>
      </c>
      <c r="H166" s="47">
        <v>665.0</v>
      </c>
      <c r="I166" s="47">
        <f t="shared" si="1"/>
        <v>3325</v>
      </c>
    </row>
    <row r="167" ht="15.75" customHeight="1">
      <c r="A167" s="6">
        <v>46172.0</v>
      </c>
      <c r="B167" s="12" t="s">
        <v>160</v>
      </c>
      <c r="C167" s="12" t="s">
        <v>11</v>
      </c>
      <c r="D167" s="12">
        <v>466.0</v>
      </c>
      <c r="E167" s="10" t="str">
        <f>+VLOOKUP(D167,ARTICULO!$A$2:$B$1048576,2,FALSE)</f>
        <v>MEZCLA CON VIT. (CANARIO)</v>
      </c>
      <c r="F167" s="12" t="s">
        <v>68</v>
      </c>
      <c r="G167" s="7">
        <v>5.0</v>
      </c>
      <c r="H167" s="47">
        <v>1721.0</v>
      </c>
      <c r="I167" s="47">
        <f t="shared" si="1"/>
        <v>8605</v>
      </c>
    </row>
    <row r="168" ht="15.75" customHeight="1">
      <c r="A168" s="6">
        <v>46172.0</v>
      </c>
      <c r="B168" s="12" t="s">
        <v>160</v>
      </c>
      <c r="C168" s="12" t="s">
        <v>11</v>
      </c>
      <c r="D168" s="12">
        <v>652.0</v>
      </c>
      <c r="E168" s="10" t="str">
        <f>+VLOOKUP(D168,ARTICULO!$A$2:$B$1048576,2,FALSE)</f>
        <v>MANI SABORIZADO</v>
      </c>
      <c r="F168" s="12" t="s">
        <v>68</v>
      </c>
      <c r="G168" s="7">
        <v>1.0</v>
      </c>
      <c r="H168" s="47">
        <v>4200.0</v>
      </c>
      <c r="I168" s="47">
        <f t="shared" si="1"/>
        <v>4200</v>
      </c>
    </row>
    <row r="169" ht="15.75" customHeight="1">
      <c r="A169" s="6">
        <v>46172.0</v>
      </c>
      <c r="B169" s="12" t="s">
        <v>160</v>
      </c>
      <c r="C169" s="12" t="s">
        <v>11</v>
      </c>
      <c r="D169" s="12">
        <v>524.0</v>
      </c>
      <c r="E169" s="10" t="str">
        <f>+VLOOKUP(D169,ARTICULO!$A$2:$B$1048576,2,FALSE)</f>
        <v>PIMENTON ESPAÐOL</v>
      </c>
      <c r="F169" s="12" t="s">
        <v>68</v>
      </c>
      <c r="G169" s="7">
        <v>1.0</v>
      </c>
      <c r="H169" s="47">
        <v>3440.0</v>
      </c>
      <c r="I169" s="47">
        <f t="shared" si="1"/>
        <v>3440</v>
      </c>
    </row>
    <row r="170" ht="15.75" customHeight="1">
      <c r="A170" s="12"/>
      <c r="B170" s="12"/>
      <c r="C170" s="12"/>
      <c r="D170" s="12"/>
      <c r="E170" s="7" t="str">
        <f>+VLOOKUP(D170,ARTICULO!$A$2:$B$1048576,2,FALSE)</f>
        <v>#N/A</v>
      </c>
      <c r="F170" s="12"/>
      <c r="G170" s="7"/>
      <c r="H170" s="47"/>
      <c r="I170" s="47"/>
    </row>
    <row r="171" ht="15.75" customHeight="1">
      <c r="A171" s="12"/>
      <c r="B171" s="12"/>
      <c r="C171" s="12"/>
      <c r="D171" s="12"/>
      <c r="E171" s="7" t="str">
        <f>+VLOOKUP(D171,ARTICULO!$A$2:$B$1048576,2,FALSE)</f>
        <v>#N/A</v>
      </c>
      <c r="F171" s="12"/>
      <c r="G171" s="7"/>
      <c r="H171" s="47"/>
      <c r="I171" s="47"/>
    </row>
    <row r="172" ht="15.75" customHeight="1">
      <c r="A172" s="12"/>
      <c r="B172" s="12"/>
      <c r="C172" s="12"/>
      <c r="D172" s="12"/>
      <c r="E172" s="7" t="str">
        <f>+VLOOKUP(D172,ARTICULO!$A$2:$B$1048576,2,FALSE)</f>
        <v>#N/A</v>
      </c>
      <c r="F172" s="12"/>
      <c r="G172" s="7"/>
      <c r="H172" s="47"/>
      <c r="I172" s="47"/>
    </row>
    <row r="173" ht="15.75" customHeight="1">
      <c r="A173" s="12"/>
      <c r="B173" s="12"/>
      <c r="C173" s="12"/>
      <c r="D173" s="12"/>
      <c r="E173" s="7" t="str">
        <f>+VLOOKUP(D173,ARTICULO!$A$2:$B$1048576,2,FALSE)</f>
        <v>#N/A</v>
      </c>
      <c r="F173" s="12"/>
      <c r="G173" s="7"/>
      <c r="H173" s="47"/>
      <c r="I173" s="47"/>
    </row>
    <row r="174" ht="15.75" customHeight="1">
      <c r="H174" s="65" t="s">
        <v>9</v>
      </c>
      <c r="I174" s="66">
        <f>SUM(I3:I173)</f>
        <v>7679897</v>
      </c>
    </row>
    <row r="175" ht="15.75" customHeight="1">
      <c r="E175" s="22" t="s">
        <v>66</v>
      </c>
      <c r="F175" s="3"/>
    </row>
    <row r="176" ht="15.75" customHeight="1">
      <c r="E176" s="12" t="s">
        <v>74</v>
      </c>
      <c r="F176" s="51">
        <f>+SUMIF(F3:F173,E176,I3:I173)</f>
        <v>1014210</v>
      </c>
    </row>
    <row r="177" ht="15.75" customHeight="1">
      <c r="E177" s="12" t="s">
        <v>92</v>
      </c>
      <c r="F177" s="51">
        <f>+SUMIF(F3:F173,E177,I3:I173)</f>
        <v>430181</v>
      </c>
    </row>
    <row r="178" ht="15.75" customHeight="1">
      <c r="E178" s="12" t="s">
        <v>207</v>
      </c>
      <c r="F178" s="51">
        <f>+SUMIF(F3:F173,E178,I3:I173)</f>
        <v>1280765</v>
      </c>
    </row>
    <row r="179" ht="15.75" customHeight="1">
      <c r="E179" s="59" t="s">
        <v>21</v>
      </c>
      <c r="F179" s="51">
        <f>+SUMIF(F3:F173,E179,I3:I173)</f>
        <v>1541701</v>
      </c>
    </row>
    <row r="180" ht="15.75" customHeight="1">
      <c r="E180" s="59" t="s">
        <v>73</v>
      </c>
      <c r="F180" s="51">
        <f>+SUMIF(F3:F173,E180,I3:I173)</f>
        <v>2552907</v>
      </c>
    </row>
    <row r="181" ht="15.75" customHeight="1">
      <c r="E181" s="12" t="s">
        <v>68</v>
      </c>
      <c r="F181" s="51">
        <f>+SUMIF(F3:F173,E181,I3:I173)</f>
        <v>593619</v>
      </c>
      <c r="H181" s="69" t="s">
        <v>282</v>
      </c>
    </row>
    <row r="182" ht="15.75" customHeight="1">
      <c r="E182" s="12" t="s">
        <v>264</v>
      </c>
      <c r="F182" s="51">
        <f>+SUMIF(F3:F173,E182,I3:I173)</f>
        <v>266514</v>
      </c>
    </row>
    <row r="183" ht="15.75" customHeight="1">
      <c r="E183" s="60" t="s">
        <v>9</v>
      </c>
      <c r="F183" s="61">
        <f>+SUM(F176:F182)</f>
        <v>7679897</v>
      </c>
    </row>
    <row r="184" ht="15.75" customHeight="1">
      <c r="E184" s="14"/>
      <c r="F184" s="14"/>
    </row>
    <row r="185" ht="15.75" customHeight="1">
      <c r="E185" s="14"/>
      <c r="F185" s="14"/>
    </row>
    <row r="186" ht="15.75" customHeight="1">
      <c r="E186" s="29" t="s">
        <v>70</v>
      </c>
      <c r="F186" s="30" t="s">
        <v>19</v>
      </c>
      <c r="H186" s="42">
        <f>SUM(I11+I37+I107+I109+I147)</f>
        <v>329522</v>
      </c>
      <c r="I186" s="69" t="s">
        <v>239</v>
      </c>
    </row>
    <row r="187" ht="15.75" customHeight="1">
      <c r="E187" s="31" t="s">
        <v>74</v>
      </c>
      <c r="F187" s="32">
        <f t="shared" ref="F187:F192" si="2">+SUMIFS($I$3:$I$173,$C$3:$C$173,$F$186,$F$3:$F$173,E187)</f>
        <v>692960</v>
      </c>
      <c r="H187" s="42">
        <f>SUM(I23+I42+I45+I86+I87+I92+I93)</f>
        <v>622012</v>
      </c>
      <c r="I187" s="69" t="s">
        <v>245</v>
      </c>
    </row>
    <row r="188" ht="15.75" customHeight="1">
      <c r="E188" s="12" t="s">
        <v>92</v>
      </c>
      <c r="F188" s="32">
        <f t="shared" si="2"/>
        <v>49801</v>
      </c>
    </row>
    <row r="189" ht="15.75" customHeight="1">
      <c r="E189" s="12" t="s">
        <v>207</v>
      </c>
      <c r="F189" s="32">
        <f t="shared" si="2"/>
        <v>138753</v>
      </c>
    </row>
    <row r="190" ht="15.75" customHeight="1">
      <c r="E190" s="59" t="s">
        <v>21</v>
      </c>
      <c r="F190" s="32">
        <f t="shared" si="2"/>
        <v>294112</v>
      </c>
    </row>
    <row r="191" ht="15.75" customHeight="1">
      <c r="E191" s="59" t="s">
        <v>73</v>
      </c>
      <c r="F191" s="32">
        <f t="shared" si="2"/>
        <v>1276157</v>
      </c>
    </row>
    <row r="192" ht="15.75" customHeight="1">
      <c r="E192" s="35" t="s">
        <v>68</v>
      </c>
      <c r="F192" s="32">
        <f t="shared" si="2"/>
        <v>0</v>
      </c>
    </row>
    <row r="193" ht="15.75" customHeight="1">
      <c r="E193" s="37" t="s">
        <v>9</v>
      </c>
      <c r="F193" s="38">
        <f>+SUM(F187:F192)</f>
        <v>2451783</v>
      </c>
    </row>
    <row r="194" ht="15.75" customHeight="1">
      <c r="E194" s="14"/>
      <c r="F194" s="14"/>
    </row>
    <row r="195" ht="15.75" customHeight="1">
      <c r="E195" s="29" t="s">
        <v>70</v>
      </c>
      <c r="F195" s="30" t="s">
        <v>11</v>
      </c>
    </row>
    <row r="196" ht="15.75" customHeight="1">
      <c r="E196" s="31" t="s">
        <v>74</v>
      </c>
      <c r="F196" s="32">
        <f t="shared" ref="F196:F201" si="3">+SUMIFS($I$3:$I$173,$C$3:$C$173,$F$195,$F$3:$F$173,E196)</f>
        <v>174182</v>
      </c>
    </row>
    <row r="197" ht="15.75" customHeight="1">
      <c r="E197" s="12" t="s">
        <v>92</v>
      </c>
      <c r="F197" s="32">
        <f t="shared" si="3"/>
        <v>136246</v>
      </c>
    </row>
    <row r="198" ht="15.75" customHeight="1">
      <c r="E198" s="12" t="s">
        <v>207</v>
      </c>
      <c r="F198" s="32">
        <f t="shared" si="3"/>
        <v>414038</v>
      </c>
    </row>
    <row r="199" ht="15.75" customHeight="1">
      <c r="E199" s="59" t="s">
        <v>21</v>
      </c>
      <c r="F199" s="32">
        <f t="shared" si="3"/>
        <v>288509</v>
      </c>
    </row>
    <row r="200" ht="15.75" customHeight="1">
      <c r="E200" s="59" t="s">
        <v>73</v>
      </c>
      <c r="F200" s="32">
        <f t="shared" si="3"/>
        <v>257564</v>
      </c>
    </row>
    <row r="201" ht="15.75" customHeight="1">
      <c r="E201" s="35" t="s">
        <v>68</v>
      </c>
      <c r="F201" s="32">
        <f t="shared" si="3"/>
        <v>232226</v>
      </c>
    </row>
    <row r="202" ht="15.75" customHeight="1">
      <c r="E202" s="37" t="s">
        <v>9</v>
      </c>
      <c r="F202" s="40">
        <f>+SUM(F196:F201)</f>
        <v>1502765</v>
      </c>
    </row>
    <row r="203" ht="15.75" customHeight="1">
      <c r="E203" s="14"/>
      <c r="F203" s="14"/>
    </row>
    <row r="204" ht="15.75" customHeight="1">
      <c r="E204" s="14"/>
      <c r="F204" s="14"/>
    </row>
    <row r="205" ht="15.75" customHeight="1">
      <c r="E205" s="29" t="s">
        <v>70</v>
      </c>
      <c r="F205" s="30" t="s">
        <v>15</v>
      </c>
    </row>
    <row r="206" ht="15.75" customHeight="1">
      <c r="E206" s="31" t="s">
        <v>74</v>
      </c>
      <c r="F206" s="32">
        <f t="shared" ref="F206:F211" si="4">+SUMIFS($I$3:$I$173,$C$3:$C$173,$F$205,$F$3:$F$173,E206)</f>
        <v>126469</v>
      </c>
      <c r="G206" s="69" t="s">
        <v>283</v>
      </c>
    </row>
    <row r="207" ht="15.75" customHeight="1">
      <c r="E207" s="12" t="s">
        <v>92</v>
      </c>
      <c r="F207" s="32">
        <f t="shared" si="4"/>
        <v>244134</v>
      </c>
    </row>
    <row r="208" ht="15.75" customHeight="1">
      <c r="E208" s="12" t="s">
        <v>207</v>
      </c>
      <c r="F208" s="32">
        <f t="shared" si="4"/>
        <v>220000</v>
      </c>
    </row>
    <row r="209" ht="15.75" customHeight="1">
      <c r="E209" s="59" t="s">
        <v>21</v>
      </c>
      <c r="F209" s="32">
        <f t="shared" si="4"/>
        <v>647489</v>
      </c>
    </row>
    <row r="210" ht="15.75" customHeight="1">
      <c r="E210" s="59" t="s">
        <v>73</v>
      </c>
      <c r="F210" s="32">
        <f t="shared" si="4"/>
        <v>591379</v>
      </c>
    </row>
    <row r="211" ht="15.75" customHeight="1">
      <c r="E211" s="35" t="s">
        <v>68</v>
      </c>
      <c r="F211" s="32">
        <f t="shared" si="4"/>
        <v>112909</v>
      </c>
    </row>
    <row r="212" ht="15.75" customHeight="1">
      <c r="E212" s="37" t="s">
        <v>9</v>
      </c>
      <c r="F212" s="40">
        <f>+SUM(F206:F211)</f>
        <v>1942380</v>
      </c>
    </row>
    <row r="213" ht="15.75" customHeight="1">
      <c r="E213" s="14"/>
      <c r="F213" s="14"/>
    </row>
    <row r="214" ht="15.75" customHeight="1">
      <c r="E214" s="14"/>
      <c r="F214" s="14"/>
    </row>
    <row r="215" ht="15.75" customHeight="1">
      <c r="E215" s="29" t="s">
        <v>70</v>
      </c>
      <c r="F215" s="30" t="s">
        <v>17</v>
      </c>
    </row>
    <row r="216" ht="15.75" customHeight="1">
      <c r="E216" s="31" t="s">
        <v>74</v>
      </c>
      <c r="F216" s="32">
        <f t="shared" ref="F216:F221" si="5">+SUMIFS($I$3:$I$173,$C$3:$C$173,$F$215,$F$3:$F$173,E216)</f>
        <v>20599</v>
      </c>
    </row>
    <row r="217" ht="15.75" customHeight="1">
      <c r="E217" s="12" t="s">
        <v>92</v>
      </c>
      <c r="F217" s="32">
        <f t="shared" si="5"/>
        <v>0</v>
      </c>
    </row>
    <row r="218" ht="15.75" customHeight="1">
      <c r="E218" s="12" t="s">
        <v>207</v>
      </c>
      <c r="F218" s="32">
        <f t="shared" si="5"/>
        <v>507974</v>
      </c>
    </row>
    <row r="219" ht="15.75" customHeight="1">
      <c r="E219" s="59" t="s">
        <v>21</v>
      </c>
      <c r="F219" s="32">
        <f t="shared" si="5"/>
        <v>311591</v>
      </c>
    </row>
    <row r="220" ht="15.75" customHeight="1">
      <c r="E220" s="59" t="s">
        <v>73</v>
      </c>
      <c r="F220" s="32">
        <f t="shared" si="5"/>
        <v>427807</v>
      </c>
    </row>
    <row r="221" ht="15.75" customHeight="1">
      <c r="E221" s="35" t="s">
        <v>68</v>
      </c>
      <c r="F221" s="32">
        <f t="shared" si="5"/>
        <v>248484</v>
      </c>
    </row>
    <row r="222" ht="15.75" customHeight="1">
      <c r="E222" s="37" t="s">
        <v>9</v>
      </c>
      <c r="F222" s="40">
        <f>+SUM(F216:F221)</f>
        <v>1516455</v>
      </c>
    </row>
    <row r="223" ht="15.75" customHeight="1"/>
    <row r="224" ht="15.75" customHeight="1">
      <c r="E224" s="76" t="s">
        <v>284</v>
      </c>
      <c r="F224" s="77"/>
    </row>
    <row r="225" ht="15.75" customHeight="1">
      <c r="E225" s="78" t="s">
        <v>285</v>
      </c>
      <c r="F225" s="79">
        <v>622012.0</v>
      </c>
    </row>
    <row r="226" ht="15.75" customHeight="1">
      <c r="E226" s="80" t="s">
        <v>286</v>
      </c>
      <c r="F226" s="81">
        <v>392198.0</v>
      </c>
    </row>
    <row r="227" ht="15.75" customHeight="1">
      <c r="E227" s="82" t="s">
        <v>9</v>
      </c>
      <c r="F227" s="83">
        <f>SUM(F225:F226)</f>
        <v>1014210</v>
      </c>
    </row>
    <row r="228" ht="15.75" customHeight="1">
      <c r="E228" s="84"/>
      <c r="F228" s="85"/>
    </row>
    <row r="229" ht="15.75" customHeight="1">
      <c r="E229" s="9"/>
      <c r="F229" s="9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E175:F175"/>
    <mergeCell ref="E224:F224"/>
  </mergeCells>
  <printOptions/>
  <pageMargins bottom="0.75" footer="0.0" header="0.0" left="0.7" right="0.7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27.43"/>
    <col customWidth="1" min="3" max="3" width="13.29"/>
    <col customWidth="1" min="4" max="4" width="8.14"/>
    <col customWidth="1" min="5" max="5" width="33.86"/>
    <col customWidth="1" min="6" max="6" width="15.29"/>
    <col customWidth="1" min="7" max="7" width="10.43"/>
    <col customWidth="1" min="8" max="9" width="13.14"/>
  </cols>
  <sheetData>
    <row r="1" ht="27.75" customHeight="1">
      <c r="A1" s="86" t="s">
        <v>287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ht="15.75" customHeight="1">
      <c r="A3" s="49">
        <v>46174.0</v>
      </c>
      <c r="B3" s="7" t="s">
        <v>48</v>
      </c>
      <c r="C3" s="7" t="s">
        <v>19</v>
      </c>
      <c r="D3" s="7">
        <v>1009.0</v>
      </c>
      <c r="E3" s="10" t="str">
        <f>+VLOOKUP(D3,ARTICULO!$A$2:$B$1048576,2,FALSE)</f>
        <v>PIEDRAS SANITARIAS X 20 KG</v>
      </c>
      <c r="F3" s="59" t="s">
        <v>73</v>
      </c>
      <c r="G3" s="7">
        <v>15.0</v>
      </c>
      <c r="H3" s="47">
        <v>9256.0</v>
      </c>
      <c r="I3" s="8">
        <f t="shared" ref="I3:I164" si="1">SUM(G3*H3)</f>
        <v>138840</v>
      </c>
    </row>
    <row r="4" ht="15.75" customHeight="1">
      <c r="A4" s="49">
        <v>46174.0</v>
      </c>
      <c r="B4" s="7" t="s">
        <v>48</v>
      </c>
      <c r="C4" s="7" t="s">
        <v>19</v>
      </c>
      <c r="D4" s="7">
        <v>957.0</v>
      </c>
      <c r="E4" s="10" t="str">
        <f>+VLOOKUP(D4,ARTICULO!$A$2:$B$1048576,2,FALSE)</f>
        <v>OREJAS</v>
      </c>
      <c r="F4" s="59" t="s">
        <v>73</v>
      </c>
      <c r="G4" s="7">
        <v>10.0</v>
      </c>
      <c r="H4" s="47">
        <v>778.0</v>
      </c>
      <c r="I4" s="8">
        <f t="shared" si="1"/>
        <v>7780</v>
      </c>
    </row>
    <row r="5" ht="15.75" customHeight="1">
      <c r="A5" s="49">
        <v>46174.0</v>
      </c>
      <c r="B5" s="7" t="s">
        <v>105</v>
      </c>
      <c r="C5" s="7" t="s">
        <v>19</v>
      </c>
      <c r="D5" s="7">
        <v>310.0</v>
      </c>
      <c r="E5" s="10" t="str">
        <f>+VLOOKUP(D5,ARTICULO!$A$2:$B$1048576,2,FALSE)</f>
        <v>ANILLOS DE MIEL X 2.5 KG</v>
      </c>
      <c r="F5" s="59" t="s">
        <v>73</v>
      </c>
      <c r="G5" s="7">
        <v>1.0</v>
      </c>
      <c r="H5" s="47">
        <v>12899.0</v>
      </c>
      <c r="I5" s="47">
        <f t="shared" si="1"/>
        <v>12899</v>
      </c>
    </row>
    <row r="6" ht="15.75" customHeight="1">
      <c r="A6" s="49">
        <v>46174.0</v>
      </c>
      <c r="B6" s="7" t="s">
        <v>105</v>
      </c>
      <c r="C6" s="7" t="s">
        <v>19</v>
      </c>
      <c r="D6" s="7">
        <v>478.0</v>
      </c>
      <c r="E6" s="10" t="str">
        <f>+VLOOKUP(D6,ARTICULO!$A$2:$B$1048576,2,FALSE)</f>
        <v>MAIZ QUEBRADO GRUESO X 30 KG</v>
      </c>
      <c r="F6" s="59" t="s">
        <v>73</v>
      </c>
      <c r="G6" s="7">
        <v>1.0</v>
      </c>
      <c r="H6" s="47">
        <v>14289.0</v>
      </c>
      <c r="I6" s="47">
        <f t="shared" si="1"/>
        <v>14289</v>
      </c>
    </row>
    <row r="7" ht="15.75" customHeight="1">
      <c r="A7" s="49">
        <v>46174.0</v>
      </c>
      <c r="B7" s="7" t="s">
        <v>43</v>
      </c>
      <c r="C7" s="7" t="s">
        <v>19</v>
      </c>
      <c r="D7" s="7">
        <v>700.0</v>
      </c>
      <c r="E7" s="10" t="str">
        <f>+VLOOKUP(D7,ARTICULO!$A$2:$B$1048576,2,FALSE)</f>
        <v>ARROZ</v>
      </c>
      <c r="F7" s="59" t="s">
        <v>73</v>
      </c>
      <c r="G7" s="7">
        <v>50.0</v>
      </c>
      <c r="H7" s="47">
        <v>1487.0</v>
      </c>
      <c r="I7" s="47">
        <f t="shared" si="1"/>
        <v>74350</v>
      </c>
    </row>
    <row r="8" ht="15.75" customHeight="1">
      <c r="A8" s="49">
        <v>46175.0</v>
      </c>
      <c r="B8" s="7" t="s">
        <v>288</v>
      </c>
      <c r="C8" s="7" t="s">
        <v>11</v>
      </c>
      <c r="D8" s="7">
        <v>131.0</v>
      </c>
      <c r="E8" s="10" t="str">
        <f>+VLOOKUP(D8,ARTICULO!$A$2:$B$1048576,2,FALSE)</f>
        <v>GRAN CAMPEON CACHORRO X 10 KG</v>
      </c>
      <c r="F8" s="59" t="s">
        <v>73</v>
      </c>
      <c r="G8" s="7">
        <v>1.0</v>
      </c>
      <c r="H8" s="47">
        <v>16755.0</v>
      </c>
      <c r="I8" s="47">
        <f t="shared" si="1"/>
        <v>16755</v>
      </c>
    </row>
    <row r="9" ht="15.75" customHeight="1">
      <c r="A9" s="49">
        <v>46175.0</v>
      </c>
      <c r="B9" s="7" t="s">
        <v>233</v>
      </c>
      <c r="C9" s="7" t="s">
        <v>17</v>
      </c>
      <c r="D9" s="7">
        <v>958.0</v>
      </c>
      <c r="E9" s="10" t="str">
        <f>+VLOOKUP(D9,ARTICULO!$A$2:$B$1048576,2,FALSE)</f>
        <v>PALITA SANITARIA</v>
      </c>
      <c r="F9" s="59" t="s">
        <v>73</v>
      </c>
      <c r="G9" s="7">
        <v>2.0</v>
      </c>
      <c r="H9" s="47">
        <v>588.0</v>
      </c>
      <c r="I9" s="47">
        <f t="shared" si="1"/>
        <v>1176</v>
      </c>
    </row>
    <row r="10" ht="15.75" customHeight="1">
      <c r="A10" s="49">
        <v>46176.0</v>
      </c>
      <c r="B10" s="7" t="s">
        <v>289</v>
      </c>
      <c r="C10" s="7" t="s">
        <v>11</v>
      </c>
      <c r="D10" s="7">
        <v>970.0</v>
      </c>
      <c r="E10" s="10" t="str">
        <f>+VLOOKUP(D10,ARTICULO!$A$2:$B$1048576,2,FALSE)</f>
        <v>POLAR N░ 3</v>
      </c>
      <c r="F10" s="59" t="s">
        <v>73</v>
      </c>
      <c r="G10" s="7">
        <v>1.0</v>
      </c>
      <c r="H10" s="47">
        <v>2553.0</v>
      </c>
      <c r="I10" s="47">
        <f t="shared" si="1"/>
        <v>2553</v>
      </c>
    </row>
    <row r="11" ht="15.75" customHeight="1">
      <c r="A11" s="49">
        <v>46176.0</v>
      </c>
      <c r="B11" s="7" t="s">
        <v>53</v>
      </c>
      <c r="C11" s="7" t="s">
        <v>19</v>
      </c>
      <c r="D11" s="7">
        <v>521.0</v>
      </c>
      <c r="E11" s="10" t="str">
        <f>+VLOOKUP(D11,ARTICULO!$A$2:$B$1048576,2,FALSE)</f>
        <v>PROVENZAL</v>
      </c>
      <c r="F11" s="59" t="s">
        <v>73</v>
      </c>
      <c r="G11" s="7">
        <v>3.0</v>
      </c>
      <c r="H11" s="47">
        <v>2935.0</v>
      </c>
      <c r="I11" s="47">
        <f t="shared" si="1"/>
        <v>8805</v>
      </c>
    </row>
    <row r="12" ht="15.75" customHeight="1">
      <c r="A12" s="49">
        <v>46176.0</v>
      </c>
      <c r="B12" s="7" t="s">
        <v>53</v>
      </c>
      <c r="C12" s="7" t="s">
        <v>19</v>
      </c>
      <c r="D12" s="7">
        <v>515.0</v>
      </c>
      <c r="E12" s="10" t="str">
        <f>+VLOOKUP(D12,ARTICULO!$A$2:$B$1048576,2,FALSE)</f>
        <v>OREGANO</v>
      </c>
      <c r="F12" s="59" t="s">
        <v>73</v>
      </c>
      <c r="G12" s="7">
        <v>5.0</v>
      </c>
      <c r="H12" s="47">
        <v>3975.0</v>
      </c>
      <c r="I12" s="47">
        <f t="shared" si="1"/>
        <v>19875</v>
      </c>
    </row>
    <row r="13" ht="15.75" customHeight="1">
      <c r="A13" s="49">
        <v>46177.0</v>
      </c>
      <c r="B13" s="7" t="s">
        <v>290</v>
      </c>
      <c r="C13" s="7" t="s">
        <v>17</v>
      </c>
      <c r="D13" s="7">
        <v>301.0</v>
      </c>
      <c r="E13" s="10" t="str">
        <f>+VLOOKUP(D13,ARTICULO!$A$2:$B$1048576,2,FALSE)</f>
        <v>ALMOHADITA DE FRUTILLA X 2.5 KG</v>
      </c>
      <c r="F13" s="12" t="s">
        <v>92</v>
      </c>
      <c r="G13" s="7">
        <v>3.0</v>
      </c>
      <c r="H13" s="47">
        <v>17705.0</v>
      </c>
      <c r="I13" s="47">
        <f t="shared" si="1"/>
        <v>53115</v>
      </c>
    </row>
    <row r="14" ht="15.75" customHeight="1">
      <c r="A14" s="49">
        <v>46177.0</v>
      </c>
      <c r="B14" s="7" t="s">
        <v>290</v>
      </c>
      <c r="C14" s="7" t="s">
        <v>17</v>
      </c>
      <c r="D14" s="7">
        <v>302.0</v>
      </c>
      <c r="E14" s="10" t="str">
        <f>+VLOOKUP(D14,ARTICULO!$A$2:$B$1048576,2,FALSE)</f>
        <v>ALMOHADITA DE LIMON X 2.5 KG</v>
      </c>
      <c r="F14" s="12" t="s">
        <v>92</v>
      </c>
      <c r="G14" s="7">
        <v>2.0</v>
      </c>
      <c r="H14" s="47">
        <v>17199.0</v>
      </c>
      <c r="I14" s="47">
        <f t="shared" si="1"/>
        <v>34398</v>
      </c>
    </row>
    <row r="15" ht="15.75" customHeight="1">
      <c r="A15" s="49">
        <v>46177.0</v>
      </c>
      <c r="B15" s="7" t="s">
        <v>290</v>
      </c>
      <c r="C15" s="7" t="s">
        <v>17</v>
      </c>
      <c r="D15" s="7">
        <v>721.0</v>
      </c>
      <c r="E15" s="10" t="str">
        <f>+VLOOKUP(D15,ARTICULO!$A$2:$B$1048576,2,FALSE)</f>
        <v>PISINGALLO</v>
      </c>
      <c r="F15" s="12" t="s">
        <v>92</v>
      </c>
      <c r="G15" s="7">
        <v>10.0</v>
      </c>
      <c r="H15" s="47">
        <v>1079.0</v>
      </c>
      <c r="I15" s="47">
        <f t="shared" si="1"/>
        <v>10790</v>
      </c>
    </row>
    <row r="16" ht="15.75" customHeight="1">
      <c r="A16" s="49">
        <v>46177.0</v>
      </c>
      <c r="B16" s="7" t="s">
        <v>290</v>
      </c>
      <c r="C16" s="7" t="s">
        <v>17</v>
      </c>
      <c r="D16" s="7">
        <v>710.0</v>
      </c>
      <c r="E16" s="10" t="str">
        <f>+VLOOKUP(D16,ARTICULO!$A$2:$B$1048576,2,FALSE)</f>
        <v>GARBANZO</v>
      </c>
      <c r="F16" s="12" t="s">
        <v>92</v>
      </c>
      <c r="G16" s="7">
        <v>10.0</v>
      </c>
      <c r="H16" s="47">
        <v>1127.0</v>
      </c>
      <c r="I16" s="47">
        <f t="shared" si="1"/>
        <v>11270</v>
      </c>
    </row>
    <row r="17" ht="15.75" customHeight="1">
      <c r="A17" s="49">
        <v>46177.0</v>
      </c>
      <c r="B17" s="7" t="s">
        <v>290</v>
      </c>
      <c r="C17" s="7" t="s">
        <v>17</v>
      </c>
      <c r="D17" s="7">
        <v>715.0</v>
      </c>
      <c r="E17" s="10" t="str">
        <f>+VLOOKUP(D17,ARTICULO!$A$2:$B$1048576,2,FALSE)</f>
        <v>HARINA DE TRIGO INTEGRAL</v>
      </c>
      <c r="F17" s="12" t="s">
        <v>92</v>
      </c>
      <c r="G17" s="7">
        <v>25.0</v>
      </c>
      <c r="H17" s="47">
        <v>929.0</v>
      </c>
      <c r="I17" s="47">
        <f t="shared" si="1"/>
        <v>23225</v>
      </c>
    </row>
    <row r="18" ht="15.75" customHeight="1">
      <c r="A18" s="49">
        <v>46177.0</v>
      </c>
      <c r="B18" s="7" t="s">
        <v>291</v>
      </c>
      <c r="C18" s="7" t="s">
        <v>11</v>
      </c>
      <c r="D18" s="7">
        <v>400.0</v>
      </c>
      <c r="E18" s="10" t="str">
        <f>+VLOOKUP(D18,ARTICULO!$A$2:$B$1048576,2,FALSE)</f>
        <v>ALPISTE</v>
      </c>
      <c r="F18" s="12" t="s">
        <v>286</v>
      </c>
      <c r="G18" s="7">
        <v>15.0</v>
      </c>
      <c r="H18" s="47">
        <v>1395.0</v>
      </c>
      <c r="I18" s="47">
        <f t="shared" si="1"/>
        <v>20925</v>
      </c>
    </row>
    <row r="19" ht="15.75" customHeight="1">
      <c r="A19" s="49">
        <v>46177.0</v>
      </c>
      <c r="B19" s="7" t="s">
        <v>248</v>
      </c>
      <c r="C19" s="7" t="s">
        <v>11</v>
      </c>
      <c r="D19" s="7">
        <v>175.0</v>
      </c>
      <c r="E19" s="10" t="str">
        <f>+VLOOKUP(D19,ARTICULO!$A$2:$B$1048576,2,FALSE)</f>
        <v>BALANCED ADULTO RAZA PEQUEÐA X 15KG</v>
      </c>
      <c r="F19" s="7" t="s">
        <v>73</v>
      </c>
      <c r="G19" s="7">
        <v>1.0</v>
      </c>
      <c r="H19" s="47">
        <v>35566.0</v>
      </c>
      <c r="I19" s="47">
        <f t="shared" si="1"/>
        <v>35566</v>
      </c>
    </row>
    <row r="20" ht="15.75" customHeight="1">
      <c r="A20" s="49">
        <v>46178.0</v>
      </c>
      <c r="B20" s="7" t="s">
        <v>117</v>
      </c>
      <c r="C20" s="7" t="s">
        <v>19</v>
      </c>
      <c r="D20" s="7">
        <v>301.0</v>
      </c>
      <c r="E20" s="10" t="str">
        <f>+VLOOKUP(D20,ARTICULO!$A$2:$B$1048576,2,FALSE)</f>
        <v>ALMOHADITA DE FRUTILLA X 2.5 KG</v>
      </c>
      <c r="F20" s="12" t="s">
        <v>92</v>
      </c>
      <c r="G20" s="7">
        <v>30.0</v>
      </c>
      <c r="H20" s="47">
        <v>15178.0</v>
      </c>
      <c r="I20" s="47">
        <f t="shared" si="1"/>
        <v>455340</v>
      </c>
    </row>
    <row r="21" ht="15.75" customHeight="1">
      <c r="A21" s="49">
        <v>46178.0</v>
      </c>
      <c r="B21" s="7" t="s">
        <v>250</v>
      </c>
      <c r="C21" s="7" t="s">
        <v>19</v>
      </c>
      <c r="D21" s="7">
        <v>10672.0</v>
      </c>
      <c r="E21" s="10" t="str">
        <f>+VLOOKUP(D21,ARTICULO!$A$2:$B$1048576,2,FALSE)</f>
        <v>MANI TOSTADO SALADO X KG - Mani king</v>
      </c>
      <c r="F21" s="7" t="s">
        <v>73</v>
      </c>
      <c r="G21" s="7">
        <v>3.0</v>
      </c>
      <c r="H21" s="47">
        <v>15178.0</v>
      </c>
      <c r="I21" s="47">
        <f t="shared" si="1"/>
        <v>45534</v>
      </c>
    </row>
    <row r="22" ht="15.75" customHeight="1">
      <c r="A22" s="49">
        <v>46178.0</v>
      </c>
      <c r="B22" s="7" t="s">
        <v>292</v>
      </c>
      <c r="C22" s="7" t="s">
        <v>17</v>
      </c>
      <c r="D22" s="7">
        <v>610.0</v>
      </c>
      <c r="E22" s="10" t="str">
        <f>+VLOOKUP(D22,ARTICULO!$A$2:$B$1048576,2,FALSE)</f>
        <v>MIX ENERGETICO S/C</v>
      </c>
      <c r="F22" s="12" t="s">
        <v>285</v>
      </c>
      <c r="G22" s="7">
        <v>2.0</v>
      </c>
      <c r="H22" s="47">
        <v>7623.0</v>
      </c>
      <c r="I22" s="47">
        <f t="shared" si="1"/>
        <v>15246</v>
      </c>
    </row>
    <row r="23" ht="15.75" customHeight="1">
      <c r="A23" s="49">
        <v>46178.0</v>
      </c>
      <c r="B23" s="7" t="s">
        <v>172</v>
      </c>
      <c r="C23" s="7" t="s">
        <v>19</v>
      </c>
      <c r="D23" s="7">
        <v>1120.0</v>
      </c>
      <c r="E23" s="10" t="str">
        <f>+VLOOKUP(D23,ARTICULO!$A$2:$B$1048576,2,FALSE)</f>
        <v>JARDINERA MINI N░ 20</v>
      </c>
      <c r="F23" s="7" t="s">
        <v>73</v>
      </c>
      <c r="G23" s="7">
        <v>10.0</v>
      </c>
      <c r="H23" s="47">
        <v>552.0</v>
      </c>
      <c r="I23" s="47">
        <f t="shared" si="1"/>
        <v>5520</v>
      </c>
    </row>
    <row r="24" ht="15.75" customHeight="1">
      <c r="A24" s="49">
        <v>46178.0</v>
      </c>
      <c r="B24" s="7" t="s">
        <v>172</v>
      </c>
      <c r="C24" s="7" t="s">
        <v>19</v>
      </c>
      <c r="D24" s="7">
        <v>351.0</v>
      </c>
      <c r="E24" s="10" t="str">
        <f>+VLOOKUP(D24,ARTICULO!$A$2:$B$1048576,2,FALSE)</f>
        <v>GRANOLA MIX X 1 KG</v>
      </c>
      <c r="F24" s="12" t="s">
        <v>285</v>
      </c>
      <c r="G24" s="7">
        <v>10.0</v>
      </c>
      <c r="H24" s="47">
        <v>6642.0</v>
      </c>
      <c r="I24" s="47">
        <f t="shared" si="1"/>
        <v>66420</v>
      </c>
    </row>
    <row r="25" ht="15.75" customHeight="1">
      <c r="A25" s="49">
        <v>46178.0</v>
      </c>
      <c r="B25" s="7" t="s">
        <v>37</v>
      </c>
      <c r="C25" s="7" t="s">
        <v>19</v>
      </c>
      <c r="D25" s="7">
        <v>613.0</v>
      </c>
      <c r="E25" s="10" t="str">
        <f>+VLOOKUP(D25,ARTICULO!$A$2:$B$1048576,2,FALSE)</f>
        <v>PASAS CON SEMILLA</v>
      </c>
      <c r="F25" s="12" t="s">
        <v>285</v>
      </c>
      <c r="G25" s="7">
        <v>10.0</v>
      </c>
      <c r="H25" s="47">
        <v>3000.0</v>
      </c>
      <c r="I25" s="47">
        <f t="shared" si="1"/>
        <v>30000</v>
      </c>
    </row>
    <row r="26" ht="15.75" customHeight="1">
      <c r="A26" s="49">
        <v>46178.0</v>
      </c>
      <c r="B26" s="7" t="s">
        <v>293</v>
      </c>
      <c r="C26" s="7" t="s">
        <v>15</v>
      </c>
      <c r="D26" s="7">
        <v>512.0</v>
      </c>
      <c r="E26" s="10" t="str">
        <f>+VLOOKUP(D26,ARTICULO!$A$2:$B$1048576,2,FALSE)</f>
        <v>CURCUMA</v>
      </c>
      <c r="F26" s="7" t="s">
        <v>73</v>
      </c>
      <c r="G26" s="7">
        <v>5.0</v>
      </c>
      <c r="H26" s="47">
        <v>3975.0</v>
      </c>
      <c r="I26" s="47">
        <f t="shared" si="1"/>
        <v>19875</v>
      </c>
    </row>
    <row r="27" ht="15.75" customHeight="1">
      <c r="A27" s="49">
        <v>46179.0</v>
      </c>
      <c r="B27" s="7" t="s">
        <v>294</v>
      </c>
      <c r="C27" s="7" t="s">
        <v>11</v>
      </c>
      <c r="D27" s="7">
        <v>613.0</v>
      </c>
      <c r="E27" s="10" t="str">
        <f>+VLOOKUP(D27,ARTICULO!$A$2:$B$1048576,2,FALSE)</f>
        <v>PASAS CON SEMILLA</v>
      </c>
      <c r="F27" s="7" t="s">
        <v>73</v>
      </c>
      <c r="G27" s="7">
        <v>10.0</v>
      </c>
      <c r="H27" s="47">
        <v>3000.0</v>
      </c>
      <c r="I27" s="47">
        <f t="shared" si="1"/>
        <v>30000</v>
      </c>
    </row>
    <row r="28" ht="15.75" customHeight="1">
      <c r="A28" s="49">
        <v>46179.0</v>
      </c>
      <c r="B28" s="7" t="s">
        <v>294</v>
      </c>
      <c r="C28" s="7" t="s">
        <v>11</v>
      </c>
      <c r="D28" s="7">
        <v>330.0</v>
      </c>
      <c r="E28" s="10" t="str">
        <f>+VLOOKUP(D28,ARTICULO!$A$2:$B$1048576,2,FALSE)</f>
        <v>CEREAL CON AZUCAR x 2.5 Kg</v>
      </c>
      <c r="F28" s="7" t="s">
        <v>73</v>
      </c>
      <c r="G28" s="7">
        <v>12.0</v>
      </c>
      <c r="H28" s="47">
        <v>11633.0</v>
      </c>
      <c r="I28" s="47">
        <f t="shared" si="1"/>
        <v>139596</v>
      </c>
    </row>
    <row r="29" ht="15.75" customHeight="1">
      <c r="A29" s="49">
        <v>46179.0</v>
      </c>
      <c r="B29" s="7" t="s">
        <v>294</v>
      </c>
      <c r="C29" s="7" t="s">
        <v>11</v>
      </c>
      <c r="D29" s="7">
        <v>661.0</v>
      </c>
      <c r="E29" s="10" t="str">
        <f>+VLOOKUP(D29,ARTICULO!$A$2:$B$1048576,2,FALSE)</f>
        <v>PASTA DE MANI NATURAL X 485GR X 12U- Mani king</v>
      </c>
      <c r="F29" s="7" t="s">
        <v>73</v>
      </c>
      <c r="G29" s="7">
        <v>1.0</v>
      </c>
      <c r="H29" s="47">
        <v>29771.0</v>
      </c>
      <c r="I29" s="47">
        <f t="shared" si="1"/>
        <v>29771</v>
      </c>
    </row>
    <row r="30" ht="15.75" customHeight="1">
      <c r="A30" s="49">
        <v>46179.0</v>
      </c>
      <c r="B30" s="7" t="s">
        <v>294</v>
      </c>
      <c r="C30" s="7" t="s">
        <v>11</v>
      </c>
      <c r="D30" s="7">
        <v>679.0</v>
      </c>
      <c r="E30" s="7" t="str">
        <f>+VLOOKUP(D30,ARTICULO!$A$2:$B$1048576,2,FALSE)</f>
        <v>PASTA DE MANI VITA + X350 X 12un</v>
      </c>
      <c r="F30" s="7" t="s">
        <v>73</v>
      </c>
      <c r="G30" s="7">
        <v>1.0</v>
      </c>
      <c r="H30" s="47">
        <v>27557.0</v>
      </c>
      <c r="I30" s="47">
        <f t="shared" si="1"/>
        <v>27557</v>
      </c>
    </row>
    <row r="31" ht="15.75" customHeight="1">
      <c r="A31" s="49">
        <v>46179.0</v>
      </c>
      <c r="B31" s="7" t="s">
        <v>294</v>
      </c>
      <c r="C31" s="7" t="s">
        <v>11</v>
      </c>
      <c r="D31" s="7">
        <v>165.0</v>
      </c>
      <c r="E31" s="10" t="str">
        <f>+VLOOKUP(D31,ARTICULO!$A$2:$B$1048576,2,FALSE)</f>
        <v>FLECKY ADULTO CARNE  X 15 KG</v>
      </c>
      <c r="F31" s="7" t="s">
        <v>73</v>
      </c>
      <c r="G31" s="7">
        <v>3.0</v>
      </c>
      <c r="H31" s="47">
        <v>10400.0</v>
      </c>
      <c r="I31" s="47">
        <f t="shared" si="1"/>
        <v>31200</v>
      </c>
    </row>
    <row r="32" ht="15.75" customHeight="1">
      <c r="A32" s="49">
        <v>46179.0</v>
      </c>
      <c r="B32" s="7" t="s">
        <v>184</v>
      </c>
      <c r="C32" s="7" t="s">
        <v>11</v>
      </c>
      <c r="D32" s="7">
        <v>766.0</v>
      </c>
      <c r="E32" s="10" t="str">
        <f>+VLOOKUP(D32,ARTICULO!$A$2:$B$1048576,2,FALSE)</f>
        <v>SHULET AGUA FRIA X 1 KG</v>
      </c>
      <c r="F32" s="7" t="s">
        <v>73</v>
      </c>
      <c r="G32" s="7">
        <v>1.0</v>
      </c>
      <c r="H32" s="47">
        <v>72143.0</v>
      </c>
      <c r="I32" s="47">
        <f t="shared" si="1"/>
        <v>72143</v>
      </c>
    </row>
    <row r="33" ht="15.75" customHeight="1">
      <c r="A33" s="49">
        <v>46181.0</v>
      </c>
      <c r="B33" s="7" t="s">
        <v>295</v>
      </c>
      <c r="C33" s="7" t="s">
        <v>11</v>
      </c>
      <c r="D33" s="7">
        <v>483.0</v>
      </c>
      <c r="E33" s="10" t="str">
        <f>+VLOOKUP(D33,ARTICULO!$A$2:$B$1048576,2,FALSE)</f>
        <v>CABALLO PREMIUM X 30 KG</v>
      </c>
      <c r="F33" s="7" t="s">
        <v>68</v>
      </c>
      <c r="G33" s="7">
        <v>15.0</v>
      </c>
      <c r="H33" s="47">
        <v>14900.0</v>
      </c>
      <c r="I33" s="47">
        <f t="shared" si="1"/>
        <v>223500</v>
      </c>
    </row>
    <row r="34" ht="15.75" customHeight="1">
      <c r="A34" s="49">
        <v>46181.0</v>
      </c>
      <c r="B34" s="7" t="s">
        <v>48</v>
      </c>
      <c r="C34" s="7" t="s">
        <v>19</v>
      </c>
      <c r="D34" s="7">
        <v>995.0</v>
      </c>
      <c r="E34" s="10" t="str">
        <f>+VLOOKUP(D34,ARTICULO!$A$2:$B$1048576,2,FALSE)</f>
        <v>PIEDRAS SANITARIAS MI NINO 12,5</v>
      </c>
      <c r="F34" s="7" t="s">
        <v>73</v>
      </c>
      <c r="G34" s="7">
        <v>5.0</v>
      </c>
      <c r="H34" s="47">
        <v>6193.0</v>
      </c>
      <c r="I34" s="47">
        <f t="shared" si="1"/>
        <v>30965</v>
      </c>
    </row>
    <row r="35" ht="15.75" customHeight="1">
      <c r="A35" s="49">
        <v>46181.0</v>
      </c>
      <c r="B35" s="7" t="s">
        <v>296</v>
      </c>
      <c r="C35" s="7" t="s">
        <v>19</v>
      </c>
      <c r="D35" s="7">
        <v>968.0</v>
      </c>
      <c r="E35" s="10" t="str">
        <f>+VLOOKUP(D35,ARTICULO!$A$2:$B$1048576,2,FALSE)</f>
        <v>POLAR N░ 1</v>
      </c>
      <c r="F35" s="7" t="s">
        <v>73</v>
      </c>
      <c r="G35" s="7">
        <v>3.0</v>
      </c>
      <c r="H35" s="51">
        <v>1702.0</v>
      </c>
      <c r="I35" s="47">
        <f t="shared" si="1"/>
        <v>5106</v>
      </c>
    </row>
    <row r="36" ht="15.75" customHeight="1">
      <c r="A36" s="49">
        <v>46181.0</v>
      </c>
      <c r="B36" s="7" t="s">
        <v>22</v>
      </c>
      <c r="C36" s="7" t="s">
        <v>11</v>
      </c>
      <c r="D36" s="7">
        <v>301.0</v>
      </c>
      <c r="E36" s="10" t="str">
        <f>+VLOOKUP(D36,ARTICULO!$A$2:$B$1048576,2,FALSE)</f>
        <v>ALMOHADITA DE FRUTILLA X 2.5 KG</v>
      </c>
      <c r="F36" s="12" t="s">
        <v>285</v>
      </c>
      <c r="G36" s="7">
        <v>1.0</v>
      </c>
      <c r="H36" s="51">
        <v>16443.0</v>
      </c>
      <c r="I36" s="47">
        <f t="shared" si="1"/>
        <v>16443</v>
      </c>
    </row>
    <row r="37" ht="15.75" customHeight="1">
      <c r="A37" s="49">
        <v>46181.0</v>
      </c>
      <c r="B37" s="7" t="s">
        <v>108</v>
      </c>
      <c r="C37" s="7" t="s">
        <v>17</v>
      </c>
      <c r="D37" s="7">
        <v>470.0</v>
      </c>
      <c r="E37" s="10" t="str">
        <f>+VLOOKUP(D37,ARTICULO!$A$2:$B$1048576,2,FALSE)</f>
        <v>MEZCLA P/PAJARO</v>
      </c>
      <c r="F37" s="12" t="s">
        <v>92</v>
      </c>
      <c r="G37" s="7">
        <v>5.0</v>
      </c>
      <c r="H37" s="47">
        <v>1571.0</v>
      </c>
      <c r="I37" s="47">
        <f t="shared" si="1"/>
        <v>7855</v>
      </c>
    </row>
    <row r="38" ht="15.75" customHeight="1">
      <c r="A38" s="49">
        <v>46181.0</v>
      </c>
      <c r="B38" s="7" t="s">
        <v>108</v>
      </c>
      <c r="C38" s="7" t="s">
        <v>17</v>
      </c>
      <c r="D38" s="7">
        <v>400.0</v>
      </c>
      <c r="E38" s="10" t="str">
        <f>+VLOOKUP(D38,ARTICULO!$A$2:$B$1048576,2,FALSE)</f>
        <v>ALPISTE</v>
      </c>
      <c r="F38" s="12" t="s">
        <v>92</v>
      </c>
      <c r="G38" s="7">
        <v>5.0</v>
      </c>
      <c r="H38" s="47">
        <v>1395.0</v>
      </c>
      <c r="I38" s="47">
        <f t="shared" si="1"/>
        <v>6975</v>
      </c>
    </row>
    <row r="39" ht="15.75" customHeight="1">
      <c r="A39" s="49">
        <v>46181.0</v>
      </c>
      <c r="B39" s="7" t="s">
        <v>108</v>
      </c>
      <c r="C39" s="7" t="s">
        <v>17</v>
      </c>
      <c r="D39" s="7">
        <v>703.0</v>
      </c>
      <c r="E39" s="10" t="str">
        <f>+VLOOKUP(D39,ARTICULO!$A$2:$B$1048576,2,FALSE)</f>
        <v>AVENA ARROLLADA</v>
      </c>
      <c r="F39" s="12" t="s">
        <v>92</v>
      </c>
      <c r="G39" s="7">
        <v>5.0</v>
      </c>
      <c r="H39" s="47">
        <v>1750.0</v>
      </c>
      <c r="I39" s="47">
        <f t="shared" si="1"/>
        <v>8750</v>
      </c>
    </row>
    <row r="40" ht="15.75" customHeight="1">
      <c r="A40" s="49">
        <v>46181.0</v>
      </c>
      <c r="B40" s="7" t="s">
        <v>108</v>
      </c>
      <c r="C40" s="7" t="s">
        <v>17</v>
      </c>
      <c r="D40" s="7">
        <v>721.0</v>
      </c>
      <c r="E40" s="10" t="str">
        <f>+VLOOKUP(D40,ARTICULO!$A$2:$B$1048576,2,FALSE)</f>
        <v>PISINGALLO</v>
      </c>
      <c r="F40" s="12" t="s">
        <v>92</v>
      </c>
      <c r="G40" s="7">
        <v>5.0</v>
      </c>
      <c r="H40" s="47">
        <v>1079.0</v>
      </c>
      <c r="I40" s="47">
        <f t="shared" si="1"/>
        <v>5395</v>
      </c>
    </row>
    <row r="41" ht="15.75" customHeight="1">
      <c r="A41" s="49">
        <v>46182.0</v>
      </c>
      <c r="B41" s="7" t="s">
        <v>297</v>
      </c>
      <c r="C41" s="7" t="s">
        <v>17</v>
      </c>
      <c r="D41" s="7">
        <v>468.0</v>
      </c>
      <c r="E41" s="10" t="str">
        <f>+VLOOKUP(D41,ARTICULO!$A$2:$B$1048576,2,FALSE)</f>
        <v>MEZCLA GRUESA/MEDIANA</v>
      </c>
      <c r="F41" s="59" t="s">
        <v>21</v>
      </c>
      <c r="G41" s="7">
        <v>30.0</v>
      </c>
      <c r="H41" s="47">
        <v>527.0</v>
      </c>
      <c r="I41" s="47">
        <f t="shared" si="1"/>
        <v>15810</v>
      </c>
    </row>
    <row r="42" ht="15.75" customHeight="1">
      <c r="A42" s="49">
        <v>46182.0</v>
      </c>
      <c r="B42" s="7" t="s">
        <v>297</v>
      </c>
      <c r="C42" s="7" t="s">
        <v>17</v>
      </c>
      <c r="D42" s="7">
        <v>482.0</v>
      </c>
      <c r="E42" s="10" t="str">
        <f>+VLOOKUP(D42,ARTICULO!$A$2:$B$1048576,2,FALSE)</f>
        <v>MEZCLA FINA ESPECIAL (CARDENAL)</v>
      </c>
      <c r="F42" s="59" t="s">
        <v>21</v>
      </c>
      <c r="G42" s="7">
        <v>30.0</v>
      </c>
      <c r="H42" s="47">
        <v>735.0</v>
      </c>
      <c r="I42" s="47">
        <f t="shared" si="1"/>
        <v>22050</v>
      </c>
    </row>
    <row r="43" ht="15.75" customHeight="1">
      <c r="A43" s="49">
        <v>46182.0</v>
      </c>
      <c r="B43" s="7" t="s">
        <v>297</v>
      </c>
      <c r="C43" s="7" t="s">
        <v>17</v>
      </c>
      <c r="D43" s="7">
        <v>717.0</v>
      </c>
      <c r="E43" s="10" t="str">
        <f>+VLOOKUP(D43,ARTICULO!$A$2:$B$1048576,2,FALSE)</f>
        <v>LENTEJA</v>
      </c>
      <c r="F43" s="59" t="s">
        <v>21</v>
      </c>
      <c r="G43" s="7">
        <v>15.0</v>
      </c>
      <c r="H43" s="47">
        <v>1957.0</v>
      </c>
      <c r="I43" s="47">
        <f t="shared" si="1"/>
        <v>29355</v>
      </c>
    </row>
    <row r="44" ht="15.75" customHeight="1">
      <c r="A44" s="49">
        <v>46182.0</v>
      </c>
      <c r="B44" s="7" t="s">
        <v>297</v>
      </c>
      <c r="C44" s="7" t="s">
        <v>17</v>
      </c>
      <c r="D44" s="7">
        <v>458.0</v>
      </c>
      <c r="E44" s="10" t="str">
        <f>+VLOOKUP(D44,ARTICULO!$A$2:$B$1048576,2,FALSE)</f>
        <v>GIRASOL GRANDE</v>
      </c>
      <c r="F44" s="59" t="s">
        <v>21</v>
      </c>
      <c r="G44" s="7">
        <v>20.0</v>
      </c>
      <c r="H44" s="47">
        <v>1893.0</v>
      </c>
      <c r="I44" s="47">
        <f t="shared" si="1"/>
        <v>37860</v>
      </c>
    </row>
    <row r="45" ht="15.75" customHeight="1">
      <c r="A45" s="49">
        <v>46182.0</v>
      </c>
      <c r="B45" s="7" t="s">
        <v>298</v>
      </c>
      <c r="C45" s="7" t="s">
        <v>11</v>
      </c>
      <c r="D45" s="7">
        <v>301.0</v>
      </c>
      <c r="E45" s="10" t="str">
        <f>+VLOOKUP(D45,ARTICULO!$A$2:$B$1048576,2,FALSE)</f>
        <v>ALMOHADITA DE FRUTILLA X 2.5 KG</v>
      </c>
      <c r="F45" s="12" t="s">
        <v>285</v>
      </c>
      <c r="G45" s="7">
        <v>1.0</v>
      </c>
      <c r="H45" s="47">
        <v>16443.0</v>
      </c>
      <c r="I45" s="47">
        <f t="shared" si="1"/>
        <v>16443</v>
      </c>
    </row>
    <row r="46" ht="15.75" customHeight="1">
      <c r="A46" s="49">
        <v>46182.0</v>
      </c>
      <c r="B46" s="7" t="s">
        <v>299</v>
      </c>
      <c r="C46" s="7" t="s">
        <v>11</v>
      </c>
      <c r="D46" s="7">
        <v>468.0</v>
      </c>
      <c r="E46" s="10" t="str">
        <f>+VLOOKUP(D46,ARTICULO!$A$2:$B$1048576,2,FALSE)</f>
        <v>MEZCLA GRUESA/MEDIANA</v>
      </c>
      <c r="F46" s="12" t="s">
        <v>21</v>
      </c>
      <c r="G46" s="7">
        <v>300.0</v>
      </c>
      <c r="H46" s="47">
        <v>527.0</v>
      </c>
      <c r="I46" s="47">
        <f t="shared" si="1"/>
        <v>158100</v>
      </c>
    </row>
    <row r="47" ht="15.75" customHeight="1">
      <c r="A47" s="49">
        <v>46183.0</v>
      </c>
      <c r="B47" s="7" t="s">
        <v>300</v>
      </c>
      <c r="C47" s="7" t="s">
        <v>19</v>
      </c>
      <c r="D47" s="7">
        <v>165.0</v>
      </c>
      <c r="E47" s="10" t="str">
        <f>+VLOOKUP(D47,ARTICULO!$A$2:$B$1048576,2,FALSE)</f>
        <v>FLECKY ADULTO CARNE  X 15 KG</v>
      </c>
      <c r="F47" s="12" t="s">
        <v>68</v>
      </c>
      <c r="G47" s="7">
        <v>50.0</v>
      </c>
      <c r="H47" s="47">
        <v>10400.0</v>
      </c>
      <c r="I47" s="47">
        <f t="shared" si="1"/>
        <v>520000</v>
      </c>
    </row>
    <row r="48" ht="15.75" customHeight="1">
      <c r="A48" s="49">
        <v>46183.0</v>
      </c>
      <c r="B48" s="7" t="s">
        <v>28</v>
      </c>
      <c r="C48" s="7" t="s">
        <v>19</v>
      </c>
      <c r="D48" s="7">
        <v>320.0</v>
      </c>
      <c r="E48" s="10" t="str">
        <f>+VLOOKUP(D48,ARTICULO!$A$2:$B$1048576,2,FALSE)</f>
        <v>BOLITAS DE CHOCOLATE x 2.5 Kg</v>
      </c>
      <c r="F48" s="12" t="s">
        <v>73</v>
      </c>
      <c r="G48" s="7">
        <v>1.0</v>
      </c>
      <c r="H48" s="47">
        <v>12185.0</v>
      </c>
      <c r="I48" s="47">
        <f t="shared" si="1"/>
        <v>12185</v>
      </c>
    </row>
    <row r="49" ht="15.75" customHeight="1">
      <c r="A49" s="49">
        <v>46183.0</v>
      </c>
      <c r="B49" s="7" t="s">
        <v>301</v>
      </c>
      <c r="C49" s="7" t="s">
        <v>11</v>
      </c>
      <c r="D49" s="7">
        <v>301.0</v>
      </c>
      <c r="E49" s="10" t="str">
        <f>+VLOOKUP(D49,ARTICULO!$A$2:$B$1048576,2,FALSE)</f>
        <v>ALMOHADITA DE FRUTILLA X 2.5 KG</v>
      </c>
      <c r="F49" s="12" t="s">
        <v>73</v>
      </c>
      <c r="G49" s="7">
        <v>1.0</v>
      </c>
      <c r="H49" s="47">
        <v>18972.0</v>
      </c>
      <c r="I49" s="47">
        <f t="shared" si="1"/>
        <v>18972</v>
      </c>
    </row>
    <row r="50" ht="15.75" customHeight="1">
      <c r="A50" s="49">
        <v>46183.0</v>
      </c>
      <c r="B50" s="7" t="s">
        <v>302</v>
      </c>
      <c r="C50" s="7" t="s">
        <v>17</v>
      </c>
      <c r="D50" s="7">
        <v>946.0</v>
      </c>
      <c r="E50" s="10" t="str">
        <f>+VLOOKUP(D50,ARTICULO!$A$2:$B$1048576,2,FALSE)</f>
        <v>CURABICHERA PLATA AM NORT</v>
      </c>
      <c r="F50" s="12" t="s">
        <v>73</v>
      </c>
      <c r="G50" s="7">
        <v>12.0</v>
      </c>
      <c r="H50" s="47">
        <v>6744.0</v>
      </c>
      <c r="I50" s="47">
        <f t="shared" si="1"/>
        <v>80928</v>
      </c>
    </row>
    <row r="51" ht="15.75" customHeight="1">
      <c r="A51" s="49">
        <v>46183.0</v>
      </c>
      <c r="B51" s="7" t="s">
        <v>303</v>
      </c>
      <c r="C51" s="7" t="s">
        <v>11</v>
      </c>
      <c r="D51" s="7">
        <v>710.0</v>
      </c>
      <c r="E51" s="10" t="str">
        <f>+VLOOKUP(D51,ARTICULO!$A$2:$B$1048576,2,FALSE)</f>
        <v>GARBANZO</v>
      </c>
      <c r="F51" s="12" t="s">
        <v>285</v>
      </c>
      <c r="G51" s="7">
        <v>5.0</v>
      </c>
      <c r="H51" s="47">
        <v>1127.0</v>
      </c>
      <c r="I51" s="47">
        <f t="shared" si="1"/>
        <v>5635</v>
      </c>
    </row>
    <row r="52" ht="15.75" customHeight="1">
      <c r="A52" s="49">
        <v>46184.0</v>
      </c>
      <c r="B52" s="7" t="s">
        <v>304</v>
      </c>
      <c r="C52" s="7" t="s">
        <v>17</v>
      </c>
      <c r="D52" s="7">
        <v>167.0</v>
      </c>
      <c r="E52" s="10" t="str">
        <f>+VLOOKUP(D52,ARTICULO!$A$2:$B$1048576,2,FALSE)</f>
        <v>FLECKY CACHORRO X 10 KG</v>
      </c>
      <c r="F52" s="12" t="s">
        <v>73</v>
      </c>
      <c r="G52" s="7">
        <v>30.0</v>
      </c>
      <c r="H52" s="47">
        <v>16780.0</v>
      </c>
      <c r="I52" s="47">
        <f t="shared" si="1"/>
        <v>503400</v>
      </c>
    </row>
    <row r="53" ht="15.75" customHeight="1">
      <c r="A53" s="49">
        <v>46184.0</v>
      </c>
      <c r="B53" s="7" t="s">
        <v>305</v>
      </c>
      <c r="C53" s="7" t="s">
        <v>17</v>
      </c>
      <c r="D53" s="7">
        <v>700.0</v>
      </c>
      <c r="E53" s="10" t="str">
        <f>+VLOOKUP(D53,ARTICULO!$A$2:$B$1048576,2,FALSE)</f>
        <v>ARROZ</v>
      </c>
      <c r="F53" s="12" t="s">
        <v>73</v>
      </c>
      <c r="G53" s="7">
        <v>5.0</v>
      </c>
      <c r="H53" s="47">
        <v>1778.0</v>
      </c>
      <c r="I53" s="47">
        <f t="shared" si="1"/>
        <v>8890</v>
      </c>
    </row>
    <row r="54" ht="15.75" customHeight="1">
      <c r="A54" s="49">
        <v>46184.0</v>
      </c>
      <c r="B54" s="7" t="s">
        <v>304</v>
      </c>
      <c r="C54" s="7" t="s">
        <v>17</v>
      </c>
      <c r="D54" s="7">
        <v>460.0</v>
      </c>
      <c r="E54" s="10" t="str">
        <f>+VLOOKUP(D54,ARTICULO!$A$2:$B$1048576,2,FALSE)</f>
        <v>MAIZ</v>
      </c>
      <c r="F54" s="12" t="s">
        <v>73</v>
      </c>
      <c r="G54" s="7">
        <v>160.0</v>
      </c>
      <c r="H54" s="47">
        <v>406.0</v>
      </c>
      <c r="I54" s="47">
        <f t="shared" si="1"/>
        <v>64960</v>
      </c>
    </row>
    <row r="55" ht="15.75" customHeight="1">
      <c r="A55" s="49">
        <v>46184.0</v>
      </c>
      <c r="B55" s="7" t="s">
        <v>306</v>
      </c>
      <c r="C55" s="7" t="s">
        <v>17</v>
      </c>
      <c r="D55" s="7">
        <v>695.0</v>
      </c>
      <c r="E55" s="7" t="str">
        <f>+VLOOKUP(D55,ARTICULO!$A$2:$B$1048576,2,FALSE)</f>
        <v>MONKY NEGRA X 18ud</v>
      </c>
      <c r="F55" s="12" t="s">
        <v>21</v>
      </c>
      <c r="G55" s="7">
        <v>1.0</v>
      </c>
      <c r="H55" s="47">
        <v>18375.0</v>
      </c>
      <c r="I55" s="47">
        <f t="shared" si="1"/>
        <v>18375</v>
      </c>
    </row>
    <row r="56" ht="15.75" customHeight="1">
      <c r="A56" s="49">
        <v>46184.0</v>
      </c>
      <c r="B56" s="7" t="s">
        <v>306</v>
      </c>
      <c r="C56" s="7" t="s">
        <v>17</v>
      </c>
      <c r="D56" s="7">
        <v>696.0</v>
      </c>
      <c r="E56" s="7" t="str">
        <f>+VLOOKUP(D56,ARTICULO!$A$2:$B$1048576,2,FALSE)</f>
        <v>MONKY BLANCA X 18ud</v>
      </c>
      <c r="F56" s="12" t="s">
        <v>21</v>
      </c>
      <c r="G56" s="7">
        <v>1.0</v>
      </c>
      <c r="H56" s="47">
        <v>18375.0</v>
      </c>
      <c r="I56" s="47">
        <f t="shared" si="1"/>
        <v>18375</v>
      </c>
    </row>
    <row r="57" ht="15.75" customHeight="1">
      <c r="A57" s="49">
        <v>46184.0</v>
      </c>
      <c r="B57" s="7" t="s">
        <v>307</v>
      </c>
      <c r="C57" s="7" t="s">
        <v>19</v>
      </c>
      <c r="D57" s="7">
        <v>722.0</v>
      </c>
      <c r="E57" s="10" t="str">
        <f>+VLOOKUP(D57,ARTICULO!$A$2:$B$1048576,2,FALSE)</f>
        <v>POLENTA</v>
      </c>
      <c r="F57" s="12" t="s">
        <v>73</v>
      </c>
      <c r="G57" s="7">
        <v>25.0</v>
      </c>
      <c r="H57" s="47">
        <v>739.0</v>
      </c>
      <c r="I57" s="47">
        <f t="shared" si="1"/>
        <v>18475</v>
      </c>
    </row>
    <row r="58" ht="15.75" customHeight="1">
      <c r="A58" s="49">
        <v>46184.0</v>
      </c>
      <c r="B58" s="7" t="s">
        <v>308</v>
      </c>
      <c r="C58" s="7" t="s">
        <v>19</v>
      </c>
      <c r="D58" s="7">
        <v>60.0</v>
      </c>
      <c r="E58" s="10" t="str">
        <f>+VLOOKUP(D58,ARTICULO!$A$2:$B$1048576,2,FALSE)</f>
        <v>TERMINADOR X 40 KG</v>
      </c>
      <c r="F58" s="12" t="s">
        <v>68</v>
      </c>
      <c r="G58" s="7">
        <v>5.0</v>
      </c>
      <c r="H58" s="47">
        <v>20437.0</v>
      </c>
      <c r="I58" s="47">
        <f t="shared" si="1"/>
        <v>102185</v>
      </c>
    </row>
    <row r="59" ht="15.75" customHeight="1">
      <c r="A59" s="49">
        <v>46184.0</v>
      </c>
      <c r="B59" s="7" t="s">
        <v>308</v>
      </c>
      <c r="C59" s="7" t="s">
        <v>19</v>
      </c>
      <c r="D59" s="7">
        <v>476.0</v>
      </c>
      <c r="E59" s="10" t="str">
        <f>+VLOOKUP(D59,ARTICULO!$A$2:$B$1048576,2,FALSE)</f>
        <v>MAIZ QUEBRADO FINO X 30 KG</v>
      </c>
      <c r="F59" s="12" t="s">
        <v>68</v>
      </c>
      <c r="G59" s="7">
        <v>2.0</v>
      </c>
      <c r="H59" s="47">
        <v>16174.0</v>
      </c>
      <c r="I59" s="47">
        <f t="shared" si="1"/>
        <v>32348</v>
      </c>
    </row>
    <row r="60" ht="15.75" customHeight="1">
      <c r="A60" s="49">
        <v>46184.0</v>
      </c>
      <c r="B60" s="7" t="s">
        <v>308</v>
      </c>
      <c r="C60" s="7" t="s">
        <v>19</v>
      </c>
      <c r="D60" s="7">
        <v>478.0</v>
      </c>
      <c r="E60" s="10" t="str">
        <f>+VLOOKUP(D60,ARTICULO!$A$2:$B$1048576,2,FALSE)</f>
        <v>MAIZ QUEBRADO GRUESO X 30 KG</v>
      </c>
      <c r="F60" s="12" t="s">
        <v>68</v>
      </c>
      <c r="G60" s="7">
        <v>2.0</v>
      </c>
      <c r="H60" s="47">
        <v>16174.0</v>
      </c>
      <c r="I60" s="47">
        <f t="shared" si="1"/>
        <v>32348</v>
      </c>
    </row>
    <row r="61" ht="15.75" customHeight="1">
      <c r="A61" s="49">
        <v>46184.0</v>
      </c>
      <c r="B61" s="7" t="s">
        <v>308</v>
      </c>
      <c r="C61" s="7" t="s">
        <v>19</v>
      </c>
      <c r="D61" s="7">
        <v>722.0</v>
      </c>
      <c r="E61" s="10" t="str">
        <f>+VLOOKUP(D61,ARTICULO!$A$2:$B$1048576,2,FALSE)</f>
        <v>POLENTA</v>
      </c>
      <c r="F61" s="12" t="s">
        <v>68</v>
      </c>
      <c r="G61" s="7">
        <v>10.0</v>
      </c>
      <c r="H61" s="47">
        <v>739.0</v>
      </c>
      <c r="I61" s="47">
        <f t="shared" si="1"/>
        <v>7390</v>
      </c>
    </row>
    <row r="62" ht="15.75" customHeight="1">
      <c r="A62" s="49">
        <v>46184.0</v>
      </c>
      <c r="B62" s="7" t="s">
        <v>308</v>
      </c>
      <c r="C62" s="7" t="s">
        <v>19</v>
      </c>
      <c r="D62" s="7">
        <v>716.0</v>
      </c>
      <c r="E62" s="10" t="str">
        <f>+VLOOKUP(D62,ARTICULO!$A$2:$B$1048576,2,FALSE)</f>
        <v>HARINA P/TAMALES</v>
      </c>
      <c r="F62" s="12" t="s">
        <v>68</v>
      </c>
      <c r="G62" s="7">
        <v>10.0</v>
      </c>
      <c r="H62" s="47">
        <v>654.0</v>
      </c>
      <c r="I62" s="47">
        <f t="shared" si="1"/>
        <v>6540</v>
      </c>
    </row>
    <row r="63" ht="15.75" customHeight="1">
      <c r="A63" s="49">
        <v>46184.0</v>
      </c>
      <c r="B63" s="7" t="s">
        <v>308</v>
      </c>
      <c r="C63" s="7" t="s">
        <v>19</v>
      </c>
      <c r="D63" s="7">
        <v>482.0</v>
      </c>
      <c r="E63" s="10" t="str">
        <f>+VLOOKUP(D63,ARTICULO!$A$2:$B$1048576,2,FALSE)</f>
        <v>MEZCLA FINA ESPECIAL (CARDENAL)</v>
      </c>
      <c r="F63" s="12" t="s">
        <v>68</v>
      </c>
      <c r="G63" s="7">
        <v>30.0</v>
      </c>
      <c r="H63" s="47">
        <v>735.0</v>
      </c>
      <c r="I63" s="47">
        <f t="shared" si="1"/>
        <v>22050</v>
      </c>
    </row>
    <row r="64" ht="15.75" customHeight="1">
      <c r="A64" s="49">
        <v>46184.0</v>
      </c>
      <c r="B64" s="7" t="s">
        <v>308</v>
      </c>
      <c r="C64" s="7" t="s">
        <v>19</v>
      </c>
      <c r="D64" s="7">
        <v>51.0</v>
      </c>
      <c r="E64" s="10" t="str">
        <f>+VLOOKUP(D64,ARTICULO!$A$2:$B$1048576,2,FALSE)</f>
        <v>CERDO X 40 KG</v>
      </c>
      <c r="F64" s="12" t="s">
        <v>68</v>
      </c>
      <c r="G64" s="7">
        <v>2.0</v>
      </c>
      <c r="H64" s="47">
        <v>18466.0</v>
      </c>
      <c r="I64" s="47">
        <f t="shared" si="1"/>
        <v>36932</v>
      </c>
    </row>
    <row r="65" ht="15.75" customHeight="1">
      <c r="A65" s="49">
        <v>46184.0</v>
      </c>
      <c r="B65" s="7" t="s">
        <v>309</v>
      </c>
      <c r="C65" s="7" t="s">
        <v>19</v>
      </c>
      <c r="D65" s="7">
        <v>650.0</v>
      </c>
      <c r="E65" s="10" t="str">
        <f>+VLOOKUP(D65,ARTICULO!$A$2:$B$1048576,2,FALSE)</f>
        <v>MANI C/ CHOCOLATE</v>
      </c>
      <c r="F65" s="12" t="s">
        <v>92</v>
      </c>
      <c r="G65" s="7">
        <v>30.0</v>
      </c>
      <c r="H65" s="47">
        <v>8627.0</v>
      </c>
      <c r="I65" s="47">
        <f t="shared" si="1"/>
        <v>258810</v>
      </c>
    </row>
    <row r="66" ht="15.75" customHeight="1">
      <c r="A66" s="49">
        <v>46184.0</v>
      </c>
      <c r="B66" s="7" t="s">
        <v>310</v>
      </c>
      <c r="C66" s="7" t="s">
        <v>19</v>
      </c>
      <c r="D66" s="7">
        <v>482.0</v>
      </c>
      <c r="E66" s="10" t="str">
        <f>+VLOOKUP(D66,ARTICULO!$A$2:$B$1048576,2,FALSE)</f>
        <v>MEZCLA FINA ESPECIAL (CARDENAL)</v>
      </c>
      <c r="F66" s="12" t="s">
        <v>73</v>
      </c>
      <c r="G66" s="7">
        <v>30.0</v>
      </c>
      <c r="H66" s="47">
        <v>735.0</v>
      </c>
      <c r="I66" s="47">
        <f t="shared" si="1"/>
        <v>22050</v>
      </c>
    </row>
    <row r="67" ht="15.75" customHeight="1">
      <c r="A67" s="49">
        <v>46185.0</v>
      </c>
      <c r="B67" s="7" t="s">
        <v>193</v>
      </c>
      <c r="C67" s="7" t="s">
        <v>19</v>
      </c>
      <c r="D67" s="7">
        <v>661.0</v>
      </c>
      <c r="E67" s="10" t="str">
        <f>+VLOOKUP(D67,ARTICULO!$A$2:$B$1048576,2,FALSE)</f>
        <v>PASTA DE MANI NATURAL X 485GR X 12U- Mani king</v>
      </c>
      <c r="F67" s="12" t="s">
        <v>92</v>
      </c>
      <c r="G67" s="7">
        <v>1.0</v>
      </c>
      <c r="H67" s="47">
        <v>29771.0</v>
      </c>
      <c r="I67" s="47">
        <f t="shared" si="1"/>
        <v>29771</v>
      </c>
    </row>
    <row r="68" ht="15.75" customHeight="1">
      <c r="A68" s="49">
        <v>46185.0</v>
      </c>
      <c r="B68" s="7" t="s">
        <v>251</v>
      </c>
      <c r="C68" s="7" t="s">
        <v>19</v>
      </c>
      <c r="D68" s="7">
        <v>652.0</v>
      </c>
      <c r="E68" s="10" t="str">
        <f>+VLOOKUP(D68,ARTICULO!$A$2:$B$1048576,2,FALSE)</f>
        <v>MANI SABORIZADO</v>
      </c>
      <c r="F68" s="12" t="s">
        <v>73</v>
      </c>
      <c r="G68" s="7">
        <v>2.0</v>
      </c>
      <c r="H68" s="47">
        <v>4595.0</v>
      </c>
      <c r="I68" s="47">
        <f t="shared" si="1"/>
        <v>9190</v>
      </c>
    </row>
    <row r="69" ht="15.75" customHeight="1">
      <c r="A69" s="49">
        <v>46185.0</v>
      </c>
      <c r="B69" s="7" t="s">
        <v>117</v>
      </c>
      <c r="C69" s="7" t="s">
        <v>19</v>
      </c>
      <c r="D69" s="7">
        <v>722.0</v>
      </c>
      <c r="E69" s="10" t="str">
        <f>+VLOOKUP(D69,ARTICULO!$A$2:$B$1048576,2,FALSE)</f>
        <v>POLENTA</v>
      </c>
      <c r="F69" s="12" t="s">
        <v>92</v>
      </c>
      <c r="G69" s="7">
        <v>50.0</v>
      </c>
      <c r="H69" s="47">
        <v>739.0</v>
      </c>
      <c r="I69" s="47">
        <f t="shared" si="1"/>
        <v>36950</v>
      </c>
    </row>
    <row r="70" ht="15.75" customHeight="1">
      <c r="A70" s="49">
        <v>46185.0</v>
      </c>
      <c r="B70" s="7" t="s">
        <v>117</v>
      </c>
      <c r="C70" s="7" t="s">
        <v>19</v>
      </c>
      <c r="D70" s="7">
        <v>236.0</v>
      </c>
      <c r="E70" s="7" t="str">
        <f>+VLOOKUP(D70,ARTICULO!$A$2:$B$1048576,2,FALSE)</f>
        <v>EXACT CRIADORES GATO 10K</v>
      </c>
      <c r="F70" s="12" t="s">
        <v>92</v>
      </c>
      <c r="G70" s="7">
        <v>5.0</v>
      </c>
      <c r="H70" s="47">
        <v>17946.0</v>
      </c>
      <c r="I70" s="47">
        <f t="shared" si="1"/>
        <v>89730</v>
      </c>
    </row>
    <row r="71" ht="15.75" customHeight="1">
      <c r="A71" s="49">
        <v>46185.0</v>
      </c>
      <c r="B71" s="7" t="s">
        <v>201</v>
      </c>
      <c r="C71" s="7" t="s">
        <v>19</v>
      </c>
      <c r="D71" s="7">
        <v>720.0</v>
      </c>
      <c r="E71" s="10" t="str">
        <f>+VLOOKUP(D71,ARTICULO!$A$2:$B$1048576,2,FALSE)</f>
        <v>MAIZ MOLIDO BLANCO</v>
      </c>
      <c r="F71" s="12" t="s">
        <v>285</v>
      </c>
      <c r="G71" s="7">
        <v>25.0</v>
      </c>
      <c r="H71" s="47">
        <v>1485.0</v>
      </c>
      <c r="I71" s="47">
        <f t="shared" si="1"/>
        <v>37125</v>
      </c>
    </row>
    <row r="72" ht="15.75" customHeight="1">
      <c r="A72" s="49">
        <v>46185.0</v>
      </c>
      <c r="B72" s="7" t="s">
        <v>311</v>
      </c>
      <c r="C72" s="7" t="s">
        <v>15</v>
      </c>
      <c r="D72" s="7">
        <v>491.0</v>
      </c>
      <c r="E72" s="10" t="str">
        <f>+VLOOKUP(D72,ARTICULO!$A$2:$B$1048576,2,FALSE)</f>
        <v>MEZCLA GALLO PREMIUM</v>
      </c>
      <c r="F72" s="12" t="s">
        <v>73</v>
      </c>
      <c r="G72" s="7">
        <v>30.0</v>
      </c>
      <c r="H72" s="47">
        <v>808.0</v>
      </c>
      <c r="I72" s="47">
        <f t="shared" si="1"/>
        <v>24240</v>
      </c>
    </row>
    <row r="73" ht="15.75" customHeight="1">
      <c r="A73" s="49">
        <v>46185.0</v>
      </c>
      <c r="B73" s="7" t="s">
        <v>312</v>
      </c>
      <c r="C73" s="7" t="s">
        <v>19</v>
      </c>
      <c r="D73" s="7">
        <v>1024.0</v>
      </c>
      <c r="E73" s="10" t="str">
        <f>+VLOOKUP(D73,ARTICULO!$A$2:$B$1048576,2,FALSE)</f>
        <v>BOLS N░ 24</v>
      </c>
      <c r="F73" s="12" t="s">
        <v>73</v>
      </c>
      <c r="G73" s="7">
        <v>1.0</v>
      </c>
      <c r="H73" s="47">
        <v>1004.0</v>
      </c>
      <c r="I73" s="47">
        <f t="shared" si="1"/>
        <v>1004</v>
      </c>
    </row>
    <row r="74" ht="15.75" customHeight="1">
      <c r="A74" s="49">
        <v>46185.0</v>
      </c>
      <c r="B74" s="7" t="s">
        <v>312</v>
      </c>
      <c r="C74" s="7" t="s">
        <v>19</v>
      </c>
      <c r="D74" s="7">
        <v>1120.0</v>
      </c>
      <c r="E74" s="10" t="str">
        <f>+VLOOKUP(D74,ARTICULO!$A$2:$B$1048576,2,FALSE)</f>
        <v>JARDINERA MINI N░ 20</v>
      </c>
      <c r="F74" s="12" t="s">
        <v>73</v>
      </c>
      <c r="G74" s="7">
        <v>10.0</v>
      </c>
      <c r="H74" s="47">
        <v>552.0</v>
      </c>
      <c r="I74" s="47">
        <f t="shared" si="1"/>
        <v>5520</v>
      </c>
    </row>
    <row r="75" ht="15.75" customHeight="1">
      <c r="A75" s="49">
        <v>46185.0</v>
      </c>
      <c r="B75" s="7" t="s">
        <v>35</v>
      </c>
      <c r="C75" s="7" t="s">
        <v>15</v>
      </c>
      <c r="D75" s="7">
        <v>705.0</v>
      </c>
      <c r="E75" s="10" t="str">
        <f>+VLOOKUP(D75,ARTICULO!$A$2:$B$1048576,2,FALSE)</f>
        <v>BURGOL FINO</v>
      </c>
      <c r="F75" s="12" t="s">
        <v>73</v>
      </c>
      <c r="G75" s="7">
        <v>5.0</v>
      </c>
      <c r="H75" s="47">
        <v>1513.0</v>
      </c>
      <c r="I75" s="47">
        <f t="shared" si="1"/>
        <v>7565</v>
      </c>
    </row>
    <row r="76" ht="15.75" customHeight="1">
      <c r="A76" s="49">
        <v>46186.0</v>
      </c>
      <c r="B76" s="7" t="s">
        <v>161</v>
      </c>
      <c r="C76" s="7" t="s">
        <v>11</v>
      </c>
      <c r="D76" s="7">
        <v>131.0</v>
      </c>
      <c r="E76" s="10" t="str">
        <f>+VLOOKUP(D76,ARTICULO!$A$2:$B$1048576,2,FALSE)</f>
        <v>GRAN CAMPEON CACHORRO X 10 KG</v>
      </c>
      <c r="F76" s="12" t="s">
        <v>68</v>
      </c>
      <c r="G76" s="7">
        <v>4.0</v>
      </c>
      <c r="H76" s="47">
        <v>16755.0</v>
      </c>
      <c r="I76" s="47">
        <f t="shared" si="1"/>
        <v>67020</v>
      </c>
    </row>
    <row r="77" ht="15.75" customHeight="1">
      <c r="A77" s="49">
        <v>46186.0</v>
      </c>
      <c r="B77" s="7" t="s">
        <v>161</v>
      </c>
      <c r="C77" s="7" t="s">
        <v>11</v>
      </c>
      <c r="D77" s="7">
        <v>130.0</v>
      </c>
      <c r="E77" s="10" t="str">
        <f>+VLOOKUP(D77,ARTICULO!$A$2:$B$1048576,2,FALSE)</f>
        <v>GRAN CAMPEON AD ROJO Carne y Pollo X 21 KG</v>
      </c>
      <c r="F77" s="12" t="s">
        <v>68</v>
      </c>
      <c r="G77" s="7">
        <v>1.0</v>
      </c>
      <c r="H77" s="47">
        <v>27424.0</v>
      </c>
      <c r="I77" s="47">
        <f t="shared" si="1"/>
        <v>27424</v>
      </c>
    </row>
    <row r="78" ht="15.75" customHeight="1">
      <c r="A78" s="49">
        <v>46186.0</v>
      </c>
      <c r="B78" s="7" t="s">
        <v>161</v>
      </c>
      <c r="C78" s="7" t="s">
        <v>11</v>
      </c>
      <c r="D78" s="7">
        <v>525.0</v>
      </c>
      <c r="E78" s="10" t="str">
        <f>+VLOOKUP(D78,ARTICULO!$A$2:$B$1048576,2,FALSE)</f>
        <v>PIMENTON MORRON</v>
      </c>
      <c r="F78" s="12" t="s">
        <v>68</v>
      </c>
      <c r="G78" s="7">
        <v>2.0</v>
      </c>
      <c r="H78" s="47">
        <v>4107.0</v>
      </c>
      <c r="I78" s="47">
        <f t="shared" si="1"/>
        <v>8214</v>
      </c>
    </row>
    <row r="79" ht="15.75" customHeight="1">
      <c r="A79" s="49">
        <v>46186.0</v>
      </c>
      <c r="B79" s="7" t="s">
        <v>20</v>
      </c>
      <c r="C79" s="7" t="s">
        <v>11</v>
      </c>
      <c r="D79" s="7">
        <v>466.0</v>
      </c>
      <c r="E79" s="10" t="str">
        <f>+VLOOKUP(D79,ARTICULO!$A$2:$B$1048576,2,FALSE)</f>
        <v>MEZCLA CON VIT. (CANARIO)</v>
      </c>
      <c r="F79" s="7" t="s">
        <v>73</v>
      </c>
      <c r="G79" s="7">
        <v>1.0</v>
      </c>
      <c r="H79" s="47">
        <v>1798.0</v>
      </c>
      <c r="I79" s="47">
        <f t="shared" si="1"/>
        <v>1798</v>
      </c>
    </row>
    <row r="80" ht="15.75" customHeight="1">
      <c r="A80" s="49">
        <v>46186.0</v>
      </c>
      <c r="B80" s="7" t="s">
        <v>20</v>
      </c>
      <c r="C80" s="7" t="s">
        <v>11</v>
      </c>
      <c r="D80" s="7">
        <v>362.0</v>
      </c>
      <c r="E80" s="10" t="str">
        <f>+VLOOKUP(D80,ARTICULO!$A$2:$B$1048576,2,FALSE)</f>
        <v>OSITOS DE MIEL x 2.5 Kg</v>
      </c>
      <c r="F80" s="7" t="s">
        <v>73</v>
      </c>
      <c r="G80" s="7">
        <v>1.0</v>
      </c>
      <c r="H80" s="47">
        <v>17962.0</v>
      </c>
      <c r="I80" s="47">
        <f t="shared" si="1"/>
        <v>17962</v>
      </c>
    </row>
    <row r="81" ht="15.75" customHeight="1">
      <c r="A81" s="49">
        <v>46186.0</v>
      </c>
      <c r="B81" s="7" t="s">
        <v>20</v>
      </c>
      <c r="C81" s="7" t="s">
        <v>11</v>
      </c>
      <c r="D81" s="7">
        <v>717.0</v>
      </c>
      <c r="E81" s="10" t="str">
        <f>+VLOOKUP(D81,ARTICULO!$A$2:$B$1048576,2,FALSE)</f>
        <v>LENTEJA</v>
      </c>
      <c r="F81" s="7" t="s">
        <v>73</v>
      </c>
      <c r="G81" s="7">
        <v>1.0</v>
      </c>
      <c r="H81" s="47">
        <v>2032.0</v>
      </c>
      <c r="I81" s="47">
        <f t="shared" si="1"/>
        <v>2032</v>
      </c>
    </row>
    <row r="82" ht="15.75" customHeight="1">
      <c r="A82" s="6">
        <v>46189.0</v>
      </c>
      <c r="B82" s="7" t="s">
        <v>226</v>
      </c>
      <c r="C82" s="7" t="s">
        <v>11</v>
      </c>
      <c r="D82" s="7">
        <v>406.0</v>
      </c>
      <c r="E82" s="10" t="str">
        <f>+VLOOKUP(D82,ARTICULO!$A$2:$B$1048576,2,FALSE)</f>
        <v>MIX SEMILLAS</v>
      </c>
      <c r="F82" s="7" t="s">
        <v>73</v>
      </c>
      <c r="G82" s="7">
        <v>2.0</v>
      </c>
      <c r="H82" s="47">
        <v>3769.0</v>
      </c>
      <c r="I82" s="47">
        <f t="shared" si="1"/>
        <v>7538</v>
      </c>
    </row>
    <row r="83" ht="15.75" customHeight="1">
      <c r="A83" s="6">
        <v>46189.0</v>
      </c>
      <c r="B83" s="7" t="s">
        <v>43</v>
      </c>
      <c r="C83" s="7" t="s">
        <v>19</v>
      </c>
      <c r="D83" s="7">
        <v>725.0</v>
      </c>
      <c r="E83" s="10" t="str">
        <f>+VLOOKUP(D83,ARTICULO!$A$2:$B$1048576,2,FALSE)</f>
        <v>TRIGO PARA LOCRO</v>
      </c>
      <c r="F83" s="7" t="s">
        <v>73</v>
      </c>
      <c r="G83" s="7">
        <v>25.0</v>
      </c>
      <c r="H83" s="47">
        <v>1170.0</v>
      </c>
      <c r="I83" s="47">
        <f t="shared" si="1"/>
        <v>29250</v>
      </c>
    </row>
    <row r="84" ht="15.75" customHeight="1">
      <c r="A84" s="6">
        <v>46189.0</v>
      </c>
      <c r="B84" s="7" t="s">
        <v>43</v>
      </c>
      <c r="C84" s="7" t="s">
        <v>19</v>
      </c>
      <c r="D84" s="7">
        <v>723.0</v>
      </c>
      <c r="E84" s="10" t="str">
        <f>+VLOOKUP(D84,ARTICULO!$A$2:$B$1048576,2,FALSE)</f>
        <v>POROTO ALUBIA</v>
      </c>
      <c r="F84" s="7" t="s">
        <v>73</v>
      </c>
      <c r="G84" s="7">
        <v>25.0</v>
      </c>
      <c r="H84" s="47">
        <v>1750.0</v>
      </c>
      <c r="I84" s="47">
        <f t="shared" si="1"/>
        <v>43750</v>
      </c>
    </row>
    <row r="85" ht="15.75" customHeight="1">
      <c r="A85" s="6">
        <v>46189.0</v>
      </c>
      <c r="B85" s="7" t="s">
        <v>46</v>
      </c>
      <c r="C85" s="7" t="s">
        <v>11</v>
      </c>
      <c r="D85" s="7">
        <v>406.0</v>
      </c>
      <c r="E85" s="10" t="str">
        <f>+VLOOKUP(D85,ARTICULO!$A$2:$B$1048576,2,FALSE)</f>
        <v>MIX SEMILLAS</v>
      </c>
      <c r="F85" s="12" t="s">
        <v>285</v>
      </c>
      <c r="G85" s="7">
        <v>2.0</v>
      </c>
      <c r="H85" s="47">
        <v>3769.0</v>
      </c>
      <c r="I85" s="47">
        <f t="shared" si="1"/>
        <v>7538</v>
      </c>
    </row>
    <row r="86" ht="15.75" customHeight="1">
      <c r="A86" s="6">
        <v>46189.0</v>
      </c>
      <c r="B86" s="7" t="s">
        <v>46</v>
      </c>
      <c r="C86" s="7" t="s">
        <v>11</v>
      </c>
      <c r="D86" s="7">
        <v>405.0</v>
      </c>
      <c r="E86" s="10" t="str">
        <f>+VLOOKUP(D86,ARTICULO!$A$2:$B$1048576,2,FALSE)</f>
        <v>SESAMO</v>
      </c>
      <c r="F86" s="12" t="s">
        <v>285</v>
      </c>
      <c r="G86" s="7">
        <v>1.0</v>
      </c>
      <c r="H86" s="47">
        <v>2456.0</v>
      </c>
      <c r="I86" s="47">
        <f t="shared" si="1"/>
        <v>2456</v>
      </c>
    </row>
    <row r="87" ht="15.75" customHeight="1">
      <c r="A87" s="6">
        <v>46190.0</v>
      </c>
      <c r="B87" s="12" t="s">
        <v>243</v>
      </c>
      <c r="C87" s="12" t="s">
        <v>17</v>
      </c>
      <c r="D87" s="12">
        <v>10670.0</v>
      </c>
      <c r="E87" s="10" t="str">
        <f>+VLOOKUP(D87,ARTICULO!$A$2:$B$1048576,2,FALSE)</f>
        <v>MANI TOSTADO KING X KG</v>
      </c>
      <c r="F87" s="12" t="s">
        <v>286</v>
      </c>
      <c r="G87" s="62">
        <v>2.0</v>
      </c>
      <c r="H87" s="51">
        <v>4808.0</v>
      </c>
      <c r="I87" s="47">
        <f t="shared" si="1"/>
        <v>9616</v>
      </c>
    </row>
    <row r="88" ht="15.75" customHeight="1">
      <c r="A88" s="6">
        <v>46190.0</v>
      </c>
      <c r="B88" s="12" t="s">
        <v>243</v>
      </c>
      <c r="C88" s="12" t="s">
        <v>17</v>
      </c>
      <c r="D88" s="12">
        <v>524.0</v>
      </c>
      <c r="E88" s="10" t="str">
        <f>+VLOOKUP(D88,ARTICULO!$A$2:$B$1048576,2,FALSE)</f>
        <v>PIMENTON ESPAÐOL</v>
      </c>
      <c r="F88" s="12" t="s">
        <v>286</v>
      </c>
      <c r="G88" s="62">
        <v>1.0</v>
      </c>
      <c r="H88" s="51">
        <v>3440.0</v>
      </c>
      <c r="I88" s="47">
        <f t="shared" si="1"/>
        <v>3440</v>
      </c>
    </row>
    <row r="89" ht="15.75" customHeight="1">
      <c r="A89" s="6">
        <v>46190.0</v>
      </c>
      <c r="B89" s="12" t="s">
        <v>148</v>
      </c>
      <c r="C89" s="12" t="s">
        <v>17</v>
      </c>
      <c r="D89" s="12">
        <v>352.0</v>
      </c>
      <c r="E89" s="10" t="str">
        <f>+VLOOKUP(D89,ARTICULO!$A$2:$B$1048576,2,FALSE)</f>
        <v>GRANOLA x 1.5 kg</v>
      </c>
      <c r="F89" s="12" t="s">
        <v>73</v>
      </c>
      <c r="G89" s="62">
        <v>1.0</v>
      </c>
      <c r="H89" s="51">
        <v>11392.0</v>
      </c>
      <c r="I89" s="51">
        <f t="shared" si="1"/>
        <v>11392</v>
      </c>
    </row>
    <row r="90" ht="15.75" customHeight="1">
      <c r="A90" s="6">
        <v>46190.0</v>
      </c>
      <c r="B90" s="12" t="s">
        <v>148</v>
      </c>
      <c r="C90" s="12" t="s">
        <v>17</v>
      </c>
      <c r="D90" s="12">
        <v>124.0</v>
      </c>
      <c r="E90" s="10" t="str">
        <f>+VLOOKUP(D90,ARTICULO!$A$2:$B$1048576,2,FALSE)</f>
        <v>DS CRIADORES RAZA PEQUEÐA X 15 KG</v>
      </c>
      <c r="F90" s="12" t="s">
        <v>73</v>
      </c>
      <c r="G90" s="62">
        <v>1.0</v>
      </c>
      <c r="H90" s="51">
        <v>40565.0</v>
      </c>
      <c r="I90" s="51">
        <f t="shared" si="1"/>
        <v>40565</v>
      </c>
    </row>
    <row r="91" ht="15.75" customHeight="1">
      <c r="A91" s="6">
        <v>46190.0</v>
      </c>
      <c r="B91" s="12" t="s">
        <v>313</v>
      </c>
      <c r="C91" s="12" t="s">
        <v>17</v>
      </c>
      <c r="D91" s="12">
        <v>234.0</v>
      </c>
      <c r="E91" s="10" t="str">
        <f>+VLOOKUP(D91,ARTICULO!$A$2:$B$1048576,2,FALSE)</f>
        <v>EXACT CRIADORES ADULTO X21</v>
      </c>
      <c r="F91" s="12" t="s">
        <v>73</v>
      </c>
      <c r="G91" s="62">
        <v>1.0</v>
      </c>
      <c r="H91" s="51">
        <v>21683.0</v>
      </c>
      <c r="I91" s="51">
        <f t="shared" si="1"/>
        <v>21683</v>
      </c>
    </row>
    <row r="92" ht="15.75" customHeight="1">
      <c r="A92" s="6">
        <v>46190.0</v>
      </c>
      <c r="B92" s="62" t="s">
        <v>141</v>
      </c>
      <c r="C92" s="62" t="s">
        <v>11</v>
      </c>
      <c r="D92" s="62">
        <v>1.0</v>
      </c>
      <c r="E92" s="87" t="str">
        <f>+VLOOKUP(D92,ARTICULO!$A$2:$B$1048576,2,FALSE)</f>
        <v>BEBE x 25 Kg</v>
      </c>
      <c r="F92" s="88" t="s">
        <v>314</v>
      </c>
      <c r="G92" s="62">
        <v>3.0</v>
      </c>
      <c r="H92" s="51">
        <v>16480.0</v>
      </c>
      <c r="I92" s="51">
        <f t="shared" si="1"/>
        <v>49440</v>
      </c>
    </row>
    <row r="93" ht="15.75" customHeight="1">
      <c r="A93" s="6">
        <v>46190.0</v>
      </c>
      <c r="B93" s="62" t="s">
        <v>141</v>
      </c>
      <c r="C93" s="62" t="s">
        <v>11</v>
      </c>
      <c r="D93" s="62">
        <v>3.0</v>
      </c>
      <c r="E93" s="87" t="str">
        <f>+VLOOKUP(D93,ARTICULO!$A$2:$B$1048576,2,FALSE)</f>
        <v>ENGORDE x 25 Kg</v>
      </c>
      <c r="F93" s="88" t="s">
        <v>314</v>
      </c>
      <c r="G93" s="62">
        <v>2.0</v>
      </c>
      <c r="H93" s="51">
        <v>17093.0</v>
      </c>
      <c r="I93" s="51">
        <f t="shared" si="1"/>
        <v>34186</v>
      </c>
    </row>
    <row r="94" ht="15.75" customHeight="1">
      <c r="A94" s="6">
        <v>46190.0</v>
      </c>
      <c r="B94" s="7" t="s">
        <v>141</v>
      </c>
      <c r="C94" s="7" t="s">
        <v>11</v>
      </c>
      <c r="D94" s="7">
        <v>402.0</v>
      </c>
      <c r="E94" s="10" t="str">
        <f>+VLOOKUP(D94,ARTICULO!$A$2:$B$1048576,2,FALSE)</f>
        <v>MIJO</v>
      </c>
      <c r="F94" s="5" t="s">
        <v>314</v>
      </c>
      <c r="G94" s="7">
        <v>50.0</v>
      </c>
      <c r="H94" s="47">
        <v>675.0</v>
      </c>
      <c r="I94" s="47">
        <f t="shared" si="1"/>
        <v>33750</v>
      </c>
    </row>
    <row r="95" ht="14.25" customHeight="1">
      <c r="A95" s="6">
        <v>46190.0</v>
      </c>
      <c r="B95" s="7" t="s">
        <v>141</v>
      </c>
      <c r="C95" s="7" t="s">
        <v>11</v>
      </c>
      <c r="D95" s="7">
        <v>7.0</v>
      </c>
      <c r="E95" s="10" t="str">
        <f>+VLOOKUP(D95,ARTICULO!$A$2:$B$1048576,2,FALSE)</f>
        <v>CONEJO X 25 KG - GEPSA</v>
      </c>
      <c r="F95" s="5" t="s">
        <v>314</v>
      </c>
      <c r="G95" s="7">
        <v>2.0</v>
      </c>
      <c r="H95" s="47">
        <v>15511.0</v>
      </c>
      <c r="I95" s="47">
        <f t="shared" si="1"/>
        <v>31022</v>
      </c>
    </row>
    <row r="96" ht="15.75" customHeight="1">
      <c r="A96" s="6">
        <v>46190.0</v>
      </c>
      <c r="B96" s="7" t="s">
        <v>141</v>
      </c>
      <c r="C96" s="7" t="s">
        <v>11</v>
      </c>
      <c r="D96" s="7">
        <v>476.0</v>
      </c>
      <c r="E96" s="10" t="str">
        <f>+VLOOKUP(D96,ARTICULO!$A$2:$B$1048576,2,FALSE)</f>
        <v>MAIZ QUEBRADO FINO X 30 KG</v>
      </c>
      <c r="F96" s="5" t="s">
        <v>314</v>
      </c>
      <c r="G96" s="7">
        <v>1.0</v>
      </c>
      <c r="H96" s="47">
        <v>14557.0</v>
      </c>
      <c r="I96" s="47">
        <f t="shared" si="1"/>
        <v>14557</v>
      </c>
    </row>
    <row r="97" ht="15.75" customHeight="1">
      <c r="A97" s="6">
        <v>46190.0</v>
      </c>
      <c r="B97" s="7" t="s">
        <v>141</v>
      </c>
      <c r="C97" s="7" t="s">
        <v>11</v>
      </c>
      <c r="D97" s="7">
        <v>131.0</v>
      </c>
      <c r="E97" s="10" t="str">
        <f>+VLOOKUP(D97,ARTICULO!$A$2:$B$1048576,2,FALSE)</f>
        <v>GRAN CAMPEON CACHORRO X 10 KG</v>
      </c>
      <c r="F97" s="5" t="s">
        <v>314</v>
      </c>
      <c r="G97" s="7">
        <v>5.0</v>
      </c>
      <c r="H97" s="47">
        <v>16755.0</v>
      </c>
      <c r="I97" s="47">
        <f t="shared" si="1"/>
        <v>83775</v>
      </c>
    </row>
    <row r="98" ht="15.75" customHeight="1">
      <c r="A98" s="6">
        <v>46190.0</v>
      </c>
      <c r="B98" s="7" t="s">
        <v>141</v>
      </c>
      <c r="C98" s="7" t="s">
        <v>11</v>
      </c>
      <c r="D98" s="7">
        <v>301.0</v>
      </c>
      <c r="E98" s="10" t="str">
        <f>+VLOOKUP(D98,ARTICULO!$A$2:$B$1048576,2,FALSE)</f>
        <v>ALMOHADITA DE FRUTILLA X 2.5 KG</v>
      </c>
      <c r="F98" s="5" t="s">
        <v>314</v>
      </c>
      <c r="G98" s="7">
        <v>3.0</v>
      </c>
      <c r="H98" s="47">
        <v>16443.0</v>
      </c>
      <c r="I98" s="47">
        <f t="shared" si="1"/>
        <v>49329</v>
      </c>
    </row>
    <row r="99" ht="15.75" customHeight="1">
      <c r="A99" s="6">
        <v>46190.0</v>
      </c>
      <c r="B99" s="7" t="s">
        <v>141</v>
      </c>
      <c r="C99" s="7" t="s">
        <v>11</v>
      </c>
      <c r="D99" s="7">
        <v>353.0</v>
      </c>
      <c r="E99" s="10" t="str">
        <f>+VLOOKUP(D99,ARTICULO!$A$2:$B$1048576,2,FALSE)</f>
        <v>GRANOLA 5 SEMILLAS X 1KG</v>
      </c>
      <c r="F99" s="5" t="s">
        <v>314</v>
      </c>
      <c r="G99" s="7">
        <v>5.0</v>
      </c>
      <c r="H99" s="47">
        <v>8233.0</v>
      </c>
      <c r="I99" s="47">
        <f t="shared" si="1"/>
        <v>41165</v>
      </c>
    </row>
    <row r="100" ht="15.75" customHeight="1">
      <c r="A100" s="6">
        <v>46190.0</v>
      </c>
      <c r="B100" s="7" t="s">
        <v>141</v>
      </c>
      <c r="C100" s="7" t="s">
        <v>11</v>
      </c>
      <c r="D100" s="7">
        <v>330.0</v>
      </c>
      <c r="E100" s="10" t="str">
        <f>+VLOOKUP(D100,ARTICULO!$A$2:$B$1048576,2,FALSE)</f>
        <v>CEREAL CON AZUCAR x 2.5 Kg</v>
      </c>
      <c r="F100" s="5" t="s">
        <v>314</v>
      </c>
      <c r="G100" s="7">
        <v>2.0</v>
      </c>
      <c r="H100" s="47">
        <v>10802.0</v>
      </c>
      <c r="I100" s="47">
        <f t="shared" si="1"/>
        <v>21604</v>
      </c>
    </row>
    <row r="101" ht="15.75" customHeight="1">
      <c r="A101" s="6">
        <v>46190.0</v>
      </c>
      <c r="B101" s="7" t="s">
        <v>141</v>
      </c>
      <c r="C101" s="7" t="s">
        <v>11</v>
      </c>
      <c r="D101" s="7">
        <v>332.0</v>
      </c>
      <c r="E101" s="10" t="str">
        <f>+VLOOKUP(D101,ARTICULO!$A$2:$B$1048576,2,FALSE)</f>
        <v>CEREAL SIN AZUCAR X 2.5 KG</v>
      </c>
      <c r="F101" s="5" t="s">
        <v>314</v>
      </c>
      <c r="G101" s="7">
        <v>1.0</v>
      </c>
      <c r="H101" s="47">
        <v>11152.0</v>
      </c>
      <c r="I101" s="47">
        <f t="shared" si="1"/>
        <v>11152</v>
      </c>
    </row>
    <row r="102" ht="15.75" customHeight="1">
      <c r="A102" s="6">
        <v>46190.0</v>
      </c>
      <c r="B102" s="7" t="s">
        <v>27</v>
      </c>
      <c r="C102" s="7" t="s">
        <v>15</v>
      </c>
      <c r="D102" s="7">
        <v>119.0</v>
      </c>
      <c r="E102" s="7" t="str">
        <f>+VLOOKUP(D102,ARTICULO!$A$2:$B$1048576,2,FALSE)</f>
        <v>TIERNITO GATITO X10KG</v>
      </c>
      <c r="F102" s="7" t="s">
        <v>73</v>
      </c>
      <c r="G102" s="7">
        <v>1.0</v>
      </c>
      <c r="H102" s="47">
        <v>26484.0</v>
      </c>
      <c r="I102" s="47">
        <f t="shared" si="1"/>
        <v>26484</v>
      </c>
    </row>
    <row r="103" ht="15.75" customHeight="1">
      <c r="A103" s="6">
        <v>46190.0</v>
      </c>
      <c r="B103" s="7" t="s">
        <v>27</v>
      </c>
      <c r="C103" s="7" t="s">
        <v>15</v>
      </c>
      <c r="D103" s="7">
        <v>116.0</v>
      </c>
      <c r="E103" s="10" t="str">
        <f>+VLOOKUP(D103,ARTICULO!$A$2:$B$1048576,2,FALSE)</f>
        <v>TIERNITO CACHOx 15 KG</v>
      </c>
      <c r="F103" s="7" t="s">
        <v>73</v>
      </c>
      <c r="G103" s="7">
        <v>2.0</v>
      </c>
      <c r="H103" s="47">
        <v>25840.0</v>
      </c>
      <c r="I103" s="47">
        <f t="shared" si="1"/>
        <v>51680</v>
      </c>
    </row>
    <row r="104" ht="15.75" customHeight="1">
      <c r="A104" s="6">
        <v>46190.0</v>
      </c>
      <c r="B104" s="7" t="s">
        <v>27</v>
      </c>
      <c r="C104" s="7" t="s">
        <v>15</v>
      </c>
      <c r="D104" s="7">
        <v>110.0</v>
      </c>
      <c r="E104" s="10" t="str">
        <f>+VLOOKUP(D104,ARTICULO!$A$2:$B$1048576,2,FALSE)</f>
        <v>TIERNITO CARNE  x 15 KG</v>
      </c>
      <c r="F104" s="7" t="s">
        <v>73</v>
      </c>
      <c r="G104" s="7">
        <v>2.0</v>
      </c>
      <c r="H104" s="47">
        <v>23261.0</v>
      </c>
      <c r="I104" s="47">
        <f t="shared" si="1"/>
        <v>46522</v>
      </c>
    </row>
    <row r="105" ht="15.75" customHeight="1">
      <c r="A105" s="6">
        <v>46190.0</v>
      </c>
      <c r="B105" s="7" t="s">
        <v>53</v>
      </c>
      <c r="C105" s="7" t="s">
        <v>19</v>
      </c>
      <c r="D105" s="7">
        <v>453.0</v>
      </c>
      <c r="E105" s="10" t="str">
        <f>+VLOOKUP(D105,ARTICULO!$A$2:$B$1048576,2,FALSE)</f>
        <v>AVENA FORRAJERA X KG</v>
      </c>
      <c r="F105" s="7" t="s">
        <v>73</v>
      </c>
      <c r="G105" s="7">
        <v>300.0</v>
      </c>
      <c r="H105" s="47">
        <v>420.0</v>
      </c>
      <c r="I105" s="47">
        <f t="shared" si="1"/>
        <v>126000</v>
      </c>
    </row>
    <row r="106" ht="15.75" customHeight="1">
      <c r="A106" s="6">
        <v>46190.0</v>
      </c>
      <c r="B106" s="7" t="s">
        <v>53</v>
      </c>
      <c r="C106" s="7" t="s">
        <v>19</v>
      </c>
      <c r="D106" s="7">
        <v>722.0</v>
      </c>
      <c r="E106" s="10" t="str">
        <f>+VLOOKUP(D106,ARTICULO!$A$2:$B$1048576,2,FALSE)</f>
        <v>POLENTA</v>
      </c>
      <c r="F106" s="7" t="s">
        <v>92</v>
      </c>
      <c r="G106" s="7">
        <v>25.0</v>
      </c>
      <c r="H106" s="47">
        <v>739.0</v>
      </c>
      <c r="I106" s="47">
        <f t="shared" si="1"/>
        <v>18475</v>
      </c>
    </row>
    <row r="107" ht="15.75" customHeight="1">
      <c r="A107" s="6">
        <v>46190.0</v>
      </c>
      <c r="B107" s="7" t="s">
        <v>53</v>
      </c>
      <c r="C107" s="7" t="s">
        <v>19</v>
      </c>
      <c r="D107" s="7">
        <v>491.0</v>
      </c>
      <c r="E107" s="10" t="str">
        <f>+VLOOKUP(D107,ARTICULO!$A$2:$B$1048576,2,FALSE)</f>
        <v>MEZCLA GALLO PREMIUM</v>
      </c>
      <c r="F107" s="7" t="s">
        <v>92</v>
      </c>
      <c r="G107" s="7">
        <v>50.0</v>
      </c>
      <c r="H107" s="47">
        <v>1174.0</v>
      </c>
      <c r="I107" s="47">
        <f t="shared" si="1"/>
        <v>58700</v>
      </c>
    </row>
    <row r="108" ht="15.75" customHeight="1">
      <c r="A108" s="6">
        <v>46190.0</v>
      </c>
      <c r="B108" s="7" t="s">
        <v>53</v>
      </c>
      <c r="C108" s="7" t="s">
        <v>19</v>
      </c>
      <c r="D108" s="7">
        <v>483.0</v>
      </c>
      <c r="E108" s="10" t="str">
        <f>+VLOOKUP(D108,ARTICULO!$A$2:$B$1048576,2,FALSE)</f>
        <v>CABALLO PREMIUM X 30 KG</v>
      </c>
      <c r="F108" s="7" t="s">
        <v>92</v>
      </c>
      <c r="G108" s="7">
        <v>10.0</v>
      </c>
      <c r="H108" s="47">
        <v>14386.0</v>
      </c>
      <c r="I108" s="47">
        <f t="shared" si="1"/>
        <v>143860</v>
      </c>
    </row>
    <row r="109" ht="15.75" customHeight="1">
      <c r="A109" s="6">
        <v>46190.0</v>
      </c>
      <c r="B109" s="7" t="s">
        <v>315</v>
      </c>
      <c r="C109" s="7" t="s">
        <v>15</v>
      </c>
      <c r="D109" s="7">
        <v>57.0</v>
      </c>
      <c r="E109" s="10" t="str">
        <f>+VLOOKUP(D109,ARTICULO!$A$2:$B$1048576,2,FALSE)</f>
        <v>PONEDORA POSTURA X 40 KG</v>
      </c>
      <c r="F109" s="7" t="s">
        <v>286</v>
      </c>
      <c r="G109" s="7">
        <v>1.0</v>
      </c>
      <c r="H109" s="47">
        <v>19879.0</v>
      </c>
      <c r="I109" s="47">
        <f t="shared" si="1"/>
        <v>19879</v>
      </c>
    </row>
    <row r="110" ht="15.75" customHeight="1">
      <c r="A110" s="6">
        <v>46190.0</v>
      </c>
      <c r="B110" s="7" t="s">
        <v>247</v>
      </c>
      <c r="C110" s="7" t="s">
        <v>17</v>
      </c>
      <c r="D110" s="7">
        <v>721.0</v>
      </c>
      <c r="E110" s="10" t="str">
        <f>+VLOOKUP(D110,ARTICULO!$A$2:$B$1048576,2,FALSE)</f>
        <v>PISINGALLO</v>
      </c>
      <c r="F110" s="7" t="s">
        <v>73</v>
      </c>
      <c r="G110" s="7">
        <v>10.0</v>
      </c>
      <c r="H110" s="47">
        <v>1079.0</v>
      </c>
      <c r="I110" s="47">
        <f t="shared" si="1"/>
        <v>10790</v>
      </c>
    </row>
    <row r="111" ht="15.75" customHeight="1">
      <c r="A111" s="6">
        <v>46190.0</v>
      </c>
      <c r="B111" s="7" t="s">
        <v>247</v>
      </c>
      <c r="C111" s="7" t="s">
        <v>17</v>
      </c>
      <c r="D111" s="7">
        <v>400.0</v>
      </c>
      <c r="E111" s="10" t="str">
        <f>+VLOOKUP(D111,ARTICULO!$A$2:$B$1048576,2,FALSE)</f>
        <v>ALPISTE</v>
      </c>
      <c r="F111" s="7" t="s">
        <v>73</v>
      </c>
      <c r="G111" s="7">
        <v>5.0</v>
      </c>
      <c r="H111" s="47">
        <v>1395.0</v>
      </c>
      <c r="I111" s="47">
        <f t="shared" si="1"/>
        <v>6975</v>
      </c>
    </row>
    <row r="112" ht="15.75" customHeight="1">
      <c r="A112" s="6">
        <v>46190.0</v>
      </c>
      <c r="B112" s="7" t="s">
        <v>247</v>
      </c>
      <c r="C112" s="7" t="s">
        <v>17</v>
      </c>
      <c r="D112" s="7">
        <v>466.0</v>
      </c>
      <c r="E112" s="10" t="str">
        <f>+VLOOKUP(D112,ARTICULO!$A$2:$B$1048576,2,FALSE)</f>
        <v>MEZCLA CON VIT. (CANARIO)</v>
      </c>
      <c r="F112" s="7" t="s">
        <v>73</v>
      </c>
      <c r="G112" s="7">
        <v>5.0</v>
      </c>
      <c r="H112" s="47">
        <v>1798.0</v>
      </c>
      <c r="I112" s="47">
        <f t="shared" si="1"/>
        <v>8990</v>
      </c>
    </row>
    <row r="113" ht="15.75" customHeight="1">
      <c r="A113" s="6">
        <v>46190.0</v>
      </c>
      <c r="B113" s="7" t="s">
        <v>247</v>
      </c>
      <c r="C113" s="7" t="s">
        <v>17</v>
      </c>
      <c r="D113" s="7">
        <v>482.0</v>
      </c>
      <c r="E113" s="10" t="str">
        <f>+VLOOKUP(D113,ARTICULO!$A$2:$B$1048576,2,FALSE)</f>
        <v>MEZCLA FINA ESPECIAL (CARDENAL)</v>
      </c>
      <c r="F113" s="7" t="s">
        <v>73</v>
      </c>
      <c r="G113" s="7">
        <v>5.0</v>
      </c>
      <c r="H113" s="47">
        <v>921.0</v>
      </c>
      <c r="I113" s="47">
        <f t="shared" si="1"/>
        <v>4605</v>
      </c>
    </row>
    <row r="114" ht="15.75" customHeight="1">
      <c r="A114" s="6">
        <v>46190.0</v>
      </c>
      <c r="B114" s="7" t="s">
        <v>316</v>
      </c>
      <c r="C114" s="7" t="s">
        <v>17</v>
      </c>
      <c r="D114" s="7">
        <v>468.0</v>
      </c>
      <c r="E114" s="10" t="str">
        <f>+VLOOKUP(D114,ARTICULO!$A$2:$B$1048576,2,FALSE)</f>
        <v>MEZCLA GRUESA/MEDIANA</v>
      </c>
      <c r="F114" s="5" t="s">
        <v>314</v>
      </c>
      <c r="G114" s="7">
        <v>300.0</v>
      </c>
      <c r="H114" s="47">
        <v>527.0</v>
      </c>
      <c r="I114" s="47">
        <f t="shared" si="1"/>
        <v>158100</v>
      </c>
    </row>
    <row r="115" ht="15.75" customHeight="1">
      <c r="A115" s="6">
        <v>46190.0</v>
      </c>
      <c r="B115" s="7" t="s">
        <v>316</v>
      </c>
      <c r="C115" s="7" t="s">
        <v>17</v>
      </c>
      <c r="D115" s="7">
        <v>721.0</v>
      </c>
      <c r="E115" s="10" t="str">
        <f>+VLOOKUP(D115,ARTICULO!$A$2:$B$1048576,2,FALSE)</f>
        <v>PISINGALLO</v>
      </c>
      <c r="F115" s="5" t="s">
        <v>314</v>
      </c>
      <c r="G115" s="7">
        <v>60.0</v>
      </c>
      <c r="H115" s="47">
        <v>926.0</v>
      </c>
      <c r="I115" s="47">
        <f t="shared" si="1"/>
        <v>55560</v>
      </c>
    </row>
    <row r="116" ht="15.75" customHeight="1">
      <c r="A116" s="6">
        <v>46185.0</v>
      </c>
      <c r="B116" s="7" t="s">
        <v>317</v>
      </c>
      <c r="C116" s="7" t="s">
        <v>19</v>
      </c>
      <c r="D116" s="7">
        <v>165.0</v>
      </c>
      <c r="E116" s="10" t="str">
        <f>+VLOOKUP(D116,ARTICULO!$A$2:$B$1048576,2,FALSE)</f>
        <v>FLECKY ADULTO CARNE  X 15 KG</v>
      </c>
      <c r="F116" s="5" t="s">
        <v>314</v>
      </c>
      <c r="G116" s="7">
        <v>30.0</v>
      </c>
      <c r="H116" s="47">
        <v>10400.0</v>
      </c>
      <c r="I116" s="47">
        <f t="shared" si="1"/>
        <v>312000</v>
      </c>
    </row>
    <row r="117" ht="15.75" customHeight="1">
      <c r="A117" s="6">
        <v>46191.0</v>
      </c>
      <c r="B117" s="7" t="s">
        <v>115</v>
      </c>
      <c r="C117" s="7" t="s">
        <v>19</v>
      </c>
      <c r="D117" s="7">
        <v>725.0</v>
      </c>
      <c r="E117" s="10" t="str">
        <f>+VLOOKUP(D117,ARTICULO!$A$2:$B$1048576,2,FALSE)</f>
        <v>TRIGO PARA LOCRO</v>
      </c>
      <c r="F117" s="7" t="s">
        <v>73</v>
      </c>
      <c r="G117" s="7">
        <v>25.0</v>
      </c>
      <c r="H117" s="47">
        <v>1170.0</v>
      </c>
      <c r="I117" s="47">
        <f t="shared" si="1"/>
        <v>29250</v>
      </c>
    </row>
    <row r="118" ht="15.75" customHeight="1">
      <c r="A118" s="6">
        <v>46192.0</v>
      </c>
      <c r="B118" s="7" t="s">
        <v>158</v>
      </c>
      <c r="C118" s="7" t="s">
        <v>19</v>
      </c>
      <c r="D118" s="7">
        <v>466.0</v>
      </c>
      <c r="E118" s="10" t="str">
        <f>+VLOOKUP(D118,ARTICULO!$A$2:$B$1048576,2,FALSE)</f>
        <v>MEZCLA CON VIT. (CANARIO)</v>
      </c>
      <c r="F118" s="7" t="s">
        <v>92</v>
      </c>
      <c r="G118" s="7">
        <v>30.0</v>
      </c>
      <c r="H118" s="47">
        <v>1373.0</v>
      </c>
      <c r="I118" s="47">
        <f t="shared" si="1"/>
        <v>41190</v>
      </c>
    </row>
    <row r="119" ht="15.75" customHeight="1">
      <c r="A119" s="6">
        <v>46192.0</v>
      </c>
      <c r="B119" s="7" t="s">
        <v>158</v>
      </c>
      <c r="C119" s="7" t="s">
        <v>19</v>
      </c>
      <c r="D119" s="7">
        <v>232.0</v>
      </c>
      <c r="E119" s="7" t="str">
        <f>+VLOOKUP(D119,ARTICULO!$A$2:$B$1048576,2,FALSE)</f>
        <v>EXACT PREMIUM ADULTO X 18K</v>
      </c>
      <c r="F119" s="7" t="s">
        <v>92</v>
      </c>
      <c r="G119" s="7">
        <v>4.0</v>
      </c>
      <c r="H119" s="47">
        <v>26652.0</v>
      </c>
      <c r="I119" s="47">
        <f t="shared" si="1"/>
        <v>106608</v>
      </c>
    </row>
    <row r="120" ht="15.75" customHeight="1">
      <c r="A120" s="6">
        <v>46192.0</v>
      </c>
      <c r="B120" s="7" t="s">
        <v>29</v>
      </c>
      <c r="C120" s="7" t="s">
        <v>15</v>
      </c>
      <c r="D120" s="7">
        <v>614.0</v>
      </c>
      <c r="E120" s="10" t="str">
        <f>+VLOOKUP(D120,ARTICULO!$A$2:$B$1048576,2,FALSE)</f>
        <v>PASAS SIN SEMILLA</v>
      </c>
      <c r="F120" s="7" t="s">
        <v>21</v>
      </c>
      <c r="G120" s="7">
        <v>10.0</v>
      </c>
      <c r="H120" s="47">
        <v>4812.0</v>
      </c>
      <c r="I120" s="47">
        <f t="shared" si="1"/>
        <v>48120</v>
      </c>
    </row>
    <row r="121" ht="15.75" customHeight="1">
      <c r="A121" s="6">
        <v>46192.0</v>
      </c>
      <c r="B121" s="7" t="s">
        <v>29</v>
      </c>
      <c r="C121" s="49" t="s">
        <v>15</v>
      </c>
      <c r="D121" s="7">
        <v>600.0</v>
      </c>
      <c r="E121" s="10" t="str">
        <f>+VLOOKUP(D121,ARTICULO!$A$2:$B$1048576,2,FALSE)</f>
        <v>ALMENDRAS</v>
      </c>
      <c r="F121" s="7" t="s">
        <v>21</v>
      </c>
      <c r="G121" s="7">
        <v>3.0</v>
      </c>
      <c r="H121" s="47">
        <v>23955.0</v>
      </c>
      <c r="I121" s="47">
        <f t="shared" si="1"/>
        <v>71865</v>
      </c>
    </row>
    <row r="122" ht="15.75" customHeight="1">
      <c r="A122" s="6">
        <v>46193.0</v>
      </c>
      <c r="B122" s="7" t="s">
        <v>96</v>
      </c>
      <c r="C122" s="7" t="s">
        <v>15</v>
      </c>
      <c r="D122" s="7">
        <v>2015.0</v>
      </c>
      <c r="E122" s="7" t="str">
        <f>+VLOOKUP(D122,ARTICULO!$A$2:$B$1048576,2,FALSE)</f>
        <v>FRAC. ASADO CHEFF MK 15X80 GR</v>
      </c>
      <c r="F122" s="7" t="s">
        <v>73</v>
      </c>
      <c r="G122" s="7">
        <v>2.0</v>
      </c>
      <c r="H122" s="47">
        <v>11235.0</v>
      </c>
      <c r="I122" s="47">
        <f t="shared" si="1"/>
        <v>22470</v>
      </c>
    </row>
    <row r="123" ht="15.75" customHeight="1">
      <c r="A123" s="6">
        <v>46193.0</v>
      </c>
      <c r="B123" s="7" t="s">
        <v>96</v>
      </c>
      <c r="C123" s="7" t="s">
        <v>15</v>
      </c>
      <c r="D123" s="7">
        <v>2014.0</v>
      </c>
      <c r="E123" s="7" t="str">
        <f>+VLOOKUP(D123,ARTICULO!$A$2:$B$1048576,2,FALSE)</f>
        <v>FRAC. FRITO C/SAL MARINA 12X200 GR</v>
      </c>
      <c r="F123" s="7" t="s">
        <v>73</v>
      </c>
      <c r="G123" s="7">
        <v>2.0</v>
      </c>
      <c r="H123" s="47">
        <v>20018.0</v>
      </c>
      <c r="I123" s="47">
        <f t="shared" si="1"/>
        <v>40036</v>
      </c>
    </row>
    <row r="124" ht="15.75" customHeight="1">
      <c r="A124" s="6">
        <v>46193.0</v>
      </c>
      <c r="B124" s="7" t="s">
        <v>310</v>
      </c>
      <c r="C124" s="7" t="s">
        <v>19</v>
      </c>
      <c r="D124" s="7">
        <v>476.0</v>
      </c>
      <c r="E124" s="10" t="str">
        <f>+VLOOKUP(D124,ARTICULO!$A$2:$B$1048576,2,FALSE)</f>
        <v>MAIZ QUEBRADO FINO X 30 KG</v>
      </c>
      <c r="F124" s="7" t="s">
        <v>285</v>
      </c>
      <c r="G124" s="7">
        <v>1.0</v>
      </c>
      <c r="H124" s="47">
        <v>14557.0</v>
      </c>
      <c r="I124" s="47">
        <f t="shared" si="1"/>
        <v>14557</v>
      </c>
    </row>
    <row r="125" ht="15.75" customHeight="1">
      <c r="A125" s="6">
        <v>46193.0</v>
      </c>
      <c r="B125" s="7" t="s">
        <v>318</v>
      </c>
      <c r="C125" s="7" t="s">
        <v>19</v>
      </c>
      <c r="D125" s="7">
        <v>477.0</v>
      </c>
      <c r="E125" s="10" t="str">
        <f>+VLOOKUP(D125,ARTICULO!$A$2:$B$1048576,2,FALSE)</f>
        <v>MAIZ QUEBRADO MEDIANO X 30 KG</v>
      </c>
      <c r="F125" s="7" t="s">
        <v>285</v>
      </c>
      <c r="G125" s="7">
        <v>1.0</v>
      </c>
      <c r="H125" s="47">
        <v>12130.0</v>
      </c>
      <c r="I125" s="47">
        <f t="shared" si="1"/>
        <v>12130</v>
      </c>
    </row>
    <row r="126" ht="15.75" customHeight="1">
      <c r="A126" s="6">
        <v>46195.0</v>
      </c>
      <c r="B126" s="7" t="s">
        <v>20</v>
      </c>
      <c r="C126" s="7" t="s">
        <v>11</v>
      </c>
      <c r="D126" s="7">
        <v>610.0</v>
      </c>
      <c r="E126" s="10" t="str">
        <f>+VLOOKUP(D126,ARTICULO!$A$2:$B$1048576,2,FALSE)</f>
        <v>MIX ENERGETICO S/C</v>
      </c>
      <c r="F126" s="7" t="s">
        <v>21</v>
      </c>
      <c r="G126" s="7">
        <v>1.0</v>
      </c>
      <c r="H126" s="47">
        <v>7783.0</v>
      </c>
      <c r="I126" s="47">
        <f t="shared" si="1"/>
        <v>7783</v>
      </c>
    </row>
    <row r="127" ht="15.75" customHeight="1">
      <c r="A127" s="6">
        <v>46195.0</v>
      </c>
      <c r="B127" s="7" t="s">
        <v>20</v>
      </c>
      <c r="C127" s="7" t="s">
        <v>11</v>
      </c>
      <c r="D127" s="7">
        <v>351.0</v>
      </c>
      <c r="E127" s="10" t="str">
        <f>+VLOOKUP(D127,ARTICULO!$A$2:$B$1048576,2,FALSE)</f>
        <v>GRANOLA MIX X 1 KG</v>
      </c>
      <c r="F127" s="7" t="s">
        <v>21</v>
      </c>
      <c r="G127" s="7">
        <v>1.0</v>
      </c>
      <c r="H127" s="47">
        <v>11070.0</v>
      </c>
      <c r="I127" s="47">
        <f t="shared" si="1"/>
        <v>11070</v>
      </c>
    </row>
    <row r="128" ht="15.75" customHeight="1">
      <c r="A128" s="6">
        <v>46195.0</v>
      </c>
      <c r="B128" s="7" t="s">
        <v>20</v>
      </c>
      <c r="C128" s="7" t="s">
        <v>11</v>
      </c>
      <c r="D128" s="7">
        <v>362.0</v>
      </c>
      <c r="E128" s="10" t="str">
        <f>+VLOOKUP(D128,ARTICULO!$A$2:$B$1048576,2,FALSE)</f>
        <v>OSITOS DE MIEL x 2.5 Kg</v>
      </c>
      <c r="F128" s="7" t="s">
        <v>21</v>
      </c>
      <c r="G128" s="7">
        <v>1.0</v>
      </c>
      <c r="H128" s="47">
        <v>17796.0</v>
      </c>
      <c r="I128" s="47">
        <f t="shared" si="1"/>
        <v>17796</v>
      </c>
    </row>
    <row r="129" ht="15.75" customHeight="1">
      <c r="A129" s="6">
        <v>46195.0</v>
      </c>
      <c r="B129" s="7" t="s">
        <v>20</v>
      </c>
      <c r="C129" s="7" t="s">
        <v>11</v>
      </c>
      <c r="D129" s="7">
        <v>466.0</v>
      </c>
      <c r="E129" s="10" t="str">
        <f>+VLOOKUP(D129,ARTICULO!$A$2:$B$1048576,2,FALSE)</f>
        <v>MEZCLA CON VIT. (CANARIO)</v>
      </c>
      <c r="F129" s="7" t="s">
        <v>21</v>
      </c>
      <c r="G129" s="7">
        <v>1.0</v>
      </c>
      <c r="H129" s="47">
        <v>1798.0</v>
      </c>
      <c r="I129" s="47">
        <f t="shared" si="1"/>
        <v>1798</v>
      </c>
    </row>
    <row r="130" ht="15.75" customHeight="1">
      <c r="A130" s="6">
        <v>46195.0</v>
      </c>
      <c r="B130" s="7" t="s">
        <v>20</v>
      </c>
      <c r="C130" s="7" t="s">
        <v>11</v>
      </c>
      <c r="D130" s="7">
        <v>652.0</v>
      </c>
      <c r="E130" s="10" t="str">
        <f>+VLOOKUP(D130,ARTICULO!$A$2:$B$1048576,2,FALSE)</f>
        <v>MANI SABORIZADO</v>
      </c>
      <c r="F130" s="7" t="s">
        <v>21</v>
      </c>
      <c r="G130" s="7">
        <v>2.0</v>
      </c>
      <c r="H130" s="47">
        <v>4595.0</v>
      </c>
      <c r="I130" s="47">
        <f t="shared" si="1"/>
        <v>9190</v>
      </c>
    </row>
    <row r="131" ht="15.75" customHeight="1">
      <c r="A131" s="6">
        <v>46195.0</v>
      </c>
      <c r="B131" s="7" t="s">
        <v>20</v>
      </c>
      <c r="C131" s="7" t="s">
        <v>11</v>
      </c>
      <c r="D131" s="7">
        <v>458.0</v>
      </c>
      <c r="E131" s="10" t="str">
        <f>+VLOOKUP(D131,ARTICULO!$A$2:$B$1048576,2,FALSE)</f>
        <v>GIRASOL GRANDE</v>
      </c>
      <c r="F131" s="7" t="s">
        <v>21</v>
      </c>
      <c r="G131" s="7">
        <v>5.0</v>
      </c>
      <c r="H131" s="47">
        <v>1985.0</v>
      </c>
      <c r="I131" s="47">
        <f t="shared" si="1"/>
        <v>9925</v>
      </c>
    </row>
    <row r="132" ht="15.75" customHeight="1">
      <c r="A132" s="6">
        <v>46195.0</v>
      </c>
      <c r="B132" s="7" t="s">
        <v>20</v>
      </c>
      <c r="C132" s="7" t="s">
        <v>11</v>
      </c>
      <c r="D132" s="7">
        <v>520.0</v>
      </c>
      <c r="E132" s="10" t="str">
        <f>+VLOOKUP(D132,ARTICULO!$A$2:$B$1048576,2,FALSE)</f>
        <v>POLVO PARA HORNEAR</v>
      </c>
      <c r="F132" s="7" t="s">
        <v>21</v>
      </c>
      <c r="G132" s="7">
        <v>1.0</v>
      </c>
      <c r="H132" s="47">
        <v>9060.0</v>
      </c>
      <c r="I132" s="47">
        <f t="shared" si="1"/>
        <v>9060</v>
      </c>
    </row>
    <row r="133" ht="15.75" customHeight="1">
      <c r="A133" s="6">
        <v>46195.0</v>
      </c>
      <c r="B133" s="7" t="s">
        <v>20</v>
      </c>
      <c r="C133" s="7" t="s">
        <v>11</v>
      </c>
      <c r="D133" s="7">
        <v>717.0</v>
      </c>
      <c r="E133" s="10" t="str">
        <f>+VLOOKUP(D133,ARTICULO!$A$2:$B$1048576,2,FALSE)</f>
        <v>LENTEJA</v>
      </c>
      <c r="F133" s="7" t="s">
        <v>21</v>
      </c>
      <c r="G133" s="7">
        <v>5.0</v>
      </c>
      <c r="H133" s="47">
        <v>2032.0</v>
      </c>
      <c r="I133" s="47">
        <f t="shared" si="1"/>
        <v>10160</v>
      </c>
    </row>
    <row r="134" ht="15.75" customHeight="1">
      <c r="A134" s="6">
        <v>46195.0</v>
      </c>
      <c r="B134" s="7" t="s">
        <v>20</v>
      </c>
      <c r="C134" s="7" t="s">
        <v>11</v>
      </c>
      <c r="D134" s="7">
        <v>710.0</v>
      </c>
      <c r="E134" s="10" t="str">
        <f>+VLOOKUP(D134,ARTICULO!$A$2:$B$1048576,2,FALSE)</f>
        <v>GARBANZO</v>
      </c>
      <c r="F134" s="7" t="s">
        <v>21</v>
      </c>
      <c r="G134" s="7">
        <v>5.0</v>
      </c>
      <c r="H134" s="47">
        <v>1127.0</v>
      </c>
      <c r="I134" s="47">
        <f t="shared" si="1"/>
        <v>5635</v>
      </c>
    </row>
    <row r="135" ht="15.75" customHeight="1">
      <c r="A135" s="6">
        <v>46195.0</v>
      </c>
      <c r="B135" s="7" t="s">
        <v>20</v>
      </c>
      <c r="C135" s="7" t="s">
        <v>11</v>
      </c>
      <c r="D135" s="7">
        <v>131.0</v>
      </c>
      <c r="E135" s="10" t="str">
        <f>+VLOOKUP(D135,ARTICULO!$A$2:$B$1048576,2,FALSE)</f>
        <v>GRAN CAMPEON CACHORRO X 10 KG</v>
      </c>
      <c r="F135" s="7" t="s">
        <v>21</v>
      </c>
      <c r="G135" s="7">
        <v>1.0</v>
      </c>
      <c r="H135" s="47">
        <v>16755.0</v>
      </c>
      <c r="I135" s="47">
        <f t="shared" si="1"/>
        <v>16755</v>
      </c>
    </row>
    <row r="136" ht="15.75" customHeight="1">
      <c r="A136" s="6">
        <v>46195.0</v>
      </c>
      <c r="B136" s="7" t="s">
        <v>319</v>
      </c>
      <c r="C136" s="7" t="s">
        <v>19</v>
      </c>
      <c r="D136" s="7">
        <v>476.0</v>
      </c>
      <c r="E136" s="10" t="str">
        <f>+VLOOKUP(D136,ARTICULO!$A$2:$B$1048576,2,FALSE)</f>
        <v>MAIZ QUEBRADO FINO X 30 KG</v>
      </c>
      <c r="F136" s="7" t="s">
        <v>21</v>
      </c>
      <c r="G136" s="7">
        <v>1.0</v>
      </c>
      <c r="H136" s="47">
        <v>16174.0</v>
      </c>
      <c r="I136" s="47">
        <f t="shared" si="1"/>
        <v>16174</v>
      </c>
    </row>
    <row r="137" ht="15.75" customHeight="1">
      <c r="A137" s="6">
        <v>46195.0</v>
      </c>
      <c r="B137" s="7" t="s">
        <v>319</v>
      </c>
      <c r="C137" s="7" t="s">
        <v>19</v>
      </c>
      <c r="D137" s="7">
        <v>477.0</v>
      </c>
      <c r="E137" s="10" t="str">
        <f>+VLOOKUP(D137,ARTICULO!$A$2:$B$1048576,2,FALSE)</f>
        <v>MAIZ QUEBRADO MEDIANO X 30 KG</v>
      </c>
      <c r="F137" s="7" t="s">
        <v>21</v>
      </c>
      <c r="G137" s="7">
        <v>1.0</v>
      </c>
      <c r="H137" s="47">
        <v>16174.0</v>
      </c>
      <c r="I137" s="47">
        <f t="shared" si="1"/>
        <v>16174</v>
      </c>
    </row>
    <row r="138" ht="15.75" customHeight="1">
      <c r="A138" s="6">
        <v>46195.0</v>
      </c>
      <c r="B138" s="7" t="s">
        <v>319</v>
      </c>
      <c r="C138" s="7" t="s">
        <v>19</v>
      </c>
      <c r="D138" s="7">
        <v>478.0</v>
      </c>
      <c r="E138" s="10" t="str">
        <f>+VLOOKUP(D138,ARTICULO!$A$2:$B$1048576,2,FALSE)</f>
        <v>MAIZ QUEBRADO GRUESO X 30 KG</v>
      </c>
      <c r="F138" s="7" t="s">
        <v>21</v>
      </c>
      <c r="G138" s="7">
        <v>1.0</v>
      </c>
      <c r="H138" s="47">
        <v>16174.0</v>
      </c>
      <c r="I138" s="47">
        <f t="shared" si="1"/>
        <v>16174</v>
      </c>
    </row>
    <row r="139" ht="15.75" customHeight="1">
      <c r="A139" s="6">
        <v>46195.0</v>
      </c>
      <c r="B139" s="7" t="s">
        <v>319</v>
      </c>
      <c r="C139" s="7" t="s">
        <v>19</v>
      </c>
      <c r="D139" s="7">
        <v>6.0</v>
      </c>
      <c r="E139" s="10" t="str">
        <f>+VLOOKUP(D139,ARTICULO!$A$2:$B$1048576,2,FALSE)</f>
        <v>CONEJO X 25 KG - CONECAR</v>
      </c>
      <c r="F139" s="7" t="s">
        <v>21</v>
      </c>
      <c r="G139" s="7">
        <v>1.0</v>
      </c>
      <c r="H139" s="47">
        <v>17777.0</v>
      </c>
      <c r="I139" s="47">
        <f t="shared" si="1"/>
        <v>17777</v>
      </c>
    </row>
    <row r="140" ht="15.75" customHeight="1">
      <c r="A140" s="6">
        <v>46195.0</v>
      </c>
      <c r="B140" s="7" t="s">
        <v>319</v>
      </c>
      <c r="C140" s="7" t="s">
        <v>19</v>
      </c>
      <c r="D140" s="7">
        <v>458.0</v>
      </c>
      <c r="E140" s="10" t="str">
        <f>+VLOOKUP(D140,ARTICULO!$A$2:$B$1048576,2,FALSE)</f>
        <v>GIRASOL GRANDE</v>
      </c>
      <c r="F140" s="7" t="s">
        <v>21</v>
      </c>
      <c r="G140" s="7">
        <v>10.0</v>
      </c>
      <c r="H140" s="47">
        <v>1985.0</v>
      </c>
      <c r="I140" s="47">
        <f t="shared" si="1"/>
        <v>19850</v>
      </c>
    </row>
    <row r="141" ht="15.75" customHeight="1">
      <c r="A141" s="6">
        <v>46195.0</v>
      </c>
      <c r="B141" s="7" t="s">
        <v>319</v>
      </c>
      <c r="C141" s="7" t="s">
        <v>19</v>
      </c>
      <c r="D141" s="7">
        <v>400.0</v>
      </c>
      <c r="E141" s="10" t="str">
        <f>+VLOOKUP(D141,ARTICULO!$A$2:$B$1048576,2,FALSE)</f>
        <v>ALPISTE</v>
      </c>
      <c r="F141" s="7" t="s">
        <v>21</v>
      </c>
      <c r="G141" s="7">
        <v>10.0</v>
      </c>
      <c r="H141" s="47">
        <v>1395.0</v>
      </c>
      <c r="I141" s="47">
        <f t="shared" si="1"/>
        <v>13950</v>
      </c>
    </row>
    <row r="142" ht="15.75" customHeight="1">
      <c r="A142" s="6">
        <v>46196.0</v>
      </c>
      <c r="B142" s="7" t="s">
        <v>320</v>
      </c>
      <c r="C142" s="7" t="s">
        <v>17</v>
      </c>
      <c r="D142" s="7">
        <v>477.0</v>
      </c>
      <c r="E142" s="10" t="str">
        <f>+VLOOKUP(D142,ARTICULO!$A$2:$B$1048576,2,FALSE)</f>
        <v>MAIZ QUEBRADO MEDIANO X 30 KG</v>
      </c>
      <c r="F142" s="7" t="s">
        <v>21</v>
      </c>
      <c r="G142" s="7">
        <v>2.0</v>
      </c>
      <c r="H142" s="47">
        <v>16174.0</v>
      </c>
      <c r="I142" s="47">
        <f t="shared" si="1"/>
        <v>32348</v>
      </c>
    </row>
    <row r="143" ht="15.75" customHeight="1">
      <c r="A143" s="6">
        <v>46196.0</v>
      </c>
      <c r="B143" s="7" t="s">
        <v>320</v>
      </c>
      <c r="C143" s="7" t="s">
        <v>17</v>
      </c>
      <c r="D143" s="7">
        <v>478.0</v>
      </c>
      <c r="E143" s="10" t="str">
        <f>+VLOOKUP(D143,ARTICULO!$A$2:$B$1048576,2,FALSE)</f>
        <v>MAIZ QUEBRADO GRUESO X 30 KG</v>
      </c>
      <c r="F143" s="7" t="s">
        <v>21</v>
      </c>
      <c r="G143" s="7">
        <v>1.0</v>
      </c>
      <c r="H143" s="47">
        <v>16174.0</v>
      </c>
      <c r="I143" s="47">
        <f t="shared" si="1"/>
        <v>16174</v>
      </c>
    </row>
    <row r="144" ht="15.75" customHeight="1">
      <c r="A144" s="6">
        <v>46196.0</v>
      </c>
      <c r="B144" s="7" t="s">
        <v>320</v>
      </c>
      <c r="C144" s="7" t="s">
        <v>17</v>
      </c>
      <c r="D144" s="7">
        <v>476.0</v>
      </c>
      <c r="E144" s="10" t="str">
        <f>+VLOOKUP(D144,ARTICULO!$A$2:$B$1048576,2,FALSE)</f>
        <v>MAIZ QUEBRADO FINO X 30 KG</v>
      </c>
      <c r="F144" s="7" t="s">
        <v>21</v>
      </c>
      <c r="G144" s="7">
        <v>1.0</v>
      </c>
      <c r="H144" s="47">
        <v>16174.0</v>
      </c>
      <c r="I144" s="47">
        <f t="shared" si="1"/>
        <v>16174</v>
      </c>
    </row>
    <row r="145" ht="15.75" customHeight="1">
      <c r="A145" s="6">
        <v>46196.0</v>
      </c>
      <c r="B145" s="7" t="s">
        <v>320</v>
      </c>
      <c r="C145" s="7" t="s">
        <v>17</v>
      </c>
      <c r="D145" s="7">
        <v>301.0</v>
      </c>
      <c r="E145" s="10" t="str">
        <f>+VLOOKUP(D145,ARTICULO!$A$2:$B$1048576,2,FALSE)</f>
        <v>ALMOHADITA DE FRUTILLA X 2.5 KG</v>
      </c>
      <c r="F145" s="7" t="s">
        <v>21</v>
      </c>
      <c r="G145" s="7">
        <v>1.0</v>
      </c>
      <c r="H145" s="47">
        <v>17705.0</v>
      </c>
      <c r="I145" s="47">
        <f t="shared" si="1"/>
        <v>17705</v>
      </c>
    </row>
    <row r="146" ht="15.75" customHeight="1">
      <c r="A146" s="6">
        <v>46196.0</v>
      </c>
      <c r="B146" s="7" t="s">
        <v>320</v>
      </c>
      <c r="C146" s="7" t="s">
        <v>17</v>
      </c>
      <c r="D146" s="7">
        <v>302.0</v>
      </c>
      <c r="E146" s="10" t="str">
        <f>+VLOOKUP(D146,ARTICULO!$A$2:$B$1048576,2,FALSE)</f>
        <v>ALMOHADITA DE LIMON X 2.5 KG</v>
      </c>
      <c r="F146" s="7" t="s">
        <v>21</v>
      </c>
      <c r="G146" s="7">
        <v>1.0</v>
      </c>
      <c r="H146" s="47">
        <v>17199.0</v>
      </c>
      <c r="I146" s="47">
        <f t="shared" si="1"/>
        <v>17199</v>
      </c>
    </row>
    <row r="147" ht="15.75" customHeight="1">
      <c r="A147" s="6">
        <v>46196.0</v>
      </c>
      <c r="B147" s="7" t="s">
        <v>320</v>
      </c>
      <c r="C147" s="7" t="s">
        <v>17</v>
      </c>
      <c r="D147" s="7">
        <v>303.0</v>
      </c>
      <c r="E147" s="10" t="str">
        <f>+VLOOKUP(D147,ARTICULO!$A$2:$B$1048576,2,FALSE)</f>
        <v>ALMOHADITAS DE CHOCOLATE</v>
      </c>
      <c r="F147" s="7" t="s">
        <v>21</v>
      </c>
      <c r="G147" s="7">
        <v>1.0</v>
      </c>
      <c r="H147" s="47">
        <v>18764.0</v>
      </c>
      <c r="I147" s="47">
        <f t="shared" si="1"/>
        <v>18764</v>
      </c>
    </row>
    <row r="148" ht="15.75" customHeight="1">
      <c r="A148" s="6">
        <v>46196.0</v>
      </c>
      <c r="B148" s="7" t="s">
        <v>320</v>
      </c>
      <c r="C148" s="7" t="s">
        <v>17</v>
      </c>
      <c r="D148" s="12">
        <v>320.0</v>
      </c>
      <c r="E148" s="10" t="str">
        <f>+VLOOKUP(D148,ARTICULO!$A$2:$B$1048576,2,FALSE)</f>
        <v>BOLITAS DE CHOCOLATE x 2.5 Kg</v>
      </c>
      <c r="F148" s="7" t="s">
        <v>21</v>
      </c>
      <c r="G148" s="7">
        <v>1.0</v>
      </c>
      <c r="H148" s="47">
        <v>14191.0</v>
      </c>
      <c r="I148" s="47">
        <f t="shared" si="1"/>
        <v>14191</v>
      </c>
    </row>
    <row r="149" ht="15.75" customHeight="1">
      <c r="A149" s="6">
        <v>46196.0</v>
      </c>
      <c r="B149" s="7" t="s">
        <v>320</v>
      </c>
      <c r="C149" s="7" t="s">
        <v>17</v>
      </c>
      <c r="D149" s="12">
        <v>362.0</v>
      </c>
      <c r="E149" s="10" t="str">
        <f>+VLOOKUP(D149,ARTICULO!$A$2:$B$1048576,2,FALSE)</f>
        <v>OSITOS DE MIEL x 2.5 Kg</v>
      </c>
      <c r="F149" s="7" t="s">
        <v>21</v>
      </c>
      <c r="G149" s="7">
        <v>1.0</v>
      </c>
      <c r="H149" s="47">
        <v>12435.0</v>
      </c>
      <c r="I149" s="47">
        <f t="shared" si="1"/>
        <v>12435</v>
      </c>
    </row>
    <row r="150" ht="15.75" customHeight="1">
      <c r="A150" s="6">
        <v>46196.0</v>
      </c>
      <c r="B150" s="7" t="s">
        <v>320</v>
      </c>
      <c r="C150" s="7" t="s">
        <v>17</v>
      </c>
      <c r="D150" s="12">
        <v>405.0</v>
      </c>
      <c r="E150" s="10" t="str">
        <f>+VLOOKUP(D150,ARTICULO!$A$2:$B$1048576,2,FALSE)</f>
        <v>SESAMO</v>
      </c>
      <c r="F150" s="7" t="s">
        <v>21</v>
      </c>
      <c r="G150" s="7">
        <v>1.0</v>
      </c>
      <c r="H150" s="47">
        <v>2433.0</v>
      </c>
      <c r="I150" s="47">
        <f t="shared" si="1"/>
        <v>2433</v>
      </c>
    </row>
    <row r="151" ht="15.75" customHeight="1">
      <c r="A151" s="6">
        <v>46196.0</v>
      </c>
      <c r="B151" s="7" t="s">
        <v>320</v>
      </c>
      <c r="C151" s="7" t="s">
        <v>17</v>
      </c>
      <c r="D151" s="12">
        <v>407.0</v>
      </c>
      <c r="E151" s="10" t="str">
        <f>+VLOOKUP(D151,ARTICULO!$A$2:$B$1048576,2,FALSE)</f>
        <v>QUINOA</v>
      </c>
      <c r="F151" s="7" t="s">
        <v>21</v>
      </c>
      <c r="G151" s="7">
        <v>1.0</v>
      </c>
      <c r="H151" s="47">
        <v>8250.0</v>
      </c>
      <c r="I151" s="47">
        <f t="shared" si="1"/>
        <v>8250</v>
      </c>
    </row>
    <row r="152" ht="15.75" customHeight="1">
      <c r="A152" s="6">
        <v>46196.0</v>
      </c>
      <c r="B152" s="7" t="s">
        <v>320</v>
      </c>
      <c r="C152" s="7" t="s">
        <v>17</v>
      </c>
      <c r="D152" s="12">
        <v>459.0</v>
      </c>
      <c r="E152" s="10" t="str">
        <f>+VLOOKUP(D152,ARTICULO!$A$2:$B$1048576,2,FALSE)</f>
        <v>GIRASOL PELADO</v>
      </c>
      <c r="F152" s="7" t="s">
        <v>21</v>
      </c>
      <c r="G152" s="7">
        <v>1.0</v>
      </c>
      <c r="H152" s="47">
        <v>3511.0</v>
      </c>
      <c r="I152" s="47">
        <f t="shared" si="1"/>
        <v>3511</v>
      </c>
    </row>
    <row r="153" ht="15.75" customHeight="1">
      <c r="A153" s="6">
        <v>46196.0</v>
      </c>
      <c r="B153" s="7" t="s">
        <v>320</v>
      </c>
      <c r="C153" s="7" t="s">
        <v>17</v>
      </c>
      <c r="D153" s="12">
        <v>454.0</v>
      </c>
      <c r="E153" s="10" t="str">
        <f>+VLOOKUP(D153,ARTICULO!$A$2:$B$1048576,2,FALSE)</f>
        <v>AVENA PELADA</v>
      </c>
      <c r="F153" s="7" t="s">
        <v>21</v>
      </c>
      <c r="G153" s="7">
        <v>5.0</v>
      </c>
      <c r="H153" s="47">
        <v>1544.0</v>
      </c>
      <c r="I153" s="47">
        <f t="shared" si="1"/>
        <v>7720</v>
      </c>
    </row>
    <row r="154" ht="15.75" customHeight="1">
      <c r="A154" s="6">
        <v>46196.0</v>
      </c>
      <c r="B154" s="7" t="s">
        <v>320</v>
      </c>
      <c r="C154" s="7" t="s">
        <v>17</v>
      </c>
      <c r="D154" s="12">
        <v>475.0</v>
      </c>
      <c r="E154" s="10" t="str">
        <f>+VLOOKUP(D154,ARTICULO!$A$2:$B$1048576,2,FALSE)</f>
        <v>VITAMINA</v>
      </c>
      <c r="F154" s="7" t="s">
        <v>21</v>
      </c>
      <c r="G154" s="7">
        <v>5.0</v>
      </c>
      <c r="H154" s="47">
        <v>2452.0</v>
      </c>
      <c r="I154" s="47">
        <f t="shared" si="1"/>
        <v>12260</v>
      </c>
    </row>
    <row r="155" ht="15.75" customHeight="1">
      <c r="A155" s="6">
        <v>46196.0</v>
      </c>
      <c r="B155" s="7" t="s">
        <v>320</v>
      </c>
      <c r="C155" s="7" t="s">
        <v>17</v>
      </c>
      <c r="D155" s="12">
        <v>401.0</v>
      </c>
      <c r="E155" s="10" t="str">
        <f>+VLOOKUP(D155,ARTICULO!$A$2:$B$1048576,2,FALSE)</f>
        <v>LINO</v>
      </c>
      <c r="F155" s="7" t="s">
        <v>21</v>
      </c>
      <c r="G155" s="7">
        <v>5.0</v>
      </c>
      <c r="H155" s="47">
        <v>2658.0</v>
      </c>
      <c r="I155" s="47">
        <f t="shared" si="1"/>
        <v>13290</v>
      </c>
    </row>
    <row r="156" ht="15.75" customHeight="1">
      <c r="A156" s="6">
        <v>46196.0</v>
      </c>
      <c r="B156" s="62" t="s">
        <v>320</v>
      </c>
      <c r="C156" s="62" t="s">
        <v>17</v>
      </c>
      <c r="D156" s="12">
        <v>452.0</v>
      </c>
      <c r="E156" s="87" t="str">
        <f>+VLOOKUP(D156,ARTICULO!$A$2:$B$1048576,2,FALSE)</f>
        <v>ARVEJA PARTIDA</v>
      </c>
      <c r="F156" s="62" t="s">
        <v>21</v>
      </c>
      <c r="G156" s="62">
        <v>5.0</v>
      </c>
      <c r="H156" s="63">
        <v>697.0</v>
      </c>
      <c r="I156" s="63">
        <f t="shared" si="1"/>
        <v>3485</v>
      </c>
    </row>
    <row r="157" ht="15.75" customHeight="1">
      <c r="A157" s="6">
        <v>46196.0</v>
      </c>
      <c r="B157" s="62" t="s">
        <v>320</v>
      </c>
      <c r="C157" s="62" t="s">
        <v>17</v>
      </c>
      <c r="D157" s="12">
        <v>708.0</v>
      </c>
      <c r="E157" s="87" t="str">
        <f>+VLOOKUP(D157,ARTICULO!$A$2:$B$1048576,2,FALSE)</f>
        <v>CHIA</v>
      </c>
      <c r="F157" s="62" t="s">
        <v>21</v>
      </c>
      <c r="G157" s="62">
        <v>1.0</v>
      </c>
      <c r="H157" s="63">
        <v>6895.0</v>
      </c>
      <c r="I157" s="63">
        <f t="shared" si="1"/>
        <v>6895</v>
      </c>
    </row>
    <row r="158" ht="15.75" customHeight="1">
      <c r="A158" s="6">
        <v>46197.0</v>
      </c>
      <c r="B158" s="12" t="s">
        <v>321</v>
      </c>
      <c r="C158" s="12" t="s">
        <v>11</v>
      </c>
      <c r="D158" s="12">
        <v>3.0</v>
      </c>
      <c r="E158" s="10" t="str">
        <f>+VLOOKUP(D158,ARTICULO!$A$2:$B$1048576,2,FALSE)</f>
        <v>ENGORDE x 25 Kg</v>
      </c>
      <c r="F158" s="7" t="s">
        <v>285</v>
      </c>
      <c r="G158" s="7">
        <v>1.0</v>
      </c>
      <c r="H158" s="47">
        <v>17093.0</v>
      </c>
      <c r="I158" s="47">
        <f t="shared" si="1"/>
        <v>17093</v>
      </c>
    </row>
    <row r="159" ht="15.75" customHeight="1">
      <c r="A159" s="6">
        <v>46199.0</v>
      </c>
      <c r="B159" s="12" t="s">
        <v>322</v>
      </c>
      <c r="C159" s="12" t="s">
        <v>19</v>
      </c>
      <c r="D159" s="12">
        <v>471.0</v>
      </c>
      <c r="E159" s="10" t="str">
        <f>+VLOOKUP(D159,ARTICULO!$A$2:$B$1048576,2,FALSE)</f>
        <v>PELLET</v>
      </c>
      <c r="F159" s="7" t="s">
        <v>92</v>
      </c>
      <c r="G159" s="7">
        <v>1.0</v>
      </c>
      <c r="H159" s="51">
        <v>12040.0</v>
      </c>
      <c r="I159" s="51">
        <f t="shared" si="1"/>
        <v>12040</v>
      </c>
    </row>
    <row r="160" ht="15.75" customHeight="1">
      <c r="A160" s="6">
        <v>46199.0</v>
      </c>
      <c r="B160" s="12" t="s">
        <v>137</v>
      </c>
      <c r="C160" s="12" t="s">
        <v>19</v>
      </c>
      <c r="D160" s="12">
        <v>6.0</v>
      </c>
      <c r="E160" s="10" t="str">
        <f>+VLOOKUP(D160,ARTICULO!$A$2:$B$1048576,2,FALSE)</f>
        <v>CONEJO X 25 KG - CONECAR</v>
      </c>
      <c r="F160" s="12" t="s">
        <v>73</v>
      </c>
      <c r="G160" s="7">
        <v>1.0</v>
      </c>
      <c r="H160" s="51">
        <v>19752.0</v>
      </c>
      <c r="I160" s="51">
        <f t="shared" si="1"/>
        <v>19752</v>
      </c>
    </row>
    <row r="161" ht="15.75" customHeight="1">
      <c r="A161" s="6">
        <v>46199.0</v>
      </c>
      <c r="B161" s="12" t="s">
        <v>323</v>
      </c>
      <c r="C161" s="12" t="s">
        <v>19</v>
      </c>
      <c r="D161" s="12">
        <v>131.0</v>
      </c>
      <c r="E161" s="87" t="str">
        <f>+VLOOKUP(D161,ARTICULO!$A$2:$B$1048576,2,FALSE)</f>
        <v>GRAN CAMPEON CACHORRO X 10 KG</v>
      </c>
      <c r="F161" s="62" t="s">
        <v>21</v>
      </c>
      <c r="G161" s="62">
        <v>5.0</v>
      </c>
      <c r="H161" s="51">
        <v>16755.0</v>
      </c>
      <c r="I161" s="51">
        <f t="shared" si="1"/>
        <v>83775</v>
      </c>
    </row>
    <row r="162" ht="15.75" customHeight="1">
      <c r="A162" s="6">
        <v>46199.0</v>
      </c>
      <c r="B162" s="12" t="s">
        <v>323</v>
      </c>
      <c r="C162" s="12" t="s">
        <v>19</v>
      </c>
      <c r="D162" s="12">
        <v>140.0</v>
      </c>
      <c r="E162" s="87" t="str">
        <f>+VLOOKUP(D162,ARTICULO!$A$2:$B$1048576,2,FALSE)</f>
        <v>GRAN CAMPEON MANTENIMIENTO x 21KG</v>
      </c>
      <c r="F162" s="62" t="s">
        <v>21</v>
      </c>
      <c r="G162" s="62">
        <v>2.0</v>
      </c>
      <c r="H162" s="51">
        <v>23996.0</v>
      </c>
      <c r="I162" s="51">
        <f t="shared" si="1"/>
        <v>47992</v>
      </c>
    </row>
    <row r="163" ht="15.75" customHeight="1">
      <c r="A163" s="6">
        <v>46199.0</v>
      </c>
      <c r="B163" s="12" t="s">
        <v>323</v>
      </c>
      <c r="C163" s="12" t="s">
        <v>19</v>
      </c>
      <c r="D163" s="12">
        <v>483.0</v>
      </c>
      <c r="E163" s="87" t="str">
        <f>+VLOOKUP(D163,ARTICULO!$A$2:$B$1048576,2,FALSE)</f>
        <v>CABALLO PREMIUM X 30 KG</v>
      </c>
      <c r="F163" s="62" t="s">
        <v>21</v>
      </c>
      <c r="G163" s="62">
        <v>5.0</v>
      </c>
      <c r="H163" s="51">
        <v>14386.0</v>
      </c>
      <c r="I163" s="51">
        <f t="shared" si="1"/>
        <v>71930</v>
      </c>
    </row>
    <row r="164" ht="15.75" customHeight="1">
      <c r="A164" s="6">
        <v>46200.0</v>
      </c>
      <c r="B164" s="12" t="s">
        <v>324</v>
      </c>
      <c r="C164" s="12" t="s">
        <v>11</v>
      </c>
      <c r="D164" s="12">
        <v>719.0</v>
      </c>
      <c r="E164" s="10" t="str">
        <f>+VLOOKUP(D164,ARTICULO!$A$2:$B$1048576,2,FALSE)</f>
        <v>MAIZ MOLIDO AMARILLO</v>
      </c>
      <c r="F164" s="7" t="s">
        <v>92</v>
      </c>
      <c r="G164" s="7">
        <v>5.0</v>
      </c>
      <c r="H164" s="51">
        <v>1073.0</v>
      </c>
      <c r="I164" s="51">
        <f t="shared" si="1"/>
        <v>5365</v>
      </c>
    </row>
    <row r="165" ht="15.75" customHeight="1">
      <c r="A165" s="89">
        <v>46203.0</v>
      </c>
      <c r="B165" s="90" t="s">
        <v>219</v>
      </c>
      <c r="C165" s="90" t="s">
        <v>17</v>
      </c>
      <c r="D165" s="91">
        <v>235.0</v>
      </c>
      <c r="E165" s="92" t="s">
        <v>325</v>
      </c>
      <c r="F165" s="90" t="s">
        <v>13</v>
      </c>
      <c r="G165" s="93">
        <v>3.0</v>
      </c>
      <c r="H165" s="94" t="s">
        <v>326</v>
      </c>
      <c r="I165" s="94" t="s">
        <v>327</v>
      </c>
    </row>
    <row r="166" ht="15.75" customHeight="1">
      <c r="A166" s="12"/>
      <c r="B166" s="12"/>
      <c r="C166" s="12"/>
      <c r="D166" s="12"/>
      <c r="E166" s="7" t="str">
        <f>+VLOOKUP(D166,ARTICULO!$A$2:$B$1048576,2,FALSE)</f>
        <v>#N/A</v>
      </c>
      <c r="F166" s="12"/>
      <c r="G166" s="7"/>
      <c r="H166" s="51"/>
      <c r="I166" s="51"/>
    </row>
    <row r="167" ht="15.75" customHeight="1">
      <c r="A167" s="12"/>
      <c r="B167" s="12"/>
      <c r="C167" s="12"/>
      <c r="D167" s="12"/>
      <c r="E167" s="7" t="str">
        <f>+VLOOKUP(D167,ARTICULO!$A$2:$B$1048576,2,FALSE)</f>
        <v>#N/A</v>
      </c>
      <c r="F167" s="12"/>
      <c r="G167" s="12"/>
      <c r="H167" s="51"/>
      <c r="I167" s="51"/>
    </row>
    <row r="168" ht="15.75" customHeight="1">
      <c r="A168" s="12"/>
      <c r="B168" s="12"/>
      <c r="C168" s="12"/>
      <c r="D168" s="12"/>
      <c r="E168" s="7" t="str">
        <f>+VLOOKUP(D168,ARTICULO!$A$2:$B$1048576,2,FALSE)</f>
        <v>#N/A</v>
      </c>
      <c r="F168" s="12"/>
      <c r="G168" s="12"/>
      <c r="H168" s="51"/>
      <c r="I168" s="51"/>
    </row>
    <row r="169" ht="15.75" customHeight="1">
      <c r="A169" s="12"/>
      <c r="B169" s="12"/>
      <c r="C169" s="12"/>
      <c r="D169" s="12"/>
      <c r="E169" s="7" t="str">
        <f>+VLOOKUP(D169,ARTICULO!$A$2:$B$1048576,2,FALSE)</f>
        <v>#N/A</v>
      </c>
      <c r="F169" s="12"/>
      <c r="G169" s="12"/>
      <c r="H169" s="51"/>
      <c r="I169" s="51"/>
    </row>
    <row r="170" ht="15.75" customHeight="1">
      <c r="A170" s="12"/>
      <c r="B170" s="12"/>
      <c r="C170" s="12"/>
      <c r="D170" s="12"/>
      <c r="E170" s="7" t="str">
        <f>+VLOOKUP(D170,ARTICULO!$A$2:$B$1048576,2,FALSE)</f>
        <v>#N/A</v>
      </c>
      <c r="F170" s="12"/>
      <c r="G170" s="12"/>
      <c r="H170" s="51"/>
      <c r="I170" s="51"/>
    </row>
    <row r="171" ht="15.75" customHeight="1">
      <c r="A171" s="12"/>
      <c r="B171" s="12"/>
      <c r="C171" s="12"/>
      <c r="D171" s="12"/>
      <c r="E171" s="7" t="str">
        <f>+VLOOKUP(D171,ARTICULO!$A$2:$B$1048576,2,FALSE)</f>
        <v>#N/A</v>
      </c>
      <c r="F171" s="12"/>
      <c r="G171" s="12"/>
      <c r="H171" s="51"/>
      <c r="I171" s="51"/>
    </row>
    <row r="172" ht="15.75" customHeight="1">
      <c r="A172" s="12"/>
      <c r="B172" s="12"/>
      <c r="C172" s="12"/>
      <c r="D172" s="12"/>
      <c r="E172" s="7" t="str">
        <f>+VLOOKUP(D172,ARTICULO!$A$2:$B$1048576,2,FALSE)</f>
        <v>#N/A</v>
      </c>
      <c r="F172" s="12"/>
      <c r="G172" s="12"/>
      <c r="H172" s="51"/>
      <c r="I172" s="51"/>
    </row>
    <row r="173" ht="15.75" customHeight="1">
      <c r="A173" s="12"/>
      <c r="B173" s="12"/>
      <c r="C173" s="12"/>
      <c r="D173" s="12"/>
      <c r="E173" s="7" t="str">
        <f>+VLOOKUP(D173,ARTICULO!$A$2:$B$1048576,2,FALSE)</f>
        <v>#N/A</v>
      </c>
      <c r="F173" s="12"/>
      <c r="G173" s="12"/>
      <c r="H173" s="51"/>
      <c r="I173" s="51"/>
    </row>
    <row r="174" ht="15.75" customHeight="1">
      <c r="A174" s="12"/>
      <c r="B174" s="12"/>
      <c r="C174" s="12"/>
      <c r="D174" s="12"/>
      <c r="E174" s="7" t="str">
        <f>+VLOOKUP(D174,ARTICULO!$A$2:$B$1048576,2,FALSE)</f>
        <v>#N/A</v>
      </c>
      <c r="F174" s="12"/>
      <c r="G174" s="12"/>
      <c r="H174" s="51"/>
      <c r="I174" s="51"/>
    </row>
    <row r="175" ht="15.75" customHeight="1">
      <c r="A175" s="12"/>
      <c r="B175" s="12"/>
      <c r="C175" s="12"/>
      <c r="D175" s="12"/>
      <c r="E175" s="7" t="str">
        <f>+VLOOKUP(D175,ARTICULO!$A$2:$B$1048576,2,FALSE)</f>
        <v>#N/A</v>
      </c>
      <c r="F175" s="12"/>
      <c r="G175" s="12"/>
      <c r="H175" s="51"/>
      <c r="I175" s="51"/>
    </row>
    <row r="176" ht="15.75" customHeight="1">
      <c r="A176" s="12"/>
      <c r="B176" s="12"/>
      <c r="C176" s="12"/>
      <c r="D176" s="12"/>
      <c r="E176" s="7" t="str">
        <f>+VLOOKUP(D176,ARTICULO!$A$2:$B$1048576,2,FALSE)</f>
        <v>#N/A</v>
      </c>
      <c r="F176" s="12"/>
      <c r="G176" s="12"/>
      <c r="H176" s="51"/>
      <c r="I176" s="51"/>
    </row>
    <row r="177" ht="15.75" customHeight="1">
      <c r="A177" s="12"/>
      <c r="B177" s="12"/>
      <c r="C177" s="12"/>
      <c r="D177" s="12"/>
      <c r="E177" s="7" t="str">
        <f>+VLOOKUP(D177,ARTICULO!$A$2:$B$1048576,2,FALSE)</f>
        <v>#N/A</v>
      </c>
      <c r="F177" s="12"/>
      <c r="G177" s="12"/>
      <c r="H177" s="51"/>
      <c r="I177" s="51"/>
    </row>
    <row r="178" ht="15.75" customHeight="1">
      <c r="A178" s="12"/>
      <c r="B178" s="12"/>
      <c r="C178" s="12"/>
      <c r="D178" s="12"/>
      <c r="E178" s="7" t="str">
        <f>+VLOOKUP(D178,ARTICULO!$A$2:$B$1048576,2,FALSE)</f>
        <v>#N/A</v>
      </c>
      <c r="F178" s="12"/>
      <c r="G178" s="12"/>
      <c r="H178" s="51"/>
      <c r="I178" s="51"/>
    </row>
    <row r="179" ht="15.75" customHeight="1">
      <c r="A179" s="12"/>
      <c r="B179" s="12"/>
      <c r="C179" s="12"/>
      <c r="D179" s="12"/>
      <c r="E179" s="7" t="str">
        <f>+VLOOKUP(D179,ARTICULO!$A$2:$B$1048576,2,FALSE)</f>
        <v>#N/A</v>
      </c>
      <c r="F179" s="12"/>
      <c r="G179" s="12"/>
      <c r="H179" s="51"/>
      <c r="I179" s="51"/>
    </row>
    <row r="180" ht="15.75" customHeight="1">
      <c r="A180" s="12"/>
      <c r="B180" s="12"/>
      <c r="C180" s="12"/>
      <c r="D180" s="12"/>
      <c r="E180" s="7" t="str">
        <f>+VLOOKUP(D180,ARTICULO!$A$2:$B$1048576,2,FALSE)</f>
        <v>#N/A</v>
      </c>
      <c r="F180" s="12"/>
      <c r="G180" s="12"/>
      <c r="H180" s="51"/>
      <c r="I180" s="51"/>
    </row>
    <row r="181" ht="15.75" customHeight="1">
      <c r="A181" s="12"/>
      <c r="B181" s="12"/>
      <c r="C181" s="12"/>
      <c r="D181" s="12"/>
      <c r="E181" s="7" t="str">
        <f>+VLOOKUP(D181,ARTICULO!$A$2:$B$1048576,2,FALSE)</f>
        <v>#N/A</v>
      </c>
      <c r="F181" s="12"/>
      <c r="G181" s="12"/>
      <c r="H181" s="51"/>
      <c r="I181" s="51"/>
    </row>
    <row r="182" ht="15.75" customHeight="1">
      <c r="A182" s="12"/>
      <c r="B182" s="12"/>
      <c r="C182" s="12"/>
      <c r="D182" s="12"/>
      <c r="E182" s="7" t="str">
        <f>+VLOOKUP(D182,ARTICULO!$A$2:$B$1048576,2,FALSE)</f>
        <v>#N/A</v>
      </c>
      <c r="F182" s="12"/>
      <c r="G182" s="12"/>
      <c r="H182" s="51"/>
      <c r="I182" s="51"/>
    </row>
    <row r="183" ht="15.75" customHeight="1">
      <c r="A183" s="12"/>
      <c r="B183" s="12"/>
      <c r="C183" s="12"/>
      <c r="D183" s="12"/>
      <c r="E183" s="7" t="str">
        <f>+VLOOKUP(D183,ARTICULO!$A$2:$B$1048576,2,FALSE)</f>
        <v>#N/A</v>
      </c>
      <c r="F183" s="12"/>
      <c r="G183" s="12"/>
      <c r="H183" s="51"/>
      <c r="I183" s="51"/>
    </row>
    <row r="184" ht="15.75" customHeight="1">
      <c r="A184" s="12"/>
      <c r="B184" s="12"/>
      <c r="C184" s="12"/>
      <c r="D184" s="12"/>
      <c r="E184" s="7" t="str">
        <f>+VLOOKUP(D184,ARTICULO!$A$2:$B$1048576,2,FALSE)</f>
        <v>#N/A</v>
      </c>
      <c r="F184" s="12"/>
      <c r="G184" s="12"/>
      <c r="H184" s="51"/>
      <c r="I184" s="51"/>
    </row>
    <row r="185" ht="15.75" customHeight="1">
      <c r="A185" s="12"/>
      <c r="B185" s="12"/>
      <c r="C185" s="12"/>
      <c r="D185" s="12"/>
      <c r="E185" s="7" t="str">
        <f>+VLOOKUP(D185,ARTICULO!$A$2:$B$1048576,2,FALSE)</f>
        <v>#N/A</v>
      </c>
      <c r="F185" s="12"/>
      <c r="G185" s="12"/>
      <c r="H185" s="51"/>
      <c r="I185" s="51"/>
    </row>
    <row r="186" ht="15.75" customHeight="1">
      <c r="A186" s="12"/>
      <c r="B186" s="12"/>
      <c r="C186" s="12"/>
      <c r="D186" s="12"/>
      <c r="E186" s="7" t="str">
        <f>+VLOOKUP(D186,ARTICULO!$A$2:$B$1048576,2,FALSE)</f>
        <v>#N/A</v>
      </c>
      <c r="F186" s="12"/>
      <c r="G186" s="12"/>
      <c r="H186" s="51"/>
      <c r="I186" s="51"/>
    </row>
    <row r="187" ht="15.75" customHeight="1">
      <c r="A187" s="12"/>
      <c r="B187" s="12"/>
      <c r="C187" s="12"/>
      <c r="D187" s="12"/>
      <c r="E187" s="7" t="str">
        <f>+VLOOKUP(D187,ARTICULO!$A$2:$B$1048576,2,FALSE)</f>
        <v>#N/A</v>
      </c>
      <c r="F187" s="12"/>
      <c r="G187" s="12"/>
      <c r="H187" s="51"/>
      <c r="I187" s="51"/>
    </row>
    <row r="188" ht="15.75" customHeight="1">
      <c r="A188" s="12"/>
      <c r="B188" s="12"/>
      <c r="C188" s="12"/>
      <c r="D188" s="12"/>
      <c r="E188" s="7" t="str">
        <f>+VLOOKUP(D188,ARTICULO!$A$2:$B$1048576,2,FALSE)</f>
        <v>#N/A</v>
      </c>
      <c r="F188" s="12"/>
      <c r="G188" s="12"/>
      <c r="H188" s="51"/>
      <c r="I188" s="51"/>
    </row>
    <row r="189" ht="15.75" customHeight="1">
      <c r="A189" s="12"/>
      <c r="B189" s="12"/>
      <c r="C189" s="12"/>
      <c r="D189" s="12"/>
      <c r="E189" s="7" t="str">
        <f>+VLOOKUP(D189,ARTICULO!$A$2:$B$1048576,2,FALSE)</f>
        <v>#N/A</v>
      </c>
      <c r="F189" s="12"/>
      <c r="G189" s="12"/>
      <c r="H189" s="51"/>
      <c r="I189" s="51"/>
    </row>
    <row r="190" ht="15.75" customHeight="1">
      <c r="A190" s="12"/>
      <c r="B190" s="12"/>
      <c r="C190" s="12"/>
      <c r="D190" s="12"/>
      <c r="E190" s="7" t="str">
        <f>+VLOOKUP(D190,ARTICULO!$A$2:$B$1048576,2,FALSE)</f>
        <v>#N/A</v>
      </c>
      <c r="F190" s="12"/>
      <c r="G190" s="12"/>
      <c r="H190" s="51"/>
      <c r="I190" s="51"/>
    </row>
    <row r="191" ht="15.75" customHeight="1">
      <c r="A191" s="12"/>
      <c r="B191" s="12"/>
      <c r="C191" s="12"/>
      <c r="D191" s="12"/>
      <c r="E191" s="7" t="str">
        <f>+VLOOKUP(D191,ARTICULO!$A$2:$B$1048576,2,FALSE)</f>
        <v>#N/A</v>
      </c>
      <c r="F191" s="12"/>
      <c r="G191" s="12"/>
      <c r="H191" s="51"/>
      <c r="I191" s="51"/>
    </row>
    <row r="192" ht="15.75" customHeight="1">
      <c r="A192" s="12"/>
      <c r="B192" s="12"/>
      <c r="C192" s="12"/>
      <c r="D192" s="12"/>
      <c r="E192" s="7" t="str">
        <f>+VLOOKUP(D192,ARTICULO!$A$2:$B$1048576,2,FALSE)</f>
        <v>#N/A</v>
      </c>
      <c r="F192" s="12"/>
      <c r="G192" s="12"/>
      <c r="H192" s="51"/>
      <c r="I192" s="51"/>
    </row>
    <row r="193" ht="15.75" customHeight="1">
      <c r="A193" s="12"/>
      <c r="B193" s="12"/>
      <c r="C193" s="12"/>
      <c r="D193" s="12"/>
      <c r="E193" s="7" t="str">
        <f>+VLOOKUP(D193,ARTICULO!$A$2:$B$1048576,2,FALSE)</f>
        <v>#N/A</v>
      </c>
      <c r="F193" s="12"/>
      <c r="G193" s="12"/>
      <c r="H193" s="51"/>
      <c r="I193" s="51"/>
    </row>
    <row r="194" ht="15.75" customHeight="1">
      <c r="A194" s="12"/>
      <c r="B194" s="12"/>
      <c r="C194" s="12"/>
      <c r="D194" s="12"/>
      <c r="E194" s="7" t="str">
        <f>+VLOOKUP(D194,ARTICULO!$A$2:$B$1048576,2,FALSE)</f>
        <v>#N/A</v>
      </c>
      <c r="F194" s="12"/>
      <c r="G194" s="12"/>
      <c r="H194" s="51"/>
      <c r="I194" s="51"/>
    </row>
    <row r="195" ht="15.75" customHeight="1">
      <c r="A195" s="12"/>
      <c r="B195" s="12"/>
      <c r="C195" s="12"/>
      <c r="D195" s="12"/>
      <c r="E195" s="7" t="str">
        <f>+VLOOKUP(D195,ARTICULO!$A$2:$B$1048576,2,FALSE)</f>
        <v>#N/A</v>
      </c>
      <c r="F195" s="12"/>
      <c r="G195" s="12"/>
      <c r="H195" s="51"/>
      <c r="I195" s="51"/>
    </row>
    <row r="196" ht="15.75" customHeight="1">
      <c r="A196" s="12"/>
      <c r="B196" s="12"/>
      <c r="C196" s="12"/>
      <c r="D196" s="12"/>
      <c r="E196" s="7" t="str">
        <f>+VLOOKUP(D196,ARTICULO!$A$2:$B$1048576,2,FALSE)</f>
        <v>#N/A</v>
      </c>
      <c r="F196" s="12"/>
      <c r="G196" s="12"/>
      <c r="H196" s="51"/>
      <c r="I196" s="51"/>
    </row>
    <row r="197" ht="15.75" customHeight="1">
      <c r="A197" s="12"/>
      <c r="B197" s="12"/>
      <c r="C197" s="12"/>
      <c r="D197" s="12"/>
      <c r="E197" s="7" t="str">
        <f>+VLOOKUP(D197,ARTICULO!$A$2:$B$1048576,2,FALSE)</f>
        <v>#N/A</v>
      </c>
      <c r="F197" s="12"/>
      <c r="G197" s="12"/>
      <c r="H197" s="51"/>
      <c r="I197" s="51"/>
    </row>
    <row r="198" ht="15.75" customHeight="1">
      <c r="A198" s="12"/>
      <c r="B198" s="12"/>
      <c r="C198" s="12"/>
      <c r="D198" s="12"/>
      <c r="E198" s="7" t="str">
        <f>+VLOOKUP(D198,ARTICULO!$A$2:$B$1048576,2,FALSE)</f>
        <v>#N/A</v>
      </c>
      <c r="F198" s="12"/>
      <c r="G198" s="12"/>
      <c r="H198" s="51"/>
      <c r="I198" s="51"/>
    </row>
    <row r="199" ht="15.75" customHeight="1">
      <c r="A199" s="12"/>
      <c r="B199" s="12"/>
      <c r="C199" s="12"/>
      <c r="D199" s="12"/>
      <c r="E199" s="7" t="str">
        <f>+VLOOKUP(D199,ARTICULO!$A$2:$B$1048576,2,FALSE)</f>
        <v>#N/A</v>
      </c>
      <c r="F199" s="12"/>
      <c r="G199" s="12"/>
      <c r="H199" s="51"/>
      <c r="I199" s="51"/>
    </row>
    <row r="200" ht="15.75" customHeight="1">
      <c r="A200" s="12"/>
      <c r="B200" s="12"/>
      <c r="C200" s="12"/>
      <c r="D200" s="12"/>
      <c r="E200" s="7" t="str">
        <f>+VLOOKUP(D200,ARTICULO!$A$2:$B$1048576,2,FALSE)</f>
        <v>#N/A</v>
      </c>
      <c r="F200" s="12"/>
      <c r="G200" s="12"/>
      <c r="H200" s="51"/>
      <c r="I200" s="51"/>
    </row>
    <row r="201" ht="15.75" customHeight="1">
      <c r="A201" s="12"/>
      <c r="B201" s="12"/>
      <c r="C201" s="12"/>
      <c r="D201" s="12"/>
      <c r="E201" s="7" t="str">
        <f>+VLOOKUP(D201,ARTICULO!$A$2:$B$1048576,2,FALSE)</f>
        <v>#N/A</v>
      </c>
      <c r="F201" s="12"/>
      <c r="G201" s="12"/>
      <c r="H201" s="51"/>
      <c r="I201" s="51"/>
    </row>
    <row r="202" ht="15.75" customHeight="1">
      <c r="A202" s="12"/>
      <c r="B202" s="12"/>
      <c r="C202" s="12"/>
      <c r="D202" s="12"/>
      <c r="E202" s="7" t="str">
        <f>+VLOOKUP(D202,ARTICULO!$A$2:$B$1048576,2,FALSE)</f>
        <v>#N/A</v>
      </c>
      <c r="F202" s="12"/>
      <c r="G202" s="12"/>
      <c r="H202" s="51"/>
      <c r="I202" s="51"/>
    </row>
    <row r="203" ht="15.75" customHeight="1">
      <c r="A203" s="12"/>
      <c r="B203" s="12"/>
      <c r="C203" s="12"/>
      <c r="D203" s="12"/>
      <c r="E203" s="7" t="str">
        <f>+VLOOKUP(D203,ARTICULO!$A$2:$B$1048576,2,FALSE)</f>
        <v>#N/A</v>
      </c>
      <c r="F203" s="12"/>
      <c r="G203" s="12"/>
      <c r="H203" s="51"/>
      <c r="I203" s="51"/>
    </row>
    <row r="204" ht="15.75" customHeight="1">
      <c r="A204" s="12"/>
      <c r="B204" s="12"/>
      <c r="C204" s="12"/>
      <c r="D204" s="12"/>
      <c r="E204" s="7" t="str">
        <f>+VLOOKUP(D204,ARTICULO!$A$2:$B$1048576,2,FALSE)</f>
        <v>#N/A</v>
      </c>
      <c r="F204" s="12"/>
      <c r="G204" s="12"/>
      <c r="H204" s="51"/>
      <c r="I204" s="51"/>
    </row>
    <row r="205" ht="15.75" customHeight="1">
      <c r="A205" s="12"/>
      <c r="B205" s="12"/>
      <c r="C205" s="12"/>
      <c r="D205" s="12"/>
      <c r="E205" s="7" t="str">
        <f>+VLOOKUP(D205,ARTICULO!$A$2:$B$1048576,2,FALSE)</f>
        <v>#N/A</v>
      </c>
      <c r="F205" s="12"/>
      <c r="G205" s="12"/>
      <c r="H205" s="51"/>
      <c r="I205" s="51"/>
    </row>
    <row r="206" ht="15.75" customHeight="1">
      <c r="A206" s="12"/>
      <c r="B206" s="12"/>
      <c r="C206" s="12"/>
      <c r="D206" s="12"/>
      <c r="E206" s="7" t="str">
        <f>+VLOOKUP(D206,ARTICULO!$A$2:$B$1048576,2,FALSE)</f>
        <v>#N/A</v>
      </c>
      <c r="F206" s="12"/>
      <c r="G206" s="12"/>
      <c r="H206" s="51"/>
      <c r="I206" s="51"/>
    </row>
    <row r="207" ht="15.75" customHeight="1">
      <c r="A207" s="12"/>
      <c r="B207" s="12"/>
      <c r="C207" s="12"/>
      <c r="D207" s="12"/>
      <c r="E207" s="7" t="str">
        <f>+VLOOKUP(D207,ARTICULO!$A$2:$B$1048576,2,FALSE)</f>
        <v>#N/A</v>
      </c>
      <c r="F207" s="12"/>
      <c r="G207" s="12"/>
      <c r="H207" s="51"/>
      <c r="I207" s="51"/>
    </row>
    <row r="208" ht="15.75" customHeight="1">
      <c r="A208" s="12"/>
      <c r="B208" s="12"/>
      <c r="C208" s="12"/>
      <c r="D208" s="12"/>
      <c r="E208" s="7" t="str">
        <f>+VLOOKUP(D208,ARTICULO!$A$2:$B$1048576,2,FALSE)</f>
        <v>#N/A</v>
      </c>
      <c r="F208" s="12"/>
      <c r="G208" s="12"/>
      <c r="H208" s="51"/>
      <c r="I208" s="51"/>
    </row>
    <row r="209" ht="15.75" customHeight="1">
      <c r="A209" s="12"/>
      <c r="B209" s="12"/>
      <c r="C209" s="12"/>
      <c r="D209" s="12"/>
      <c r="E209" s="7" t="str">
        <f>+VLOOKUP(D209,ARTICULO!$A$2:$B$1048576,2,FALSE)</f>
        <v>#N/A</v>
      </c>
      <c r="F209" s="12"/>
      <c r="G209" s="12"/>
      <c r="H209" s="51"/>
      <c r="I209" s="51"/>
    </row>
    <row r="210" ht="15.75" customHeight="1">
      <c r="A210" s="12"/>
      <c r="B210" s="12"/>
      <c r="C210" s="12"/>
      <c r="D210" s="12"/>
      <c r="E210" s="7" t="str">
        <f>+VLOOKUP(D210,ARTICULO!$A$2:$B$1048576,2,FALSE)</f>
        <v>#N/A</v>
      </c>
      <c r="F210" s="12"/>
      <c r="G210" s="12"/>
      <c r="H210" s="51"/>
      <c r="I210" s="51"/>
    </row>
    <row r="211" ht="15.75" customHeight="1">
      <c r="A211" s="12"/>
      <c r="B211" s="12"/>
      <c r="C211" s="12"/>
      <c r="D211" s="12"/>
      <c r="E211" s="7" t="str">
        <f>+VLOOKUP(D211,ARTICULO!$A$2:$B$1048576,2,FALSE)</f>
        <v>#N/A</v>
      </c>
      <c r="F211" s="12"/>
      <c r="G211" s="12"/>
      <c r="H211" s="51"/>
      <c r="I211" s="51"/>
    </row>
    <row r="212" ht="15.75" customHeight="1">
      <c r="A212" s="12"/>
      <c r="B212" s="12"/>
      <c r="C212" s="12"/>
      <c r="D212" s="12"/>
      <c r="E212" s="7" t="str">
        <f>+VLOOKUP(D212,ARTICULO!$A$2:$B$1048576,2,FALSE)</f>
        <v>#N/A</v>
      </c>
      <c r="F212" s="12"/>
      <c r="G212" s="12"/>
      <c r="H212" s="51"/>
      <c r="I212" s="51"/>
    </row>
    <row r="213" ht="15.75" customHeight="1">
      <c r="A213" s="12"/>
      <c r="B213" s="12"/>
      <c r="C213" s="12"/>
      <c r="D213" s="12"/>
      <c r="E213" s="7" t="str">
        <f>+VLOOKUP(D213,ARTICULO!$A$2:$B$1048576,2,FALSE)</f>
        <v>#N/A</v>
      </c>
      <c r="F213" s="12"/>
      <c r="G213" s="12"/>
      <c r="H213" s="51"/>
      <c r="I213" s="51"/>
    </row>
    <row r="214" ht="15.75" customHeight="1">
      <c r="A214" s="12"/>
      <c r="B214" s="12"/>
      <c r="C214" s="12"/>
      <c r="D214" s="12"/>
      <c r="E214" s="7" t="str">
        <f>+VLOOKUP(D214,ARTICULO!$A$2:$B$1048576,2,FALSE)</f>
        <v>#N/A</v>
      </c>
      <c r="F214" s="12"/>
      <c r="G214" s="12"/>
      <c r="H214" s="51"/>
      <c r="I214" s="51"/>
    </row>
    <row r="215" ht="15.75" customHeight="1">
      <c r="A215" s="12"/>
      <c r="B215" s="12"/>
      <c r="C215" s="12"/>
      <c r="D215" s="12"/>
      <c r="E215" s="7" t="str">
        <f>+VLOOKUP(D215,ARTICULO!$A$2:$B$1048576,2,FALSE)</f>
        <v>#N/A</v>
      </c>
      <c r="F215" s="12"/>
      <c r="G215" s="12"/>
      <c r="H215" s="51"/>
      <c r="I215" s="51"/>
    </row>
    <row r="216" ht="15.75" customHeight="1">
      <c r="A216" s="12"/>
      <c r="B216" s="12"/>
      <c r="C216" s="12"/>
      <c r="D216" s="12"/>
      <c r="E216" s="7" t="str">
        <f>+VLOOKUP(D216,ARTICULO!$A$2:$B$1048576,2,FALSE)</f>
        <v>#N/A</v>
      </c>
      <c r="F216" s="12"/>
      <c r="G216" s="12"/>
      <c r="H216" s="51"/>
      <c r="I216" s="51"/>
    </row>
    <row r="217" ht="15.75" customHeight="1">
      <c r="A217" s="12"/>
      <c r="B217" s="12"/>
      <c r="C217" s="12"/>
      <c r="D217" s="12"/>
      <c r="E217" s="7" t="str">
        <f>+VLOOKUP(D217,ARTICULO!$A$2:$B$1048576,2,FALSE)</f>
        <v>#N/A</v>
      </c>
      <c r="F217" s="12"/>
      <c r="G217" s="12"/>
      <c r="H217" s="51"/>
      <c r="I217" s="51"/>
    </row>
    <row r="218" ht="15.75" customHeight="1">
      <c r="A218" s="12"/>
      <c r="B218" s="12"/>
      <c r="C218" s="12"/>
      <c r="D218" s="12"/>
      <c r="E218" s="7" t="str">
        <f>+VLOOKUP(D218,ARTICULO!$A$2:$B$1048576,2,FALSE)</f>
        <v>#N/A</v>
      </c>
      <c r="F218" s="12"/>
      <c r="G218" s="12"/>
      <c r="H218" s="51"/>
      <c r="I218" s="51"/>
    </row>
    <row r="219" ht="15.75" customHeight="1">
      <c r="A219" s="12"/>
      <c r="B219" s="12"/>
      <c r="C219" s="12"/>
      <c r="D219" s="12"/>
      <c r="E219" s="7" t="str">
        <f>+VLOOKUP(D219,ARTICULO!$A$2:$B$1048576,2,FALSE)</f>
        <v>#N/A</v>
      </c>
      <c r="F219" s="12"/>
      <c r="G219" s="12"/>
      <c r="H219" s="51"/>
      <c r="I219" s="51"/>
    </row>
    <row r="220" ht="15.75" customHeight="1">
      <c r="A220" s="12"/>
      <c r="B220" s="12"/>
      <c r="C220" s="12"/>
      <c r="D220" s="12"/>
      <c r="E220" s="7" t="str">
        <f>+VLOOKUP(D220,ARTICULO!$A$2:$B$1048576,2,FALSE)</f>
        <v>#N/A</v>
      </c>
      <c r="F220" s="12"/>
      <c r="G220" s="12"/>
      <c r="H220" s="51"/>
      <c r="I220" s="51"/>
    </row>
    <row r="221" ht="15.75" customHeight="1">
      <c r="A221" s="12"/>
      <c r="B221" s="12"/>
      <c r="C221" s="12"/>
      <c r="D221" s="12"/>
      <c r="E221" s="7" t="str">
        <f>+VLOOKUP(D221,ARTICULO!$A$2:$B$1048576,2,FALSE)</f>
        <v>#N/A</v>
      </c>
      <c r="F221" s="12"/>
      <c r="G221" s="12"/>
      <c r="H221" s="51"/>
      <c r="I221" s="51"/>
    </row>
    <row r="222" ht="15.75" customHeight="1">
      <c r="A222" s="12"/>
      <c r="B222" s="12"/>
      <c r="C222" s="12"/>
      <c r="D222" s="12"/>
      <c r="E222" s="7" t="str">
        <f>+VLOOKUP(D222,ARTICULO!$A$2:$B$1048576,2,FALSE)</f>
        <v>#N/A</v>
      </c>
      <c r="F222" s="12"/>
      <c r="G222" s="12"/>
      <c r="H222" s="51"/>
      <c r="I222" s="51"/>
    </row>
    <row r="223" ht="15.75" customHeight="1">
      <c r="A223" s="12"/>
      <c r="B223" s="12"/>
      <c r="C223" s="12"/>
      <c r="D223" s="12"/>
      <c r="E223" s="7" t="str">
        <f>+VLOOKUP(D223,ARTICULO!$A$2:$B$1048576,2,FALSE)</f>
        <v>#N/A</v>
      </c>
      <c r="F223" s="12"/>
      <c r="G223" s="12"/>
      <c r="H223" s="51"/>
      <c r="I223" s="51"/>
    </row>
    <row r="224" ht="15.75" customHeight="1">
      <c r="A224" s="12"/>
      <c r="B224" s="12"/>
      <c r="C224" s="12"/>
      <c r="D224" s="12"/>
      <c r="E224" s="7" t="str">
        <f>+VLOOKUP(D224,ARTICULO!$A$2:$B$1048576,2,FALSE)</f>
        <v>#N/A</v>
      </c>
      <c r="F224" s="12"/>
      <c r="G224" s="12"/>
      <c r="H224" s="51"/>
      <c r="I224" s="51"/>
    </row>
    <row r="225" ht="15.75" customHeight="1">
      <c r="A225" s="12"/>
      <c r="B225" s="12"/>
      <c r="C225" s="12"/>
      <c r="D225" s="12"/>
      <c r="E225" s="7" t="str">
        <f>+VLOOKUP(D225,ARTICULO!$A$2:$B$1048576,2,FALSE)</f>
        <v>#N/A</v>
      </c>
      <c r="F225" s="12"/>
      <c r="G225" s="12"/>
      <c r="H225" s="51"/>
      <c r="I225" s="51"/>
    </row>
    <row r="226" ht="15.75" customHeight="1">
      <c r="A226" s="12"/>
      <c r="B226" s="12"/>
      <c r="C226" s="12"/>
      <c r="D226" s="12"/>
      <c r="E226" s="7" t="str">
        <f>+VLOOKUP(D226,ARTICULO!$A$2:$B$1048576,2,FALSE)</f>
        <v>#N/A</v>
      </c>
      <c r="F226" s="12"/>
      <c r="G226" s="12"/>
      <c r="H226" s="51"/>
      <c r="I226" s="51"/>
    </row>
    <row r="227" ht="15.75" customHeight="1">
      <c r="A227" s="12"/>
      <c r="B227" s="12"/>
      <c r="C227" s="12"/>
      <c r="D227" s="12"/>
      <c r="E227" s="7" t="str">
        <f>+VLOOKUP(D227,ARTICULO!$A$2:$B$1048576,2,FALSE)</f>
        <v>#N/A</v>
      </c>
      <c r="F227" s="12"/>
      <c r="G227" s="12"/>
      <c r="H227" s="51"/>
      <c r="I227" s="51"/>
    </row>
    <row r="228" ht="15.75" customHeight="1">
      <c r="A228" s="12"/>
      <c r="B228" s="12"/>
      <c r="C228" s="12"/>
      <c r="D228" s="12"/>
      <c r="E228" s="7" t="str">
        <f>+VLOOKUP(D228,ARTICULO!$A$2:$B$1048576,2,FALSE)</f>
        <v>#N/A</v>
      </c>
      <c r="F228" s="12"/>
      <c r="G228" s="12"/>
      <c r="H228" s="51"/>
      <c r="I228" s="51"/>
    </row>
    <row r="229" ht="15.75" customHeight="1">
      <c r="A229" s="12"/>
      <c r="B229" s="12"/>
      <c r="C229" s="12"/>
      <c r="D229" s="12"/>
      <c r="E229" s="7" t="str">
        <f>+VLOOKUP(D229,ARTICULO!$A$2:$B$1048576,2,FALSE)</f>
        <v>#N/A</v>
      </c>
      <c r="F229" s="12"/>
      <c r="G229" s="12"/>
      <c r="H229" s="51"/>
      <c r="I229" s="51"/>
    </row>
    <row r="230" ht="15.75" customHeight="1">
      <c r="A230" s="12"/>
      <c r="B230" s="12"/>
      <c r="C230" s="12"/>
      <c r="D230" s="12"/>
      <c r="E230" s="7" t="str">
        <f>+VLOOKUP(D230,ARTICULO!$A$2:$B$1048576,2,FALSE)</f>
        <v>#N/A</v>
      </c>
      <c r="F230" s="12"/>
      <c r="G230" s="12"/>
      <c r="H230" s="51"/>
      <c r="I230" s="51"/>
    </row>
    <row r="231" ht="15.75" customHeight="1">
      <c r="A231" s="12"/>
      <c r="B231" s="12"/>
      <c r="C231" s="12"/>
      <c r="D231" s="12"/>
      <c r="E231" s="7" t="str">
        <f>+VLOOKUP(D231,ARTICULO!$A$2:$B$1048576,2,FALSE)</f>
        <v>#N/A</v>
      </c>
      <c r="F231" s="12"/>
      <c r="G231" s="12"/>
      <c r="H231" s="51"/>
      <c r="I231" s="51"/>
    </row>
    <row r="232" ht="15.75" customHeight="1">
      <c r="A232" s="12"/>
      <c r="B232" s="12"/>
      <c r="C232" s="12"/>
      <c r="D232" s="12"/>
      <c r="E232" s="7" t="str">
        <f>+VLOOKUP(D232,ARTICULO!$A$2:$B$1048576,2,FALSE)</f>
        <v>#N/A</v>
      </c>
      <c r="F232" s="12"/>
      <c r="G232" s="12"/>
      <c r="H232" s="51"/>
      <c r="I232" s="51"/>
    </row>
    <row r="233" ht="15.75" customHeight="1">
      <c r="A233" s="12"/>
      <c r="B233" s="12"/>
      <c r="C233" s="12"/>
      <c r="D233" s="12"/>
      <c r="E233" s="7" t="str">
        <f>+VLOOKUP(D233,ARTICULO!$A$2:$B$1048576,2,FALSE)</f>
        <v>#N/A</v>
      </c>
      <c r="F233" s="12"/>
      <c r="G233" s="12"/>
      <c r="H233" s="51"/>
      <c r="I233" s="51"/>
    </row>
    <row r="234" ht="15.75" customHeight="1">
      <c r="A234" s="12"/>
      <c r="B234" s="12"/>
      <c r="C234" s="12"/>
      <c r="D234" s="12"/>
      <c r="E234" s="7" t="str">
        <f>+VLOOKUP(D234,ARTICULO!$A$2:$B$1048576,2,FALSE)</f>
        <v>#N/A</v>
      </c>
      <c r="F234" s="12"/>
      <c r="G234" s="12"/>
      <c r="H234" s="51"/>
      <c r="I234" s="51"/>
    </row>
    <row r="235" ht="15.75" customHeight="1">
      <c r="A235" s="12"/>
      <c r="B235" s="12"/>
      <c r="C235" s="12"/>
      <c r="D235" s="12"/>
      <c r="E235" s="7" t="str">
        <f>+VLOOKUP(D235,ARTICULO!$A$2:$B$1048576,2,FALSE)</f>
        <v>#N/A</v>
      </c>
      <c r="F235" s="12"/>
      <c r="G235" s="12"/>
      <c r="H235" s="51"/>
      <c r="I235" s="51"/>
    </row>
    <row r="236" ht="15.75" customHeight="1">
      <c r="A236" s="12"/>
      <c r="B236" s="12"/>
      <c r="C236" s="12"/>
      <c r="D236" s="12"/>
      <c r="E236" s="7" t="str">
        <f>+VLOOKUP(D236,ARTICULO!$A$2:$B$1048576,2,FALSE)</f>
        <v>#N/A</v>
      </c>
      <c r="F236" s="12"/>
      <c r="G236" s="12"/>
      <c r="H236" s="51"/>
      <c r="I236" s="51"/>
    </row>
    <row r="237" ht="15.75" customHeight="1">
      <c r="A237" s="12"/>
      <c r="B237" s="12"/>
      <c r="C237" s="12"/>
      <c r="D237" s="12"/>
      <c r="E237" s="7" t="str">
        <f>+VLOOKUP(D237,ARTICULO!$A$2:$B$1048576,2,FALSE)</f>
        <v>#N/A</v>
      </c>
      <c r="F237" s="12"/>
      <c r="G237" s="12"/>
      <c r="H237" s="51"/>
      <c r="I237" s="51"/>
    </row>
    <row r="238" ht="15.75" customHeight="1">
      <c r="A238" s="12"/>
      <c r="B238" s="12"/>
      <c r="C238" s="12"/>
      <c r="D238" s="12"/>
      <c r="E238" s="7" t="str">
        <f>+VLOOKUP(D238,ARTICULO!$A$2:$B$1048576,2,FALSE)</f>
        <v>#N/A</v>
      </c>
      <c r="F238" s="12"/>
      <c r="G238" s="12"/>
      <c r="H238" s="51"/>
      <c r="I238" s="51"/>
    </row>
    <row r="239" ht="15.75" customHeight="1">
      <c r="A239" s="12"/>
      <c r="B239" s="12"/>
      <c r="C239" s="12"/>
      <c r="D239" s="12"/>
      <c r="E239" s="7" t="str">
        <f>+VLOOKUP(D239,ARTICULO!$A$2:$B$1048576,2,FALSE)</f>
        <v>#N/A</v>
      </c>
      <c r="F239" s="12"/>
      <c r="G239" s="12"/>
      <c r="H239" s="51"/>
      <c r="I239" s="51"/>
    </row>
    <row r="240" ht="15.75" customHeight="1">
      <c r="A240" s="12"/>
      <c r="B240" s="12"/>
      <c r="C240" s="12"/>
      <c r="D240" s="12"/>
      <c r="E240" s="7" t="str">
        <f>+VLOOKUP(D240,ARTICULO!$A$2:$B$1048576,2,FALSE)</f>
        <v>#N/A</v>
      </c>
      <c r="F240" s="12"/>
      <c r="G240" s="12"/>
      <c r="H240" s="51"/>
      <c r="I240" s="51"/>
    </row>
    <row r="241" ht="15.75" customHeight="1">
      <c r="A241" s="12"/>
      <c r="B241" s="12"/>
      <c r="C241" s="12"/>
      <c r="D241" s="12"/>
      <c r="E241" s="7" t="str">
        <f>+VLOOKUP(D241,ARTICULO!$A$2:$B$1048576,2,FALSE)</f>
        <v>#N/A</v>
      </c>
      <c r="F241" s="12"/>
      <c r="G241" s="12"/>
      <c r="H241" s="51"/>
      <c r="I241" s="51"/>
    </row>
    <row r="242" ht="15.75" customHeight="1">
      <c r="A242" s="12"/>
      <c r="B242" s="12"/>
      <c r="C242" s="12"/>
      <c r="D242" s="12"/>
      <c r="E242" s="7" t="str">
        <f>+VLOOKUP(D242,ARTICULO!$A$2:$B$1048576,2,FALSE)</f>
        <v>#N/A</v>
      </c>
      <c r="F242" s="12"/>
      <c r="G242" s="12"/>
      <c r="H242" s="51"/>
      <c r="I242" s="51"/>
    </row>
    <row r="243" ht="15.75" customHeight="1">
      <c r="A243" s="12"/>
      <c r="B243" s="12"/>
      <c r="C243" s="12"/>
      <c r="D243" s="12"/>
      <c r="E243" s="7" t="str">
        <f>+VLOOKUP(D243,ARTICULO!$A$2:$B$1048576,2,FALSE)</f>
        <v>#N/A</v>
      </c>
      <c r="F243" s="12"/>
      <c r="G243" s="12"/>
      <c r="H243" s="51"/>
      <c r="I243" s="51"/>
    </row>
    <row r="244" ht="15.75" customHeight="1">
      <c r="A244" s="12"/>
      <c r="B244" s="12"/>
      <c r="C244" s="12"/>
      <c r="D244" s="12"/>
      <c r="E244" s="7" t="str">
        <f>+VLOOKUP(D244,ARTICULO!$A$2:$B$1048576,2,FALSE)</f>
        <v>#N/A</v>
      </c>
      <c r="F244" s="12"/>
      <c r="G244" s="12"/>
      <c r="H244" s="51"/>
      <c r="I244" s="51"/>
    </row>
    <row r="245" ht="15.75" customHeight="1">
      <c r="A245" s="12"/>
      <c r="B245" s="12"/>
      <c r="C245" s="12"/>
      <c r="D245" s="12"/>
      <c r="E245" s="7" t="str">
        <f>+VLOOKUP(D245,ARTICULO!$A$2:$B$1048576,2,FALSE)</f>
        <v>#N/A</v>
      </c>
      <c r="F245" s="12"/>
      <c r="G245" s="12"/>
      <c r="H245" s="51"/>
      <c r="I245" s="51"/>
    </row>
    <row r="246" ht="15.75" customHeight="1">
      <c r="A246" s="12"/>
      <c r="B246" s="12"/>
      <c r="C246" s="12"/>
      <c r="D246" s="12"/>
      <c r="E246" s="7" t="str">
        <f>+VLOOKUP(D246,ARTICULO!$A$2:$B$1048576,2,FALSE)</f>
        <v>#N/A</v>
      </c>
      <c r="F246" s="12"/>
      <c r="G246" s="12"/>
      <c r="H246" s="51"/>
      <c r="I246" s="51"/>
    </row>
    <row r="247" ht="15.75" customHeight="1">
      <c r="A247" s="12"/>
      <c r="B247" s="12"/>
      <c r="C247" s="12"/>
      <c r="D247" s="12"/>
      <c r="E247" s="7" t="str">
        <f>+VLOOKUP(D247,ARTICULO!$A$2:$B$1048576,2,FALSE)</f>
        <v>#N/A</v>
      </c>
      <c r="F247" s="12"/>
      <c r="G247" s="12"/>
      <c r="H247" s="51"/>
      <c r="I247" s="51"/>
    </row>
    <row r="248" ht="15.75" customHeight="1">
      <c r="A248" s="12"/>
      <c r="B248" s="12"/>
      <c r="C248" s="12"/>
      <c r="D248" s="12"/>
      <c r="E248" s="7" t="str">
        <f>+VLOOKUP(D248,ARTICULO!$A$2:$B$1048576,2,FALSE)</f>
        <v>#N/A</v>
      </c>
      <c r="F248" s="12"/>
      <c r="G248" s="12"/>
      <c r="H248" s="51"/>
      <c r="I248" s="51"/>
    </row>
    <row r="249" ht="15.75" customHeight="1">
      <c r="A249" s="12"/>
      <c r="B249" s="12"/>
      <c r="C249" s="12"/>
      <c r="D249" s="12"/>
      <c r="E249" s="7" t="str">
        <f>+VLOOKUP(D249,ARTICULO!$A$2:$B$1048576,2,FALSE)</f>
        <v>#N/A</v>
      </c>
      <c r="F249" s="12"/>
      <c r="G249" s="12"/>
      <c r="H249" s="51"/>
      <c r="I249" s="51"/>
    </row>
    <row r="250" ht="15.75" customHeight="1">
      <c r="A250" s="12"/>
      <c r="B250" s="12"/>
      <c r="C250" s="12"/>
      <c r="D250" s="12"/>
      <c r="E250" s="7" t="str">
        <f>+VLOOKUP(D250,ARTICULO!$A$2:$B$1048576,2,FALSE)</f>
        <v>#N/A</v>
      </c>
      <c r="F250" s="12"/>
      <c r="G250" s="12"/>
      <c r="H250" s="51"/>
      <c r="I250" s="51"/>
    </row>
    <row r="251" ht="15.75" customHeight="1">
      <c r="A251" s="12"/>
      <c r="B251" s="12"/>
      <c r="C251" s="12"/>
      <c r="D251" s="12"/>
      <c r="E251" s="7" t="str">
        <f>+VLOOKUP(D251,ARTICULO!$A$2:$B$1048576,2,FALSE)</f>
        <v>#N/A</v>
      </c>
      <c r="F251" s="12"/>
      <c r="G251" s="12"/>
      <c r="H251" s="51"/>
      <c r="I251" s="51"/>
    </row>
    <row r="252" ht="15.75" customHeight="1">
      <c r="A252" s="12"/>
      <c r="B252" s="12"/>
      <c r="C252" s="12"/>
      <c r="D252" s="12"/>
      <c r="E252" s="7" t="str">
        <f>+VLOOKUP(D252,ARTICULO!$A$2:$B$1048576,2,FALSE)</f>
        <v>#N/A</v>
      </c>
      <c r="F252" s="12"/>
      <c r="G252" s="12"/>
      <c r="H252" s="51"/>
      <c r="I252" s="51"/>
    </row>
    <row r="253" ht="15.75" customHeight="1">
      <c r="A253" s="12"/>
      <c r="B253" s="12"/>
      <c r="C253" s="12"/>
      <c r="D253" s="12"/>
      <c r="E253" s="7" t="str">
        <f>+VLOOKUP(D253,ARTICULO!$A$2:$B$1048576,2,FALSE)</f>
        <v>#N/A</v>
      </c>
      <c r="F253" s="12"/>
      <c r="G253" s="12"/>
      <c r="H253" s="51"/>
      <c r="I253" s="51"/>
    </row>
    <row r="254" ht="15.75" customHeight="1">
      <c r="A254" s="12"/>
      <c r="B254" s="12"/>
      <c r="C254" s="12"/>
      <c r="D254" s="12"/>
      <c r="E254" s="7" t="str">
        <f>+VLOOKUP(D254,ARTICULO!$A$2:$B$1048576,2,FALSE)</f>
        <v>#N/A</v>
      </c>
      <c r="F254" s="12"/>
      <c r="G254" s="12"/>
      <c r="H254" s="51"/>
      <c r="I254" s="51"/>
    </row>
    <row r="255" ht="15.75" customHeight="1">
      <c r="A255" s="12"/>
      <c r="B255" s="12"/>
      <c r="C255" s="12"/>
      <c r="D255" s="12"/>
      <c r="E255" s="7" t="str">
        <f>+VLOOKUP(D255,ARTICULO!$A$2:$B$1048576,2,FALSE)</f>
        <v>#N/A</v>
      </c>
      <c r="F255" s="12"/>
      <c r="G255" s="12"/>
      <c r="H255" s="51"/>
      <c r="I255" s="51"/>
    </row>
    <row r="256" ht="15.75" customHeight="1">
      <c r="A256" s="12"/>
      <c r="B256" s="12"/>
      <c r="C256" s="12"/>
      <c r="D256" s="12"/>
      <c r="E256" s="7" t="str">
        <f>+VLOOKUP(D256,ARTICULO!$A$2:$B$1048576,2,FALSE)</f>
        <v>#N/A</v>
      </c>
      <c r="F256" s="12"/>
      <c r="G256" s="12"/>
      <c r="H256" s="51"/>
      <c r="I256" s="51"/>
    </row>
    <row r="257" ht="15.75" customHeight="1">
      <c r="A257" s="12"/>
      <c r="B257" s="12"/>
      <c r="C257" s="12"/>
      <c r="D257" s="12"/>
      <c r="E257" s="7" t="str">
        <f>+VLOOKUP(D257,ARTICULO!$A$2:$B$1048576,2,FALSE)</f>
        <v>#N/A</v>
      </c>
      <c r="F257" s="12"/>
      <c r="G257" s="12"/>
      <c r="H257" s="51"/>
      <c r="I257" s="51"/>
    </row>
    <row r="258" ht="15.75" customHeight="1">
      <c r="A258" s="12"/>
      <c r="B258" s="12"/>
      <c r="C258" s="12"/>
      <c r="D258" s="12"/>
      <c r="E258" s="7" t="str">
        <f>+VLOOKUP(D258,ARTICULO!$A$2:$B$1048576,2,FALSE)</f>
        <v>#N/A</v>
      </c>
      <c r="F258" s="12"/>
      <c r="G258" s="12"/>
      <c r="H258" s="51"/>
      <c r="I258" s="51"/>
    </row>
    <row r="259" ht="15.75" customHeight="1">
      <c r="A259" s="12"/>
      <c r="B259" s="12"/>
      <c r="C259" s="12"/>
      <c r="D259" s="12"/>
      <c r="E259" s="7" t="str">
        <f>+VLOOKUP(D259,ARTICULO!$A$2:$B$1048576,2,FALSE)</f>
        <v>#N/A</v>
      </c>
      <c r="F259" s="12"/>
      <c r="G259" s="12"/>
      <c r="H259" s="51"/>
      <c r="I259" s="51"/>
    </row>
    <row r="260" ht="15.75" customHeight="1">
      <c r="A260" s="12"/>
      <c r="B260" s="12"/>
      <c r="C260" s="12"/>
      <c r="D260" s="12"/>
      <c r="E260" s="7" t="str">
        <f>+VLOOKUP(D260,ARTICULO!$A$2:$B$1048576,2,FALSE)</f>
        <v>#N/A</v>
      </c>
      <c r="F260" s="12"/>
      <c r="G260" s="12"/>
      <c r="H260" s="51"/>
      <c r="I260" s="51"/>
    </row>
    <row r="261" ht="15.75" customHeight="1">
      <c r="A261" s="12"/>
      <c r="B261" s="12"/>
      <c r="C261" s="12"/>
      <c r="D261" s="12"/>
      <c r="E261" s="7" t="str">
        <f>+VLOOKUP(D261,ARTICULO!$A$2:$B$1048576,2,FALSE)</f>
        <v>#N/A</v>
      </c>
      <c r="F261" s="12"/>
      <c r="G261" s="12"/>
      <c r="H261" s="51"/>
      <c r="I261" s="51"/>
    </row>
    <row r="262" ht="15.75" customHeight="1">
      <c r="A262" s="12"/>
      <c r="B262" s="12"/>
      <c r="C262" s="12"/>
      <c r="D262" s="12"/>
      <c r="E262" s="7" t="str">
        <f>+VLOOKUP(D262,ARTICULO!$A$2:$B$1048576,2,FALSE)</f>
        <v>#N/A</v>
      </c>
      <c r="F262" s="12"/>
      <c r="G262" s="12"/>
      <c r="H262" s="51"/>
      <c r="I262" s="51"/>
    </row>
    <row r="263" ht="15.75" customHeight="1">
      <c r="A263" s="12"/>
      <c r="B263" s="12"/>
      <c r="C263" s="12"/>
      <c r="D263" s="12"/>
      <c r="E263" s="7" t="str">
        <f>+VLOOKUP(D263,ARTICULO!$A$2:$B$1048576,2,FALSE)</f>
        <v>#N/A</v>
      </c>
      <c r="F263" s="12"/>
      <c r="G263" s="12"/>
      <c r="H263" s="51"/>
      <c r="I263" s="51"/>
    </row>
    <row r="264" ht="15.75" customHeight="1">
      <c r="A264" s="12"/>
      <c r="B264" s="12"/>
      <c r="C264" s="12"/>
      <c r="D264" s="12"/>
      <c r="E264" s="7" t="str">
        <f>+VLOOKUP(D264,ARTICULO!$A$2:$B$1048576,2,FALSE)</f>
        <v>#N/A</v>
      </c>
      <c r="F264" s="12"/>
      <c r="G264" s="12"/>
      <c r="H264" s="51"/>
      <c r="I264" s="51"/>
    </row>
    <row r="265" ht="15.75" customHeight="1">
      <c r="A265" s="12"/>
      <c r="B265" s="12"/>
      <c r="C265" s="12"/>
      <c r="D265" s="12"/>
      <c r="E265" s="7" t="str">
        <f>+VLOOKUP(D265,ARTICULO!$A$2:$B$1048576,2,FALSE)</f>
        <v>#N/A</v>
      </c>
      <c r="F265" s="12"/>
      <c r="G265" s="12"/>
      <c r="H265" s="51"/>
      <c r="I265" s="51"/>
    </row>
    <row r="266" ht="15.75" customHeight="1">
      <c r="A266" s="12"/>
      <c r="B266" s="12"/>
      <c r="C266" s="12"/>
      <c r="D266" s="12"/>
      <c r="E266" s="7" t="str">
        <f>+VLOOKUP(D266,ARTICULO!$A$2:$B$1048576,2,FALSE)</f>
        <v>#N/A</v>
      </c>
      <c r="F266" s="12"/>
      <c r="G266" s="12"/>
      <c r="H266" s="51"/>
      <c r="I266" s="51"/>
    </row>
    <row r="267" ht="15.75" customHeight="1">
      <c r="A267" s="12"/>
      <c r="B267" s="12"/>
      <c r="C267" s="12"/>
      <c r="D267" s="12"/>
      <c r="E267" s="7" t="str">
        <f>+VLOOKUP(D267,ARTICULO!$A$2:$B$1048576,2,FALSE)</f>
        <v>#N/A</v>
      </c>
      <c r="F267" s="12"/>
      <c r="G267" s="12"/>
      <c r="H267" s="51"/>
      <c r="I267" s="51"/>
    </row>
    <row r="268" ht="15.75" customHeight="1">
      <c r="A268" s="12"/>
      <c r="B268" s="12"/>
      <c r="C268" s="12"/>
      <c r="D268" s="12"/>
      <c r="E268" s="7" t="str">
        <f>+VLOOKUP(D268,ARTICULO!$A$2:$B$1048576,2,FALSE)</f>
        <v>#N/A</v>
      </c>
      <c r="F268" s="12"/>
      <c r="G268" s="12"/>
      <c r="H268" s="51"/>
      <c r="I268" s="51"/>
    </row>
    <row r="269" ht="15.75" customHeight="1">
      <c r="A269" s="12"/>
      <c r="B269" s="12"/>
      <c r="C269" s="12"/>
      <c r="D269" s="12"/>
      <c r="E269" s="7" t="str">
        <f>+VLOOKUP(D269,ARTICULO!$A$2:$B$1048576,2,FALSE)</f>
        <v>#N/A</v>
      </c>
      <c r="F269" s="12"/>
      <c r="G269" s="12"/>
      <c r="H269" s="51"/>
      <c r="I269" s="51"/>
    </row>
    <row r="270" ht="15.75" customHeight="1">
      <c r="A270" s="12"/>
      <c r="B270" s="12"/>
      <c r="C270" s="12"/>
      <c r="D270" s="12"/>
      <c r="E270" s="7" t="str">
        <f>+VLOOKUP(D270,ARTICULO!$A$2:$B$1048576,2,FALSE)</f>
        <v>#N/A</v>
      </c>
      <c r="F270" s="12"/>
      <c r="G270" s="12"/>
      <c r="H270" s="51"/>
      <c r="I270" s="51"/>
    </row>
    <row r="271" ht="15.75" customHeight="1">
      <c r="H271" s="65" t="s">
        <v>9</v>
      </c>
      <c r="I271" s="66">
        <f>SUM(I3:I270)</f>
        <v>6837919</v>
      </c>
    </row>
    <row r="272" ht="15.75" customHeight="1">
      <c r="E272" s="95" t="s">
        <v>328</v>
      </c>
      <c r="F272" s="3"/>
    </row>
    <row r="273" ht="15.75" customHeight="1">
      <c r="E273" s="96" t="s">
        <v>285</v>
      </c>
      <c r="F273" s="97" t="s">
        <v>329</v>
      </c>
    </row>
    <row r="274" ht="15.75" customHeight="1">
      <c r="E274" s="96" t="s">
        <v>286</v>
      </c>
      <c r="F274" s="97" t="s">
        <v>330</v>
      </c>
    </row>
    <row r="275" ht="15.75" customHeight="1">
      <c r="E275" s="96" t="s">
        <v>92</v>
      </c>
      <c r="F275" s="97" t="s">
        <v>331</v>
      </c>
    </row>
    <row r="276" ht="15.75" customHeight="1">
      <c r="E276" s="98" t="s">
        <v>21</v>
      </c>
      <c r="F276" s="97" t="s">
        <v>332</v>
      </c>
    </row>
    <row r="277" ht="15.75" customHeight="1">
      <c r="E277" s="98" t="s">
        <v>13</v>
      </c>
      <c r="F277" s="97" t="s">
        <v>333</v>
      </c>
    </row>
    <row r="278" ht="15.75" customHeight="1">
      <c r="E278" s="96" t="s">
        <v>68</v>
      </c>
      <c r="F278" s="97" t="s">
        <v>334</v>
      </c>
    </row>
    <row r="279" ht="15.75" customHeight="1">
      <c r="E279" s="99" t="s">
        <v>314</v>
      </c>
      <c r="F279" s="97" t="s">
        <v>335</v>
      </c>
    </row>
    <row r="280" ht="15.75" customHeight="1">
      <c r="E280" s="100" t="s">
        <v>9</v>
      </c>
      <c r="F280" s="101" t="s">
        <v>336</v>
      </c>
    </row>
    <row r="281" ht="15.75" customHeight="1">
      <c r="E281" s="102"/>
      <c r="F281" s="102"/>
    </row>
    <row r="282" ht="15.75" customHeight="1">
      <c r="E282" s="102"/>
      <c r="F282" s="102"/>
    </row>
    <row r="283" ht="15.75" customHeight="1">
      <c r="E283" s="103" t="s">
        <v>70</v>
      </c>
      <c r="F283" s="104" t="s">
        <v>19</v>
      </c>
    </row>
    <row r="284" ht="15.75" customHeight="1">
      <c r="E284" s="96" t="s">
        <v>285</v>
      </c>
      <c r="F284" s="105" t="s">
        <v>337</v>
      </c>
    </row>
    <row r="285" ht="15.75" customHeight="1">
      <c r="E285" s="96" t="s">
        <v>286</v>
      </c>
      <c r="F285" s="105" t="s">
        <v>338</v>
      </c>
    </row>
    <row r="286" ht="15.75" customHeight="1">
      <c r="E286" s="96" t="s">
        <v>92</v>
      </c>
      <c r="F286" s="105" t="s">
        <v>339</v>
      </c>
    </row>
    <row r="287" ht="15.75" customHeight="1">
      <c r="E287" s="98" t="s">
        <v>21</v>
      </c>
      <c r="F287" s="105" t="s">
        <v>340</v>
      </c>
      <c r="G287" s="69" t="s">
        <v>341</v>
      </c>
    </row>
    <row r="288" ht="15.75" customHeight="1">
      <c r="E288" s="98" t="s">
        <v>13</v>
      </c>
      <c r="F288" s="105" t="s">
        <v>342</v>
      </c>
    </row>
    <row r="289" ht="15.75" customHeight="1">
      <c r="E289" s="96" t="s">
        <v>68</v>
      </c>
      <c r="F289" s="106" t="s">
        <v>343</v>
      </c>
    </row>
    <row r="290" ht="15.75" customHeight="1">
      <c r="E290" s="107" t="s">
        <v>9</v>
      </c>
      <c r="F290" s="94" t="s">
        <v>344</v>
      </c>
    </row>
    <row r="291" ht="15.75" customHeight="1">
      <c r="E291" s="102"/>
      <c r="F291" s="102"/>
    </row>
    <row r="292" ht="15.75" customHeight="1">
      <c r="E292" s="103" t="s">
        <v>70</v>
      </c>
      <c r="F292" s="104" t="s">
        <v>11</v>
      </c>
    </row>
    <row r="293" ht="15.75" customHeight="1">
      <c r="E293" s="96" t="s">
        <v>285</v>
      </c>
      <c r="F293" s="105" t="s">
        <v>345</v>
      </c>
    </row>
    <row r="294" ht="15.75" customHeight="1">
      <c r="E294" s="96" t="s">
        <v>286</v>
      </c>
      <c r="F294" s="105" t="s">
        <v>346</v>
      </c>
    </row>
    <row r="295" ht="15.75" customHeight="1">
      <c r="E295" s="96" t="s">
        <v>92</v>
      </c>
      <c r="F295" s="105" t="s">
        <v>347</v>
      </c>
    </row>
    <row r="296" ht="15.75" customHeight="1">
      <c r="E296" s="98" t="s">
        <v>21</v>
      </c>
      <c r="F296" s="105" t="s">
        <v>348</v>
      </c>
    </row>
    <row r="297" ht="15.75" customHeight="1">
      <c r="E297" s="98" t="s">
        <v>13</v>
      </c>
      <c r="F297" s="105" t="s">
        <v>349</v>
      </c>
    </row>
    <row r="298" ht="15.75" customHeight="1">
      <c r="E298" s="96" t="s">
        <v>68</v>
      </c>
      <c r="F298" s="105" t="s">
        <v>350</v>
      </c>
    </row>
    <row r="299" ht="15.75" customHeight="1">
      <c r="E299" s="107" t="s">
        <v>9</v>
      </c>
      <c r="F299" s="108" t="s">
        <v>351</v>
      </c>
    </row>
    <row r="300" ht="15.75" customHeight="1">
      <c r="E300" s="102"/>
      <c r="F300" s="102"/>
    </row>
    <row r="301" ht="15.75" customHeight="1">
      <c r="E301" s="102"/>
      <c r="F301" s="102"/>
    </row>
    <row r="302" ht="15.75" customHeight="1">
      <c r="E302" s="103" t="s">
        <v>70</v>
      </c>
      <c r="F302" s="104" t="s">
        <v>15</v>
      </c>
    </row>
    <row r="303" ht="15.75" customHeight="1">
      <c r="E303" s="96" t="s">
        <v>285</v>
      </c>
      <c r="F303" s="105" t="s">
        <v>338</v>
      </c>
    </row>
    <row r="304" ht="15.75" customHeight="1">
      <c r="E304" s="96" t="s">
        <v>286</v>
      </c>
      <c r="F304" s="105" t="s">
        <v>352</v>
      </c>
    </row>
    <row r="305" ht="15.75" customHeight="1">
      <c r="E305" s="96" t="s">
        <v>92</v>
      </c>
      <c r="F305" s="105" t="s">
        <v>338</v>
      </c>
    </row>
    <row r="306" ht="15.75" customHeight="1">
      <c r="E306" s="98" t="s">
        <v>21</v>
      </c>
      <c r="F306" s="105" t="s">
        <v>353</v>
      </c>
    </row>
    <row r="307" ht="15.75" customHeight="1">
      <c r="E307" s="98" t="s">
        <v>13</v>
      </c>
      <c r="F307" s="105" t="s">
        <v>354</v>
      </c>
    </row>
    <row r="308" ht="15.75" customHeight="1">
      <c r="E308" s="96" t="s">
        <v>68</v>
      </c>
      <c r="F308" s="106" t="s">
        <v>338</v>
      </c>
    </row>
    <row r="309" ht="15.75" customHeight="1">
      <c r="E309" s="109" t="s">
        <v>9</v>
      </c>
      <c r="F309" s="108" t="s">
        <v>355</v>
      </c>
    </row>
    <row r="310" ht="15.75" customHeight="1">
      <c r="E310" s="102"/>
      <c r="F310" s="102"/>
    </row>
    <row r="311" ht="15.75" customHeight="1">
      <c r="E311" s="102"/>
      <c r="F311" s="102"/>
    </row>
    <row r="312" ht="15.75" customHeight="1">
      <c r="E312" s="103" t="s">
        <v>70</v>
      </c>
      <c r="F312" s="104" t="s">
        <v>17</v>
      </c>
    </row>
    <row r="313" ht="15.75" customHeight="1">
      <c r="E313" s="96" t="s">
        <v>285</v>
      </c>
      <c r="F313" s="105" t="s">
        <v>356</v>
      </c>
    </row>
    <row r="314" ht="15.75" customHeight="1">
      <c r="E314" s="96" t="s">
        <v>286</v>
      </c>
      <c r="F314" s="105" t="s">
        <v>357</v>
      </c>
    </row>
    <row r="315" ht="15.75" customHeight="1">
      <c r="E315" s="96" t="s">
        <v>92</v>
      </c>
      <c r="F315" s="105" t="s">
        <v>358</v>
      </c>
    </row>
    <row r="316" ht="15.75" customHeight="1">
      <c r="E316" s="98" t="s">
        <v>21</v>
      </c>
      <c r="F316" s="105" t="s">
        <v>359</v>
      </c>
    </row>
    <row r="317" ht="15.75" customHeight="1">
      <c r="E317" s="98" t="s">
        <v>13</v>
      </c>
      <c r="F317" s="105" t="s">
        <v>360</v>
      </c>
    </row>
    <row r="318" ht="15.75" customHeight="1">
      <c r="E318" s="96" t="s">
        <v>68</v>
      </c>
      <c r="F318" s="105" t="s">
        <v>338</v>
      </c>
    </row>
    <row r="319" ht="15.75" customHeight="1">
      <c r="E319" s="109" t="s">
        <v>9</v>
      </c>
      <c r="F319" s="108" t="s">
        <v>361</v>
      </c>
    </row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E272:F272"/>
  </mergeCells>
  <printOptions/>
  <pageMargins bottom="0.75" footer="0.0" header="0.0" left="0.7" right="0.7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9.43"/>
    <col customWidth="1" min="3" max="3" width="11.0"/>
    <col customWidth="1" min="4" max="4" width="9.14"/>
    <col customWidth="1" min="5" max="5" width="45.71"/>
    <col customWidth="1" min="6" max="6" width="16.14"/>
    <col customWidth="1" min="7" max="7" width="10.29"/>
    <col customWidth="1" min="8" max="8" width="11.14"/>
    <col customWidth="1" min="9" max="9" width="13.86"/>
  </cols>
  <sheetData>
    <row r="1">
      <c r="A1" s="110" t="s">
        <v>362</v>
      </c>
      <c r="B1" s="2"/>
      <c r="C1" s="2"/>
      <c r="D1" s="2"/>
      <c r="E1" s="2"/>
      <c r="F1" s="2"/>
      <c r="G1" s="2"/>
      <c r="H1" s="2"/>
      <c r="I1" s="3"/>
    </row>
    <row r="2">
      <c r="A2" s="99" t="s">
        <v>1</v>
      </c>
      <c r="B2" s="111" t="s">
        <v>2</v>
      </c>
      <c r="C2" s="111" t="s">
        <v>3</v>
      </c>
      <c r="D2" s="111" t="s">
        <v>4</v>
      </c>
      <c r="E2" s="111" t="s">
        <v>5</v>
      </c>
      <c r="F2" s="111" t="s">
        <v>363</v>
      </c>
      <c r="G2" s="111" t="s">
        <v>7</v>
      </c>
      <c r="H2" s="111" t="s">
        <v>8</v>
      </c>
      <c r="I2" s="111" t="s">
        <v>9</v>
      </c>
    </row>
    <row r="3">
      <c r="A3" s="89">
        <v>46205.0</v>
      </c>
      <c r="B3" s="90" t="s">
        <v>364</v>
      </c>
      <c r="C3" s="90" t="s">
        <v>19</v>
      </c>
      <c r="D3" s="91">
        <v>483.0</v>
      </c>
      <c r="E3" s="92" t="s">
        <v>365</v>
      </c>
      <c r="F3" s="96" t="s">
        <v>92</v>
      </c>
      <c r="G3" s="93">
        <v>30.0</v>
      </c>
      <c r="H3" s="93" t="s">
        <v>366</v>
      </c>
      <c r="I3" s="93" t="s">
        <v>367</v>
      </c>
    </row>
    <row r="4">
      <c r="A4" s="89">
        <v>46205.0</v>
      </c>
      <c r="B4" s="90" t="s">
        <v>364</v>
      </c>
      <c r="C4" s="90" t="s">
        <v>19</v>
      </c>
      <c r="D4" s="91">
        <v>722.0</v>
      </c>
      <c r="E4" s="92" t="s">
        <v>368</v>
      </c>
      <c r="F4" s="90" t="s">
        <v>21</v>
      </c>
      <c r="G4" s="93">
        <v>50.0</v>
      </c>
      <c r="H4" s="93" t="s">
        <v>369</v>
      </c>
      <c r="I4" s="93" t="s">
        <v>370</v>
      </c>
    </row>
    <row r="5">
      <c r="A5" s="89">
        <v>46205.0</v>
      </c>
      <c r="B5" s="90" t="s">
        <v>364</v>
      </c>
      <c r="C5" s="90" t="s">
        <v>19</v>
      </c>
      <c r="D5" s="91">
        <v>57.0</v>
      </c>
      <c r="E5" s="92" t="s">
        <v>371</v>
      </c>
      <c r="F5" s="90" t="s">
        <v>21</v>
      </c>
      <c r="G5" s="93">
        <v>3.0</v>
      </c>
      <c r="H5" s="93" t="s">
        <v>372</v>
      </c>
      <c r="I5" s="93" t="s">
        <v>373</v>
      </c>
    </row>
    <row r="6">
      <c r="A6" s="89">
        <v>46205.0</v>
      </c>
      <c r="B6" s="90" t="s">
        <v>59</v>
      </c>
      <c r="C6" s="90" t="s">
        <v>19</v>
      </c>
      <c r="D6" s="91">
        <v>111.0</v>
      </c>
      <c r="E6" s="92" t="s">
        <v>374</v>
      </c>
      <c r="F6" s="98" t="s">
        <v>13</v>
      </c>
      <c r="G6" s="93">
        <v>5.0</v>
      </c>
      <c r="H6" s="93" t="s">
        <v>375</v>
      </c>
      <c r="I6" s="93" t="s">
        <v>376</v>
      </c>
    </row>
    <row r="7">
      <c r="A7" s="89">
        <v>46205.0</v>
      </c>
      <c r="B7" s="90" t="s">
        <v>14</v>
      </c>
      <c r="C7" s="90" t="s">
        <v>19</v>
      </c>
      <c r="D7" s="91">
        <v>458.0</v>
      </c>
      <c r="E7" s="92" t="s">
        <v>377</v>
      </c>
      <c r="F7" s="96" t="s">
        <v>92</v>
      </c>
      <c r="G7" s="93">
        <v>20.0</v>
      </c>
      <c r="H7" s="93" t="s">
        <v>378</v>
      </c>
      <c r="I7" s="93" t="s">
        <v>379</v>
      </c>
    </row>
    <row r="8">
      <c r="A8" s="89">
        <v>46206.0</v>
      </c>
      <c r="B8" s="90" t="s">
        <v>192</v>
      </c>
      <c r="C8" s="90" t="s">
        <v>19</v>
      </c>
      <c r="D8" s="91">
        <v>232.0</v>
      </c>
      <c r="E8" s="92" t="s">
        <v>380</v>
      </c>
      <c r="F8" s="90" t="s">
        <v>285</v>
      </c>
      <c r="G8" s="93">
        <v>3.0</v>
      </c>
      <c r="H8" s="93" t="s">
        <v>381</v>
      </c>
      <c r="I8" s="93" t="s">
        <v>382</v>
      </c>
    </row>
    <row r="9">
      <c r="A9" s="89">
        <v>46207.0</v>
      </c>
      <c r="B9" s="90" t="s">
        <v>194</v>
      </c>
      <c r="C9" s="90" t="s">
        <v>19</v>
      </c>
      <c r="D9" s="91">
        <v>10.0</v>
      </c>
      <c r="E9" s="92" t="s">
        <v>383</v>
      </c>
      <c r="F9" s="98" t="s">
        <v>13</v>
      </c>
      <c r="G9" s="93">
        <v>1.0</v>
      </c>
      <c r="H9" s="93" t="s">
        <v>384</v>
      </c>
      <c r="I9" s="93" t="s">
        <v>384</v>
      </c>
    </row>
    <row r="10">
      <c r="A10" s="89">
        <v>46207.0</v>
      </c>
      <c r="B10" s="90" t="s">
        <v>194</v>
      </c>
      <c r="C10" s="90" t="s">
        <v>19</v>
      </c>
      <c r="D10" s="91">
        <v>169.0</v>
      </c>
      <c r="E10" s="92" t="s">
        <v>385</v>
      </c>
      <c r="F10" s="98" t="s">
        <v>13</v>
      </c>
      <c r="G10" s="93">
        <v>1.0</v>
      </c>
      <c r="H10" s="93" t="s">
        <v>386</v>
      </c>
      <c r="I10" s="93" t="s">
        <v>386</v>
      </c>
    </row>
    <row r="11">
      <c r="A11" s="89">
        <v>46207.0</v>
      </c>
      <c r="B11" s="90" t="s">
        <v>37</v>
      </c>
      <c r="C11" s="90" t="s">
        <v>19</v>
      </c>
      <c r="D11" s="91">
        <v>476.0</v>
      </c>
      <c r="E11" s="92" t="s">
        <v>387</v>
      </c>
      <c r="F11" s="98" t="s">
        <v>13</v>
      </c>
      <c r="G11" s="93">
        <v>3.0</v>
      </c>
      <c r="H11" s="93" t="s">
        <v>388</v>
      </c>
      <c r="I11" s="93" t="s">
        <v>389</v>
      </c>
    </row>
    <row r="12">
      <c r="A12" s="89">
        <v>46207.0</v>
      </c>
      <c r="B12" s="90" t="s">
        <v>37</v>
      </c>
      <c r="C12" s="90" t="s">
        <v>19</v>
      </c>
      <c r="D12" s="91">
        <v>477.0</v>
      </c>
      <c r="E12" s="92" t="s">
        <v>390</v>
      </c>
      <c r="F12" s="98" t="s">
        <v>13</v>
      </c>
      <c r="G12" s="93">
        <v>10.0</v>
      </c>
      <c r="H12" s="93" t="s">
        <v>388</v>
      </c>
      <c r="I12" s="93" t="s">
        <v>391</v>
      </c>
    </row>
    <row r="13">
      <c r="A13" s="89">
        <v>46209.0</v>
      </c>
      <c r="B13" s="90" t="s">
        <v>131</v>
      </c>
      <c r="C13" s="90" t="s">
        <v>11</v>
      </c>
      <c r="D13" s="91">
        <v>507.0</v>
      </c>
      <c r="E13" s="92" t="s">
        <v>392</v>
      </c>
      <c r="F13" s="96" t="s">
        <v>286</v>
      </c>
      <c r="G13" s="93">
        <v>5.0</v>
      </c>
      <c r="H13" s="93" t="s">
        <v>393</v>
      </c>
      <c r="I13" s="93" t="s">
        <v>394</v>
      </c>
    </row>
    <row r="14">
      <c r="A14" s="89">
        <v>46209.0</v>
      </c>
      <c r="B14" s="90" t="s">
        <v>175</v>
      </c>
      <c r="C14" s="90" t="s">
        <v>19</v>
      </c>
      <c r="D14" s="91">
        <v>482.0</v>
      </c>
      <c r="E14" s="92" t="s">
        <v>395</v>
      </c>
      <c r="F14" s="98" t="s">
        <v>13</v>
      </c>
      <c r="G14" s="93">
        <v>30.0</v>
      </c>
      <c r="H14" s="93" t="s">
        <v>396</v>
      </c>
      <c r="I14" s="93" t="s">
        <v>397</v>
      </c>
    </row>
    <row r="15">
      <c r="A15" s="89">
        <v>46209.0</v>
      </c>
      <c r="B15" s="90" t="s">
        <v>104</v>
      </c>
      <c r="C15" s="90" t="s">
        <v>19</v>
      </c>
      <c r="D15" s="91">
        <v>704.0</v>
      </c>
      <c r="E15" s="92" t="s">
        <v>398</v>
      </c>
      <c r="F15" s="98" t="s">
        <v>13</v>
      </c>
      <c r="G15" s="93">
        <v>5.0</v>
      </c>
      <c r="H15" s="93" t="s">
        <v>399</v>
      </c>
      <c r="I15" s="93" t="s">
        <v>400</v>
      </c>
    </row>
    <row r="16">
      <c r="A16" s="89">
        <v>46209.0</v>
      </c>
      <c r="B16" s="90" t="s">
        <v>267</v>
      </c>
      <c r="C16" s="90" t="s">
        <v>19</v>
      </c>
      <c r="D16" s="91">
        <v>330.0</v>
      </c>
      <c r="E16" s="92" t="s">
        <v>401</v>
      </c>
      <c r="F16" s="96" t="s">
        <v>92</v>
      </c>
      <c r="G16" s="93">
        <v>4.0</v>
      </c>
      <c r="H16" s="93" t="s">
        <v>402</v>
      </c>
      <c r="I16" s="93" t="s">
        <v>403</v>
      </c>
    </row>
    <row r="17">
      <c r="A17" s="89">
        <v>46210.0</v>
      </c>
      <c r="B17" s="90" t="s">
        <v>404</v>
      </c>
      <c r="C17" s="90" t="s">
        <v>11</v>
      </c>
      <c r="D17" s="91">
        <v>183.0</v>
      </c>
      <c r="E17" s="92" t="s">
        <v>405</v>
      </c>
      <c r="F17" s="96" t="s">
        <v>286</v>
      </c>
      <c r="G17" s="93">
        <v>1.0</v>
      </c>
      <c r="H17" s="93" t="s">
        <v>406</v>
      </c>
      <c r="I17" s="93" t="s">
        <v>406</v>
      </c>
    </row>
    <row r="18">
      <c r="A18" s="89">
        <v>46210.0</v>
      </c>
      <c r="B18" s="90" t="s">
        <v>407</v>
      </c>
      <c r="C18" s="90" t="s">
        <v>17</v>
      </c>
      <c r="D18" s="91">
        <v>491.0</v>
      </c>
      <c r="E18" s="92" t="s">
        <v>408</v>
      </c>
      <c r="F18" s="90" t="s">
        <v>13</v>
      </c>
      <c r="G18" s="93">
        <v>200.0</v>
      </c>
      <c r="H18" s="93" t="s">
        <v>409</v>
      </c>
      <c r="I18" s="93" t="s">
        <v>410</v>
      </c>
    </row>
    <row r="19">
      <c r="A19" s="89">
        <v>46210.0</v>
      </c>
      <c r="B19" s="90" t="s">
        <v>407</v>
      </c>
      <c r="C19" s="90" t="s">
        <v>17</v>
      </c>
      <c r="D19" s="91">
        <v>10669.0</v>
      </c>
      <c r="E19" s="92" t="s">
        <v>411</v>
      </c>
      <c r="F19" s="96" t="s">
        <v>286</v>
      </c>
      <c r="G19" s="93">
        <v>1.0</v>
      </c>
      <c r="H19" s="93" t="s">
        <v>412</v>
      </c>
      <c r="I19" s="93" t="s">
        <v>412</v>
      </c>
    </row>
    <row r="20">
      <c r="A20" s="89">
        <v>46210.0</v>
      </c>
      <c r="B20" s="90" t="s">
        <v>413</v>
      </c>
      <c r="C20" s="90" t="s">
        <v>19</v>
      </c>
      <c r="D20" s="91">
        <v>720.0</v>
      </c>
      <c r="E20" s="92" t="s">
        <v>414</v>
      </c>
      <c r="F20" s="96" t="s">
        <v>92</v>
      </c>
      <c r="G20" s="93">
        <v>10.0</v>
      </c>
      <c r="H20" s="93" t="s">
        <v>415</v>
      </c>
      <c r="I20" s="93" t="s">
        <v>416</v>
      </c>
    </row>
    <row r="21">
      <c r="A21" s="89">
        <v>46210.0</v>
      </c>
      <c r="B21" s="90" t="s">
        <v>413</v>
      </c>
      <c r="C21" s="90" t="s">
        <v>19</v>
      </c>
      <c r="D21" s="91">
        <v>723.0</v>
      </c>
      <c r="E21" s="92" t="s">
        <v>417</v>
      </c>
      <c r="F21" s="96" t="s">
        <v>92</v>
      </c>
      <c r="G21" s="93">
        <v>10.0</v>
      </c>
      <c r="H21" s="93" t="s">
        <v>418</v>
      </c>
      <c r="I21" s="93" t="s">
        <v>419</v>
      </c>
    </row>
    <row r="22">
      <c r="A22" s="89">
        <v>46210.0</v>
      </c>
      <c r="B22" s="90" t="s">
        <v>413</v>
      </c>
      <c r="C22" s="90" t="s">
        <v>19</v>
      </c>
      <c r="D22" s="91">
        <v>509.0</v>
      </c>
      <c r="E22" s="92" t="s">
        <v>420</v>
      </c>
      <c r="F22" s="96" t="s">
        <v>92</v>
      </c>
      <c r="G22" s="93">
        <v>5.0</v>
      </c>
      <c r="H22" s="93" t="s">
        <v>421</v>
      </c>
      <c r="I22" s="93" t="s">
        <v>422</v>
      </c>
    </row>
    <row r="23">
      <c r="A23" s="89">
        <v>46210.0</v>
      </c>
      <c r="B23" s="90" t="s">
        <v>413</v>
      </c>
      <c r="C23" s="90" t="s">
        <v>19</v>
      </c>
      <c r="D23" s="91">
        <v>505.0</v>
      </c>
      <c r="E23" s="92" t="s">
        <v>423</v>
      </c>
      <c r="F23" s="96" t="s">
        <v>92</v>
      </c>
      <c r="G23" s="93">
        <v>5.0</v>
      </c>
      <c r="H23" s="93" t="s">
        <v>424</v>
      </c>
      <c r="I23" s="93" t="s">
        <v>425</v>
      </c>
    </row>
    <row r="24">
      <c r="A24" s="89">
        <v>46210.0</v>
      </c>
      <c r="B24" s="90" t="s">
        <v>413</v>
      </c>
      <c r="C24" s="90" t="s">
        <v>19</v>
      </c>
      <c r="D24" s="91">
        <v>508.0</v>
      </c>
      <c r="E24" s="92" t="s">
        <v>426</v>
      </c>
      <c r="F24" s="96" t="s">
        <v>92</v>
      </c>
      <c r="G24" s="93">
        <v>5.0</v>
      </c>
      <c r="H24" s="93" t="s">
        <v>427</v>
      </c>
      <c r="I24" s="93" t="s">
        <v>428</v>
      </c>
    </row>
    <row r="25">
      <c r="A25" s="89">
        <v>46210.0</v>
      </c>
      <c r="B25" s="90" t="s">
        <v>413</v>
      </c>
      <c r="C25" s="90" t="s">
        <v>19</v>
      </c>
      <c r="D25" s="91">
        <v>470.0</v>
      </c>
      <c r="E25" s="92" t="s">
        <v>429</v>
      </c>
      <c r="F25" s="96" t="s">
        <v>92</v>
      </c>
      <c r="G25" s="93">
        <v>60.0</v>
      </c>
      <c r="H25" s="93" t="s">
        <v>430</v>
      </c>
      <c r="I25" s="93" t="s">
        <v>431</v>
      </c>
    </row>
    <row r="26">
      <c r="A26" s="89">
        <v>46210.0</v>
      </c>
      <c r="B26" s="90" t="s">
        <v>413</v>
      </c>
      <c r="C26" s="90" t="s">
        <v>19</v>
      </c>
      <c r="D26" s="91">
        <v>111.0</v>
      </c>
      <c r="E26" s="92" t="s">
        <v>374</v>
      </c>
      <c r="F26" s="96" t="s">
        <v>92</v>
      </c>
      <c r="G26" s="93">
        <v>3.0</v>
      </c>
      <c r="H26" s="93" t="s">
        <v>432</v>
      </c>
      <c r="I26" s="93" t="s">
        <v>433</v>
      </c>
    </row>
    <row r="27">
      <c r="A27" s="89">
        <v>46210.0</v>
      </c>
      <c r="B27" s="90" t="s">
        <v>413</v>
      </c>
      <c r="C27" s="90" t="s">
        <v>19</v>
      </c>
      <c r="D27" s="91">
        <v>131.0</v>
      </c>
      <c r="E27" s="92" t="s">
        <v>434</v>
      </c>
      <c r="F27" s="96" t="s">
        <v>92</v>
      </c>
      <c r="G27" s="93">
        <v>3.0</v>
      </c>
      <c r="H27" s="93" t="s">
        <v>435</v>
      </c>
      <c r="I27" s="93" t="s">
        <v>436</v>
      </c>
    </row>
    <row r="28">
      <c r="A28" s="89">
        <v>46210.0</v>
      </c>
      <c r="B28" s="90" t="s">
        <v>413</v>
      </c>
      <c r="C28" s="90" t="s">
        <v>19</v>
      </c>
      <c r="D28" s="91">
        <v>130.0</v>
      </c>
      <c r="E28" s="92" t="s">
        <v>437</v>
      </c>
      <c r="F28" s="96" t="s">
        <v>92</v>
      </c>
      <c r="G28" s="93">
        <v>2.0</v>
      </c>
      <c r="H28" s="93" t="s">
        <v>438</v>
      </c>
      <c r="I28" s="93" t="s">
        <v>439</v>
      </c>
    </row>
    <row r="29">
      <c r="A29" s="89">
        <v>46211.0</v>
      </c>
      <c r="B29" s="90" t="s">
        <v>53</v>
      </c>
      <c r="C29" s="90" t="s">
        <v>19</v>
      </c>
      <c r="D29" s="91">
        <v>453.0</v>
      </c>
      <c r="E29" s="92" t="s">
        <v>440</v>
      </c>
      <c r="F29" s="90" t="s">
        <v>13</v>
      </c>
      <c r="G29" s="93">
        <v>300.0</v>
      </c>
      <c r="H29" s="93">
        <v>517.0</v>
      </c>
      <c r="I29" s="93">
        <f t="shared" ref="I29:I107" si="1">SUM(H29*G29)</f>
        <v>155100</v>
      </c>
    </row>
    <row r="30">
      <c r="A30" s="89">
        <v>46211.0</v>
      </c>
      <c r="B30" s="90" t="s">
        <v>28</v>
      </c>
      <c r="C30" s="90" t="s">
        <v>19</v>
      </c>
      <c r="D30" s="91">
        <v>995.0</v>
      </c>
      <c r="E30" s="92" t="s">
        <v>441</v>
      </c>
      <c r="F30" s="90" t="s">
        <v>13</v>
      </c>
      <c r="G30" s="93">
        <v>20.0</v>
      </c>
      <c r="H30" s="93">
        <v>5429.0</v>
      </c>
      <c r="I30" s="93">
        <f t="shared" si="1"/>
        <v>108580</v>
      </c>
    </row>
    <row r="31">
      <c r="A31" s="89">
        <v>46211.0</v>
      </c>
      <c r="B31" s="90" t="s">
        <v>90</v>
      </c>
      <c r="C31" s="90" t="s">
        <v>19</v>
      </c>
      <c r="D31" s="91">
        <v>614.0</v>
      </c>
      <c r="E31" s="92" t="s">
        <v>442</v>
      </c>
      <c r="F31" s="90" t="s">
        <v>13</v>
      </c>
      <c r="G31" s="93">
        <v>5.0</v>
      </c>
      <c r="H31" s="93">
        <v>4812.0</v>
      </c>
      <c r="I31" s="93">
        <f t="shared" si="1"/>
        <v>24060</v>
      </c>
    </row>
    <row r="32">
      <c r="A32" s="112"/>
      <c r="B32" s="112"/>
      <c r="C32" s="112"/>
      <c r="D32" s="112"/>
      <c r="E32" s="92" t="s">
        <v>443</v>
      </c>
      <c r="F32" s="112"/>
      <c r="G32" s="113"/>
      <c r="H32" s="113"/>
      <c r="I32" s="93">
        <f t="shared" si="1"/>
        <v>0</v>
      </c>
    </row>
    <row r="33">
      <c r="A33" s="112"/>
      <c r="B33" s="112"/>
      <c r="C33" s="112"/>
      <c r="D33" s="112"/>
      <c r="E33" s="92" t="s">
        <v>443</v>
      </c>
      <c r="F33" s="112"/>
      <c r="G33" s="113"/>
      <c r="H33" s="113"/>
      <c r="I33" s="93">
        <f t="shared" si="1"/>
        <v>0</v>
      </c>
    </row>
    <row r="34">
      <c r="A34" s="112"/>
      <c r="B34" s="112"/>
      <c r="C34" s="112"/>
      <c r="D34" s="112"/>
      <c r="E34" s="92" t="s">
        <v>443</v>
      </c>
      <c r="F34" s="112"/>
      <c r="G34" s="113"/>
      <c r="H34" s="113"/>
      <c r="I34" s="93">
        <f t="shared" si="1"/>
        <v>0</v>
      </c>
    </row>
    <row r="35">
      <c r="A35" s="112"/>
      <c r="B35" s="112"/>
      <c r="C35" s="112"/>
      <c r="D35" s="112"/>
      <c r="E35" s="92" t="s">
        <v>443</v>
      </c>
      <c r="F35" s="112"/>
      <c r="G35" s="113"/>
      <c r="H35" s="113"/>
      <c r="I35" s="93">
        <f t="shared" si="1"/>
        <v>0</v>
      </c>
    </row>
    <row r="36">
      <c r="A36" s="112"/>
      <c r="B36" s="112"/>
      <c r="C36" s="112"/>
      <c r="D36" s="112"/>
      <c r="E36" s="92" t="s">
        <v>443</v>
      </c>
      <c r="F36" s="112"/>
      <c r="G36" s="113"/>
      <c r="H36" s="113"/>
      <c r="I36" s="93">
        <f t="shared" si="1"/>
        <v>0</v>
      </c>
    </row>
    <row r="37">
      <c r="A37" s="112"/>
      <c r="B37" s="112"/>
      <c r="C37" s="112"/>
      <c r="D37" s="112"/>
      <c r="E37" s="92" t="s">
        <v>443</v>
      </c>
      <c r="F37" s="112"/>
      <c r="G37" s="113"/>
      <c r="H37" s="113"/>
      <c r="I37" s="93">
        <f t="shared" si="1"/>
        <v>0</v>
      </c>
    </row>
    <row r="38">
      <c r="A38" s="112"/>
      <c r="B38" s="112"/>
      <c r="C38" s="112"/>
      <c r="D38" s="112"/>
      <c r="E38" s="92" t="s">
        <v>443</v>
      </c>
      <c r="F38" s="112"/>
      <c r="G38" s="113"/>
      <c r="H38" s="113"/>
      <c r="I38" s="93">
        <f t="shared" si="1"/>
        <v>0</v>
      </c>
    </row>
    <row r="39">
      <c r="A39" s="112"/>
      <c r="B39" s="112"/>
      <c r="C39" s="112"/>
      <c r="D39" s="112"/>
      <c r="E39" s="92" t="s">
        <v>443</v>
      </c>
      <c r="F39" s="112"/>
      <c r="G39" s="113"/>
      <c r="H39" s="113"/>
      <c r="I39" s="93">
        <f t="shared" si="1"/>
        <v>0</v>
      </c>
    </row>
    <row r="40">
      <c r="A40" s="112"/>
      <c r="B40" s="112"/>
      <c r="C40" s="112"/>
      <c r="D40" s="112"/>
      <c r="E40" s="92" t="s">
        <v>443</v>
      </c>
      <c r="F40" s="112"/>
      <c r="G40" s="113"/>
      <c r="H40" s="113"/>
      <c r="I40" s="93">
        <f t="shared" si="1"/>
        <v>0</v>
      </c>
    </row>
    <row r="41">
      <c r="A41" s="112"/>
      <c r="B41" s="112"/>
      <c r="C41" s="112"/>
      <c r="D41" s="112"/>
      <c r="E41" s="92" t="s">
        <v>443</v>
      </c>
      <c r="F41" s="112"/>
      <c r="G41" s="113"/>
      <c r="H41" s="113"/>
      <c r="I41" s="93">
        <f t="shared" si="1"/>
        <v>0</v>
      </c>
    </row>
    <row r="42">
      <c r="A42" s="112"/>
      <c r="B42" s="112"/>
      <c r="C42" s="112"/>
      <c r="D42" s="112"/>
      <c r="E42" s="92" t="s">
        <v>443</v>
      </c>
      <c r="F42" s="112"/>
      <c r="G42" s="113"/>
      <c r="H42" s="113"/>
      <c r="I42" s="93">
        <f t="shared" si="1"/>
        <v>0</v>
      </c>
    </row>
    <row r="43">
      <c r="A43" s="112"/>
      <c r="B43" s="112"/>
      <c r="C43" s="112"/>
      <c r="D43" s="112"/>
      <c r="E43" s="92" t="s">
        <v>443</v>
      </c>
      <c r="F43" s="112"/>
      <c r="G43" s="113"/>
      <c r="H43" s="113"/>
      <c r="I43" s="93">
        <f t="shared" si="1"/>
        <v>0</v>
      </c>
    </row>
    <row r="44">
      <c r="A44" s="112"/>
      <c r="B44" s="112"/>
      <c r="C44" s="112"/>
      <c r="D44" s="112"/>
      <c r="E44" s="92" t="s">
        <v>443</v>
      </c>
      <c r="F44" s="112"/>
      <c r="G44" s="113"/>
      <c r="H44" s="113"/>
      <c r="I44" s="93">
        <f t="shared" si="1"/>
        <v>0</v>
      </c>
    </row>
    <row r="45">
      <c r="A45" s="112"/>
      <c r="B45" s="112"/>
      <c r="C45" s="112"/>
      <c r="D45" s="112"/>
      <c r="E45" s="92" t="s">
        <v>443</v>
      </c>
      <c r="F45" s="112"/>
      <c r="G45" s="113"/>
      <c r="H45" s="113"/>
      <c r="I45" s="93">
        <f t="shared" si="1"/>
        <v>0</v>
      </c>
    </row>
    <row r="46">
      <c r="A46" s="112"/>
      <c r="B46" s="112"/>
      <c r="C46" s="112"/>
      <c r="D46" s="112"/>
      <c r="E46" s="92" t="s">
        <v>443</v>
      </c>
      <c r="F46" s="112"/>
      <c r="G46" s="113"/>
      <c r="H46" s="113"/>
      <c r="I46" s="93">
        <f t="shared" si="1"/>
        <v>0</v>
      </c>
    </row>
    <row r="47">
      <c r="A47" s="112"/>
      <c r="B47" s="112"/>
      <c r="C47" s="112"/>
      <c r="D47" s="112"/>
      <c r="E47" s="92" t="s">
        <v>443</v>
      </c>
      <c r="F47" s="112"/>
      <c r="G47" s="113"/>
      <c r="H47" s="113"/>
      <c r="I47" s="93">
        <f t="shared" si="1"/>
        <v>0</v>
      </c>
    </row>
    <row r="48">
      <c r="A48" s="112"/>
      <c r="B48" s="112"/>
      <c r="C48" s="112"/>
      <c r="D48" s="112"/>
      <c r="E48" s="92" t="s">
        <v>443</v>
      </c>
      <c r="F48" s="112"/>
      <c r="G48" s="113"/>
      <c r="H48" s="113"/>
      <c r="I48" s="93">
        <f t="shared" si="1"/>
        <v>0</v>
      </c>
    </row>
    <row r="49">
      <c r="A49" s="112"/>
      <c r="B49" s="112"/>
      <c r="C49" s="112"/>
      <c r="D49" s="112"/>
      <c r="E49" s="92" t="s">
        <v>443</v>
      </c>
      <c r="F49" s="112"/>
      <c r="G49" s="113"/>
      <c r="H49" s="113"/>
      <c r="I49" s="93">
        <f t="shared" si="1"/>
        <v>0</v>
      </c>
    </row>
    <row r="50">
      <c r="A50" s="112"/>
      <c r="B50" s="112"/>
      <c r="C50" s="112"/>
      <c r="D50" s="112"/>
      <c r="E50" s="92" t="s">
        <v>443</v>
      </c>
      <c r="F50" s="112"/>
      <c r="G50" s="113"/>
      <c r="H50" s="113"/>
      <c r="I50" s="93">
        <f t="shared" si="1"/>
        <v>0</v>
      </c>
    </row>
    <row r="51">
      <c r="A51" s="112"/>
      <c r="B51" s="112"/>
      <c r="C51" s="112"/>
      <c r="D51" s="112"/>
      <c r="E51" s="92" t="s">
        <v>443</v>
      </c>
      <c r="F51" s="112"/>
      <c r="G51" s="113"/>
      <c r="H51" s="113"/>
      <c r="I51" s="93">
        <f t="shared" si="1"/>
        <v>0</v>
      </c>
    </row>
    <row r="52">
      <c r="A52" s="112"/>
      <c r="B52" s="112"/>
      <c r="C52" s="112"/>
      <c r="D52" s="112"/>
      <c r="E52" s="92" t="s">
        <v>443</v>
      </c>
      <c r="F52" s="112"/>
      <c r="G52" s="113"/>
      <c r="H52" s="113"/>
      <c r="I52" s="93">
        <f t="shared" si="1"/>
        <v>0</v>
      </c>
    </row>
    <row r="53">
      <c r="A53" s="112"/>
      <c r="B53" s="112"/>
      <c r="C53" s="112"/>
      <c r="D53" s="112"/>
      <c r="E53" s="92" t="s">
        <v>443</v>
      </c>
      <c r="F53" s="112"/>
      <c r="G53" s="113"/>
      <c r="H53" s="113"/>
      <c r="I53" s="93">
        <f t="shared" si="1"/>
        <v>0</v>
      </c>
    </row>
    <row r="54">
      <c r="A54" s="112"/>
      <c r="B54" s="112"/>
      <c r="C54" s="112"/>
      <c r="D54" s="112"/>
      <c r="E54" s="92" t="s">
        <v>443</v>
      </c>
      <c r="F54" s="112"/>
      <c r="G54" s="113"/>
      <c r="H54" s="113"/>
      <c r="I54" s="93">
        <f t="shared" si="1"/>
        <v>0</v>
      </c>
    </row>
    <row r="55">
      <c r="A55" s="112"/>
      <c r="B55" s="112"/>
      <c r="C55" s="112"/>
      <c r="D55" s="112"/>
      <c r="E55" s="92" t="s">
        <v>443</v>
      </c>
      <c r="F55" s="112"/>
      <c r="G55" s="113"/>
      <c r="H55" s="113"/>
      <c r="I55" s="93">
        <f t="shared" si="1"/>
        <v>0</v>
      </c>
    </row>
    <row r="56">
      <c r="A56" s="112"/>
      <c r="B56" s="112"/>
      <c r="C56" s="112"/>
      <c r="D56" s="112"/>
      <c r="E56" s="92" t="s">
        <v>443</v>
      </c>
      <c r="F56" s="112"/>
      <c r="G56" s="113"/>
      <c r="H56" s="113"/>
      <c r="I56" s="93">
        <f t="shared" si="1"/>
        <v>0</v>
      </c>
    </row>
    <row r="57">
      <c r="A57" s="112"/>
      <c r="B57" s="112"/>
      <c r="C57" s="112"/>
      <c r="D57" s="112"/>
      <c r="E57" s="92" t="s">
        <v>443</v>
      </c>
      <c r="F57" s="112"/>
      <c r="G57" s="113"/>
      <c r="H57" s="113"/>
      <c r="I57" s="93">
        <f t="shared" si="1"/>
        <v>0</v>
      </c>
    </row>
    <row r="58">
      <c r="A58" s="112"/>
      <c r="B58" s="112"/>
      <c r="C58" s="112"/>
      <c r="D58" s="112"/>
      <c r="E58" s="92" t="s">
        <v>443</v>
      </c>
      <c r="F58" s="112"/>
      <c r="G58" s="113"/>
      <c r="H58" s="113"/>
      <c r="I58" s="93">
        <f t="shared" si="1"/>
        <v>0</v>
      </c>
    </row>
    <row r="59">
      <c r="A59" s="112"/>
      <c r="B59" s="112"/>
      <c r="C59" s="112"/>
      <c r="D59" s="112"/>
      <c r="E59" s="92" t="s">
        <v>443</v>
      </c>
      <c r="F59" s="112"/>
      <c r="G59" s="113"/>
      <c r="H59" s="113"/>
      <c r="I59" s="93">
        <f t="shared" si="1"/>
        <v>0</v>
      </c>
    </row>
    <row r="60">
      <c r="A60" s="112"/>
      <c r="B60" s="112"/>
      <c r="C60" s="112"/>
      <c r="D60" s="112"/>
      <c r="E60" s="92" t="s">
        <v>443</v>
      </c>
      <c r="F60" s="112"/>
      <c r="G60" s="113"/>
      <c r="H60" s="113"/>
      <c r="I60" s="93">
        <f t="shared" si="1"/>
        <v>0</v>
      </c>
    </row>
    <row r="61">
      <c r="A61" s="112"/>
      <c r="B61" s="112"/>
      <c r="C61" s="112"/>
      <c r="D61" s="112"/>
      <c r="E61" s="92" t="s">
        <v>443</v>
      </c>
      <c r="F61" s="112"/>
      <c r="G61" s="113"/>
      <c r="H61" s="113"/>
      <c r="I61" s="93">
        <f t="shared" si="1"/>
        <v>0</v>
      </c>
    </row>
    <row r="62">
      <c r="A62" s="112"/>
      <c r="B62" s="112"/>
      <c r="C62" s="112"/>
      <c r="D62" s="112"/>
      <c r="E62" s="92" t="s">
        <v>443</v>
      </c>
      <c r="F62" s="112"/>
      <c r="G62" s="113"/>
      <c r="H62" s="113"/>
      <c r="I62" s="93">
        <f t="shared" si="1"/>
        <v>0</v>
      </c>
    </row>
    <row r="63">
      <c r="A63" s="112"/>
      <c r="B63" s="112"/>
      <c r="C63" s="112"/>
      <c r="D63" s="112"/>
      <c r="E63" s="92" t="s">
        <v>443</v>
      </c>
      <c r="F63" s="112"/>
      <c r="G63" s="113"/>
      <c r="H63" s="113"/>
      <c r="I63" s="93">
        <f t="shared" si="1"/>
        <v>0</v>
      </c>
    </row>
    <row r="64">
      <c r="A64" s="112"/>
      <c r="B64" s="112"/>
      <c r="C64" s="112"/>
      <c r="D64" s="112"/>
      <c r="E64" s="92" t="s">
        <v>443</v>
      </c>
      <c r="F64" s="112"/>
      <c r="G64" s="113"/>
      <c r="H64" s="113"/>
      <c r="I64" s="93">
        <f t="shared" si="1"/>
        <v>0</v>
      </c>
    </row>
    <row r="65">
      <c r="A65" s="112"/>
      <c r="B65" s="112"/>
      <c r="C65" s="112"/>
      <c r="D65" s="112"/>
      <c r="E65" s="92" t="s">
        <v>443</v>
      </c>
      <c r="F65" s="112"/>
      <c r="G65" s="113"/>
      <c r="H65" s="113"/>
      <c r="I65" s="93">
        <f t="shared" si="1"/>
        <v>0</v>
      </c>
    </row>
    <row r="66">
      <c r="A66" s="112"/>
      <c r="B66" s="112"/>
      <c r="C66" s="112"/>
      <c r="D66" s="112"/>
      <c r="E66" s="92" t="s">
        <v>443</v>
      </c>
      <c r="F66" s="112"/>
      <c r="G66" s="113"/>
      <c r="H66" s="113"/>
      <c r="I66" s="93">
        <f t="shared" si="1"/>
        <v>0</v>
      </c>
    </row>
    <row r="67">
      <c r="A67" s="112"/>
      <c r="B67" s="112"/>
      <c r="C67" s="112"/>
      <c r="D67" s="112"/>
      <c r="E67" s="92" t="s">
        <v>443</v>
      </c>
      <c r="F67" s="112"/>
      <c r="G67" s="113"/>
      <c r="H67" s="113"/>
      <c r="I67" s="93">
        <f t="shared" si="1"/>
        <v>0</v>
      </c>
    </row>
    <row r="68">
      <c r="A68" s="112"/>
      <c r="B68" s="112"/>
      <c r="C68" s="112"/>
      <c r="D68" s="112"/>
      <c r="E68" s="92" t="s">
        <v>443</v>
      </c>
      <c r="F68" s="112"/>
      <c r="G68" s="113"/>
      <c r="H68" s="113"/>
      <c r="I68" s="93">
        <f t="shared" si="1"/>
        <v>0</v>
      </c>
    </row>
    <row r="69">
      <c r="A69" s="112"/>
      <c r="B69" s="112"/>
      <c r="C69" s="112"/>
      <c r="D69" s="112"/>
      <c r="E69" s="92" t="s">
        <v>443</v>
      </c>
      <c r="F69" s="112"/>
      <c r="G69" s="113"/>
      <c r="H69" s="113"/>
      <c r="I69" s="93">
        <f t="shared" si="1"/>
        <v>0</v>
      </c>
    </row>
    <row r="70">
      <c r="A70" s="112"/>
      <c r="B70" s="112"/>
      <c r="C70" s="112"/>
      <c r="D70" s="112"/>
      <c r="E70" s="92" t="s">
        <v>443</v>
      </c>
      <c r="F70" s="112"/>
      <c r="G70" s="113"/>
      <c r="H70" s="113"/>
      <c r="I70" s="93">
        <f t="shared" si="1"/>
        <v>0</v>
      </c>
    </row>
    <row r="71">
      <c r="A71" s="112"/>
      <c r="B71" s="112"/>
      <c r="C71" s="112"/>
      <c r="D71" s="112"/>
      <c r="E71" s="92" t="s">
        <v>443</v>
      </c>
      <c r="F71" s="112"/>
      <c r="G71" s="113"/>
      <c r="H71" s="113"/>
      <c r="I71" s="93">
        <f t="shared" si="1"/>
        <v>0</v>
      </c>
    </row>
    <row r="72">
      <c r="A72" s="112"/>
      <c r="B72" s="112"/>
      <c r="C72" s="112"/>
      <c r="D72" s="112"/>
      <c r="E72" s="92" t="s">
        <v>443</v>
      </c>
      <c r="F72" s="112"/>
      <c r="G72" s="113"/>
      <c r="H72" s="113"/>
      <c r="I72" s="93">
        <f t="shared" si="1"/>
        <v>0</v>
      </c>
    </row>
    <row r="73">
      <c r="A73" s="112"/>
      <c r="B73" s="112"/>
      <c r="C73" s="112"/>
      <c r="D73" s="112"/>
      <c r="E73" s="92" t="s">
        <v>443</v>
      </c>
      <c r="F73" s="112"/>
      <c r="G73" s="113"/>
      <c r="H73" s="113"/>
      <c r="I73" s="93">
        <f t="shared" si="1"/>
        <v>0</v>
      </c>
    </row>
    <row r="74">
      <c r="A74" s="112"/>
      <c r="B74" s="112"/>
      <c r="C74" s="112"/>
      <c r="D74" s="112"/>
      <c r="E74" s="92" t="s">
        <v>443</v>
      </c>
      <c r="F74" s="112"/>
      <c r="G74" s="113"/>
      <c r="H74" s="113"/>
      <c r="I74" s="93">
        <f t="shared" si="1"/>
        <v>0</v>
      </c>
    </row>
    <row r="75">
      <c r="A75" s="112"/>
      <c r="B75" s="112"/>
      <c r="C75" s="112"/>
      <c r="D75" s="112"/>
      <c r="E75" s="92" t="s">
        <v>443</v>
      </c>
      <c r="F75" s="112"/>
      <c r="G75" s="113"/>
      <c r="H75" s="113"/>
      <c r="I75" s="93">
        <f t="shared" si="1"/>
        <v>0</v>
      </c>
    </row>
    <row r="76">
      <c r="A76" s="112"/>
      <c r="B76" s="112"/>
      <c r="C76" s="112"/>
      <c r="D76" s="112"/>
      <c r="E76" s="92" t="s">
        <v>443</v>
      </c>
      <c r="F76" s="112"/>
      <c r="G76" s="113"/>
      <c r="H76" s="113"/>
      <c r="I76" s="93">
        <f t="shared" si="1"/>
        <v>0</v>
      </c>
    </row>
    <row r="77">
      <c r="A77" s="112"/>
      <c r="B77" s="112"/>
      <c r="C77" s="112"/>
      <c r="D77" s="112"/>
      <c r="E77" s="92" t="s">
        <v>443</v>
      </c>
      <c r="F77" s="112"/>
      <c r="G77" s="113"/>
      <c r="H77" s="113"/>
      <c r="I77" s="93">
        <f t="shared" si="1"/>
        <v>0</v>
      </c>
    </row>
    <row r="78">
      <c r="A78" s="112"/>
      <c r="B78" s="112"/>
      <c r="C78" s="112"/>
      <c r="D78" s="112"/>
      <c r="E78" s="92" t="s">
        <v>443</v>
      </c>
      <c r="F78" s="112"/>
      <c r="G78" s="113"/>
      <c r="H78" s="113"/>
      <c r="I78" s="93">
        <f t="shared" si="1"/>
        <v>0</v>
      </c>
    </row>
    <row r="79">
      <c r="A79" s="112"/>
      <c r="B79" s="112"/>
      <c r="C79" s="112"/>
      <c r="D79" s="112"/>
      <c r="E79" s="92" t="s">
        <v>443</v>
      </c>
      <c r="F79" s="112"/>
      <c r="G79" s="113"/>
      <c r="H79" s="113"/>
      <c r="I79" s="93">
        <f t="shared" si="1"/>
        <v>0</v>
      </c>
    </row>
    <row r="80">
      <c r="A80" s="112"/>
      <c r="B80" s="112"/>
      <c r="C80" s="112"/>
      <c r="D80" s="112"/>
      <c r="E80" s="92" t="s">
        <v>443</v>
      </c>
      <c r="F80" s="112"/>
      <c r="G80" s="113"/>
      <c r="H80" s="113"/>
      <c r="I80" s="93">
        <f t="shared" si="1"/>
        <v>0</v>
      </c>
    </row>
    <row r="81">
      <c r="A81" s="112"/>
      <c r="B81" s="112"/>
      <c r="C81" s="112"/>
      <c r="D81" s="112"/>
      <c r="E81" s="92" t="s">
        <v>443</v>
      </c>
      <c r="F81" s="112"/>
      <c r="G81" s="113"/>
      <c r="H81" s="113"/>
      <c r="I81" s="93">
        <f t="shared" si="1"/>
        <v>0</v>
      </c>
    </row>
    <row r="82">
      <c r="A82" s="112"/>
      <c r="B82" s="112"/>
      <c r="C82" s="112"/>
      <c r="D82" s="112"/>
      <c r="E82" s="92" t="s">
        <v>443</v>
      </c>
      <c r="F82" s="112"/>
      <c r="G82" s="113"/>
      <c r="H82" s="113"/>
      <c r="I82" s="93">
        <f t="shared" si="1"/>
        <v>0</v>
      </c>
    </row>
    <row r="83">
      <c r="A83" s="112"/>
      <c r="B83" s="112"/>
      <c r="C83" s="112"/>
      <c r="D83" s="112"/>
      <c r="E83" s="92" t="s">
        <v>443</v>
      </c>
      <c r="F83" s="112"/>
      <c r="G83" s="113"/>
      <c r="H83" s="113"/>
      <c r="I83" s="93">
        <f t="shared" si="1"/>
        <v>0</v>
      </c>
    </row>
    <row r="84">
      <c r="A84" s="112"/>
      <c r="B84" s="112"/>
      <c r="C84" s="112"/>
      <c r="D84" s="112"/>
      <c r="E84" s="92" t="s">
        <v>443</v>
      </c>
      <c r="F84" s="112"/>
      <c r="G84" s="113"/>
      <c r="H84" s="113"/>
      <c r="I84" s="93">
        <f t="shared" si="1"/>
        <v>0</v>
      </c>
    </row>
    <row r="85">
      <c r="A85" s="112"/>
      <c r="B85" s="112"/>
      <c r="C85" s="112"/>
      <c r="D85" s="112"/>
      <c r="E85" s="92" t="s">
        <v>443</v>
      </c>
      <c r="F85" s="112"/>
      <c r="G85" s="113"/>
      <c r="H85" s="113"/>
      <c r="I85" s="93">
        <f t="shared" si="1"/>
        <v>0</v>
      </c>
    </row>
    <row r="86">
      <c r="A86" s="112"/>
      <c r="B86" s="112"/>
      <c r="C86" s="112"/>
      <c r="D86" s="112"/>
      <c r="E86" s="92" t="s">
        <v>443</v>
      </c>
      <c r="F86" s="112"/>
      <c r="G86" s="113"/>
      <c r="H86" s="113"/>
      <c r="I86" s="93">
        <f t="shared" si="1"/>
        <v>0</v>
      </c>
    </row>
    <row r="87">
      <c r="A87" s="112"/>
      <c r="B87" s="112"/>
      <c r="C87" s="112"/>
      <c r="D87" s="112"/>
      <c r="E87" s="92" t="s">
        <v>443</v>
      </c>
      <c r="F87" s="112"/>
      <c r="G87" s="113"/>
      <c r="H87" s="113"/>
      <c r="I87" s="93">
        <f t="shared" si="1"/>
        <v>0</v>
      </c>
    </row>
    <row r="88">
      <c r="A88" s="112"/>
      <c r="B88" s="112"/>
      <c r="C88" s="112"/>
      <c r="D88" s="112"/>
      <c r="E88" s="92" t="s">
        <v>443</v>
      </c>
      <c r="F88" s="112"/>
      <c r="G88" s="113"/>
      <c r="H88" s="113"/>
      <c r="I88" s="93">
        <f t="shared" si="1"/>
        <v>0</v>
      </c>
    </row>
    <row r="89">
      <c r="A89" s="112"/>
      <c r="B89" s="112"/>
      <c r="C89" s="112"/>
      <c r="D89" s="112"/>
      <c r="E89" s="92" t="s">
        <v>443</v>
      </c>
      <c r="F89" s="112"/>
      <c r="G89" s="113"/>
      <c r="H89" s="113"/>
      <c r="I89" s="93">
        <f t="shared" si="1"/>
        <v>0</v>
      </c>
    </row>
    <row r="90">
      <c r="A90" s="112"/>
      <c r="B90" s="112"/>
      <c r="C90" s="112"/>
      <c r="D90" s="112"/>
      <c r="E90" s="92" t="s">
        <v>443</v>
      </c>
      <c r="F90" s="112"/>
      <c r="G90" s="113"/>
      <c r="H90" s="113"/>
      <c r="I90" s="93">
        <f t="shared" si="1"/>
        <v>0</v>
      </c>
    </row>
    <row r="91">
      <c r="A91" s="112"/>
      <c r="B91" s="112"/>
      <c r="C91" s="112"/>
      <c r="D91" s="112"/>
      <c r="E91" s="92" t="s">
        <v>443</v>
      </c>
      <c r="F91" s="112"/>
      <c r="G91" s="113"/>
      <c r="H91" s="113"/>
      <c r="I91" s="93">
        <f t="shared" si="1"/>
        <v>0</v>
      </c>
    </row>
    <row r="92">
      <c r="A92" s="112"/>
      <c r="B92" s="112"/>
      <c r="C92" s="112"/>
      <c r="D92" s="112"/>
      <c r="E92" s="92" t="s">
        <v>443</v>
      </c>
      <c r="F92" s="112"/>
      <c r="G92" s="113"/>
      <c r="H92" s="113"/>
      <c r="I92" s="93">
        <f t="shared" si="1"/>
        <v>0</v>
      </c>
    </row>
    <row r="93">
      <c r="A93" s="112"/>
      <c r="B93" s="112"/>
      <c r="C93" s="112"/>
      <c r="D93" s="112"/>
      <c r="E93" s="92" t="s">
        <v>443</v>
      </c>
      <c r="F93" s="112"/>
      <c r="G93" s="113"/>
      <c r="H93" s="113"/>
      <c r="I93" s="93">
        <f t="shared" si="1"/>
        <v>0</v>
      </c>
    </row>
    <row r="94">
      <c r="A94" s="112"/>
      <c r="B94" s="112"/>
      <c r="C94" s="112"/>
      <c r="D94" s="112"/>
      <c r="E94" s="92" t="s">
        <v>443</v>
      </c>
      <c r="F94" s="112"/>
      <c r="G94" s="113"/>
      <c r="H94" s="113"/>
      <c r="I94" s="93">
        <f t="shared" si="1"/>
        <v>0</v>
      </c>
    </row>
    <row r="95">
      <c r="A95" s="112"/>
      <c r="B95" s="112"/>
      <c r="C95" s="112"/>
      <c r="D95" s="112"/>
      <c r="E95" s="92" t="s">
        <v>443</v>
      </c>
      <c r="F95" s="112"/>
      <c r="G95" s="113"/>
      <c r="H95" s="113"/>
      <c r="I95" s="93">
        <f t="shared" si="1"/>
        <v>0</v>
      </c>
    </row>
    <row r="96">
      <c r="A96" s="112"/>
      <c r="B96" s="112"/>
      <c r="C96" s="112"/>
      <c r="D96" s="112"/>
      <c r="E96" s="92" t="s">
        <v>443</v>
      </c>
      <c r="F96" s="112"/>
      <c r="G96" s="113"/>
      <c r="H96" s="113"/>
      <c r="I96" s="93">
        <f t="shared" si="1"/>
        <v>0</v>
      </c>
    </row>
    <row r="97">
      <c r="A97" s="112"/>
      <c r="B97" s="112"/>
      <c r="C97" s="112"/>
      <c r="D97" s="112"/>
      <c r="E97" s="92" t="s">
        <v>443</v>
      </c>
      <c r="F97" s="112"/>
      <c r="G97" s="113"/>
      <c r="H97" s="113"/>
      <c r="I97" s="93">
        <f t="shared" si="1"/>
        <v>0</v>
      </c>
    </row>
    <row r="98">
      <c r="A98" s="112"/>
      <c r="B98" s="112"/>
      <c r="C98" s="112"/>
      <c r="D98" s="112"/>
      <c r="E98" s="92" t="s">
        <v>443</v>
      </c>
      <c r="F98" s="112"/>
      <c r="G98" s="113"/>
      <c r="H98" s="113"/>
      <c r="I98" s="93">
        <f t="shared" si="1"/>
        <v>0</v>
      </c>
    </row>
    <row r="99">
      <c r="A99" s="112"/>
      <c r="B99" s="112"/>
      <c r="C99" s="112"/>
      <c r="D99" s="112"/>
      <c r="E99" s="92" t="s">
        <v>443</v>
      </c>
      <c r="F99" s="112"/>
      <c r="G99" s="113"/>
      <c r="H99" s="113"/>
      <c r="I99" s="93">
        <f t="shared" si="1"/>
        <v>0</v>
      </c>
    </row>
    <row r="100">
      <c r="A100" s="112"/>
      <c r="B100" s="112"/>
      <c r="C100" s="112"/>
      <c r="D100" s="112"/>
      <c r="E100" s="92" t="s">
        <v>443</v>
      </c>
      <c r="F100" s="112"/>
      <c r="G100" s="113"/>
      <c r="H100" s="113"/>
      <c r="I100" s="93">
        <f t="shared" si="1"/>
        <v>0</v>
      </c>
    </row>
    <row r="101">
      <c r="A101" s="112"/>
      <c r="B101" s="112"/>
      <c r="C101" s="112"/>
      <c r="D101" s="112"/>
      <c r="E101" s="92" t="s">
        <v>443</v>
      </c>
      <c r="F101" s="112"/>
      <c r="G101" s="113"/>
      <c r="H101" s="113"/>
      <c r="I101" s="93">
        <f t="shared" si="1"/>
        <v>0</v>
      </c>
    </row>
    <row r="102">
      <c r="A102" s="112"/>
      <c r="B102" s="112"/>
      <c r="C102" s="112"/>
      <c r="D102" s="112"/>
      <c r="E102" s="92" t="s">
        <v>443</v>
      </c>
      <c r="F102" s="112"/>
      <c r="G102" s="113"/>
      <c r="H102" s="113"/>
      <c r="I102" s="93">
        <f t="shared" si="1"/>
        <v>0</v>
      </c>
    </row>
    <row r="103">
      <c r="A103" s="112"/>
      <c r="B103" s="112"/>
      <c r="C103" s="112"/>
      <c r="D103" s="112"/>
      <c r="E103" s="92" t="s">
        <v>443</v>
      </c>
      <c r="F103" s="112"/>
      <c r="G103" s="113"/>
      <c r="H103" s="113"/>
      <c r="I103" s="93">
        <f t="shared" si="1"/>
        <v>0</v>
      </c>
    </row>
    <row r="104">
      <c r="A104" s="112"/>
      <c r="B104" s="112"/>
      <c r="C104" s="112"/>
      <c r="D104" s="112"/>
      <c r="E104" s="92" t="s">
        <v>443</v>
      </c>
      <c r="F104" s="112"/>
      <c r="G104" s="113"/>
      <c r="H104" s="113"/>
      <c r="I104" s="93">
        <f t="shared" si="1"/>
        <v>0</v>
      </c>
    </row>
    <row r="105">
      <c r="A105" s="112"/>
      <c r="B105" s="112"/>
      <c r="C105" s="112"/>
      <c r="D105" s="112"/>
      <c r="E105" s="92" t="s">
        <v>443</v>
      </c>
      <c r="F105" s="112"/>
      <c r="G105" s="113"/>
      <c r="H105" s="113"/>
      <c r="I105" s="93">
        <f t="shared" si="1"/>
        <v>0</v>
      </c>
    </row>
    <row r="106">
      <c r="A106" s="112"/>
      <c r="B106" s="112"/>
      <c r="C106" s="112"/>
      <c r="D106" s="112"/>
      <c r="E106" s="92" t="s">
        <v>443</v>
      </c>
      <c r="F106" s="112"/>
      <c r="G106" s="113"/>
      <c r="H106" s="113"/>
      <c r="I106" s="93">
        <f t="shared" si="1"/>
        <v>0</v>
      </c>
    </row>
    <row r="107">
      <c r="A107" s="112"/>
      <c r="B107" s="112"/>
      <c r="C107" s="112"/>
      <c r="D107" s="112"/>
      <c r="E107" s="92" t="s">
        <v>443</v>
      </c>
      <c r="F107" s="112"/>
      <c r="G107" s="113"/>
      <c r="H107" s="113"/>
      <c r="I107" s="93">
        <f t="shared" si="1"/>
        <v>0</v>
      </c>
    </row>
    <row r="108">
      <c r="A108" s="114"/>
      <c r="B108" s="114"/>
      <c r="C108" s="114"/>
      <c r="D108" s="114"/>
      <c r="E108" s="114"/>
      <c r="F108" s="114"/>
      <c r="G108" s="114"/>
      <c r="H108" s="115" t="s">
        <v>9</v>
      </c>
      <c r="I108" s="116" t="s">
        <v>444</v>
      </c>
    </row>
    <row r="109">
      <c r="A109" s="114"/>
      <c r="B109" s="114"/>
      <c r="C109" s="114"/>
      <c r="D109" s="114"/>
      <c r="E109" s="95" t="s">
        <v>328</v>
      </c>
      <c r="F109" s="3"/>
      <c r="G109" s="114"/>
      <c r="H109" s="114"/>
      <c r="I109" s="114"/>
    </row>
    <row r="110">
      <c r="A110" s="114"/>
      <c r="B110" s="114"/>
      <c r="C110" s="114"/>
      <c r="D110" s="114"/>
      <c r="E110" s="96" t="s">
        <v>285</v>
      </c>
      <c r="F110" s="96" t="s">
        <v>382</v>
      </c>
      <c r="G110" s="114"/>
      <c r="H110" s="114"/>
      <c r="I110" s="114"/>
    </row>
    <row r="111">
      <c r="A111" s="114"/>
      <c r="B111" s="114"/>
      <c r="C111" s="114"/>
      <c r="D111" s="114"/>
      <c r="E111" s="96" t="s">
        <v>286</v>
      </c>
      <c r="F111" s="96" t="s">
        <v>445</v>
      </c>
      <c r="G111" s="114"/>
      <c r="H111" s="114"/>
      <c r="I111" s="114"/>
    </row>
    <row r="112">
      <c r="A112" s="114"/>
      <c r="B112" s="114"/>
      <c r="C112" s="114"/>
      <c r="D112" s="114"/>
      <c r="E112" s="96" t="s">
        <v>92</v>
      </c>
      <c r="F112" s="96" t="s">
        <v>446</v>
      </c>
      <c r="G112" s="114"/>
      <c r="H112" s="114"/>
      <c r="I112" s="114"/>
    </row>
    <row r="113">
      <c r="A113" s="114"/>
      <c r="B113" s="114"/>
      <c r="C113" s="114"/>
      <c r="D113" s="114"/>
      <c r="E113" s="98" t="s">
        <v>21</v>
      </c>
      <c r="F113" s="96" t="s">
        <v>447</v>
      </c>
      <c r="G113" s="114"/>
      <c r="H113" s="114"/>
      <c r="I113" s="114"/>
    </row>
    <row r="114">
      <c r="A114" s="114"/>
      <c r="B114" s="114"/>
      <c r="C114" s="114"/>
      <c r="D114" s="114"/>
      <c r="E114" s="98" t="s">
        <v>13</v>
      </c>
      <c r="F114" s="96" t="s">
        <v>448</v>
      </c>
      <c r="G114" s="114"/>
      <c r="H114" s="114"/>
      <c r="I114" s="114"/>
    </row>
    <row r="115">
      <c r="A115" s="114"/>
      <c r="B115" s="114"/>
      <c r="C115" s="114"/>
      <c r="D115" s="114"/>
      <c r="E115" s="96" t="s">
        <v>68</v>
      </c>
      <c r="F115" s="96" t="s">
        <v>338</v>
      </c>
      <c r="G115" s="114"/>
      <c r="H115" s="114"/>
      <c r="I115" s="114"/>
    </row>
    <row r="116">
      <c r="A116" s="114"/>
      <c r="B116" s="114"/>
      <c r="C116" s="114"/>
      <c r="D116" s="114"/>
      <c r="E116" s="99" t="s">
        <v>314</v>
      </c>
      <c r="F116" s="96" t="s">
        <v>338</v>
      </c>
      <c r="G116" s="114"/>
      <c r="H116" s="114"/>
      <c r="I116" s="114"/>
    </row>
    <row r="117">
      <c r="A117" s="114"/>
      <c r="B117" s="114"/>
      <c r="C117" s="114"/>
      <c r="D117" s="114"/>
      <c r="E117" s="100" t="s">
        <v>9</v>
      </c>
      <c r="F117" s="117" t="s">
        <v>449</v>
      </c>
      <c r="G117" s="114"/>
      <c r="H117" s="114"/>
      <c r="I117" s="114"/>
    </row>
    <row r="118">
      <c r="A118" s="114"/>
      <c r="B118" s="114"/>
      <c r="C118" s="114"/>
      <c r="D118" s="114"/>
      <c r="E118" s="118"/>
      <c r="F118" s="118"/>
      <c r="G118" s="114"/>
      <c r="H118" s="114"/>
      <c r="I118" s="114"/>
    </row>
    <row r="119">
      <c r="A119" s="114"/>
      <c r="B119" s="114"/>
      <c r="C119" s="114"/>
      <c r="D119" s="114"/>
      <c r="E119" s="118"/>
      <c r="F119" s="118"/>
      <c r="G119" s="114"/>
      <c r="H119" s="114"/>
      <c r="I119" s="114"/>
    </row>
    <row r="120">
      <c r="A120" s="114"/>
      <c r="B120" s="114"/>
      <c r="C120" s="114"/>
      <c r="D120" s="114"/>
      <c r="E120" s="103" t="s">
        <v>70</v>
      </c>
      <c r="F120" s="104" t="s">
        <v>19</v>
      </c>
      <c r="G120" s="114"/>
      <c r="H120" s="114"/>
      <c r="I120" s="114"/>
    </row>
    <row r="121">
      <c r="A121" s="114"/>
      <c r="B121" s="114"/>
      <c r="C121" s="114"/>
      <c r="D121" s="114"/>
      <c r="E121" s="96" t="s">
        <v>285</v>
      </c>
      <c r="F121" s="119" t="s">
        <v>382</v>
      </c>
      <c r="G121" s="114"/>
      <c r="H121" s="114"/>
      <c r="I121" s="114"/>
    </row>
    <row r="122">
      <c r="A122" s="114"/>
      <c r="B122" s="114"/>
      <c r="C122" s="114"/>
      <c r="D122" s="114"/>
      <c r="E122" s="96" t="s">
        <v>286</v>
      </c>
      <c r="F122" s="119" t="s">
        <v>338</v>
      </c>
      <c r="G122" s="114"/>
      <c r="H122" s="114"/>
      <c r="I122" s="114"/>
    </row>
    <row r="123">
      <c r="A123" s="114"/>
      <c r="B123" s="114"/>
      <c r="C123" s="114"/>
      <c r="D123" s="114"/>
      <c r="E123" s="96" t="s">
        <v>92</v>
      </c>
      <c r="F123" s="119" t="s">
        <v>446</v>
      </c>
      <c r="G123" s="114"/>
      <c r="H123" s="114"/>
      <c r="I123" s="114"/>
    </row>
    <row r="124">
      <c r="A124" s="114"/>
      <c r="B124" s="114"/>
      <c r="C124" s="114"/>
      <c r="D124" s="114"/>
      <c r="E124" s="98" t="s">
        <v>21</v>
      </c>
      <c r="F124" s="119" t="s">
        <v>447</v>
      </c>
      <c r="G124" s="120" t="s">
        <v>341</v>
      </c>
      <c r="H124" s="114"/>
      <c r="I124" s="114"/>
    </row>
    <row r="125">
      <c r="A125" s="114"/>
      <c r="B125" s="114"/>
      <c r="C125" s="114"/>
      <c r="D125" s="114"/>
      <c r="E125" s="98" t="s">
        <v>13</v>
      </c>
      <c r="F125" s="119" t="s">
        <v>450</v>
      </c>
      <c r="G125" s="114"/>
      <c r="H125" s="114"/>
      <c r="I125" s="114"/>
    </row>
    <row r="126">
      <c r="A126" s="114"/>
      <c r="B126" s="114"/>
      <c r="C126" s="114"/>
      <c r="D126" s="114"/>
      <c r="E126" s="96" t="s">
        <v>68</v>
      </c>
      <c r="F126" s="121" t="s">
        <v>338</v>
      </c>
      <c r="G126" s="114"/>
      <c r="H126" s="114"/>
      <c r="I126" s="114"/>
    </row>
    <row r="127">
      <c r="A127" s="114"/>
      <c r="B127" s="114"/>
      <c r="C127" s="114"/>
      <c r="D127" s="114"/>
      <c r="E127" s="107" t="s">
        <v>9</v>
      </c>
      <c r="F127" s="90" t="s">
        <v>451</v>
      </c>
      <c r="G127" s="114"/>
      <c r="H127" s="114"/>
      <c r="I127" s="114"/>
    </row>
    <row r="128">
      <c r="A128" s="114"/>
      <c r="B128" s="114"/>
      <c r="C128" s="114"/>
      <c r="D128" s="114"/>
      <c r="E128" s="118"/>
      <c r="F128" s="118"/>
      <c r="G128" s="114"/>
      <c r="H128" s="114"/>
      <c r="I128" s="114"/>
    </row>
    <row r="129">
      <c r="A129" s="114"/>
      <c r="B129" s="114"/>
      <c r="C129" s="114"/>
      <c r="D129" s="114"/>
      <c r="E129" s="103" t="s">
        <v>70</v>
      </c>
      <c r="F129" s="104" t="s">
        <v>11</v>
      </c>
      <c r="G129" s="114"/>
      <c r="H129" s="114"/>
      <c r="I129" s="114"/>
    </row>
    <row r="130">
      <c r="A130" s="114"/>
      <c r="B130" s="114"/>
      <c r="C130" s="114"/>
      <c r="D130" s="114"/>
      <c r="E130" s="96" t="s">
        <v>285</v>
      </c>
      <c r="F130" s="119" t="s">
        <v>338</v>
      </c>
      <c r="G130" s="114"/>
      <c r="H130" s="114"/>
      <c r="I130" s="114"/>
    </row>
    <row r="131">
      <c r="A131" s="114"/>
      <c r="B131" s="114"/>
      <c r="C131" s="114"/>
      <c r="D131" s="114"/>
      <c r="E131" s="96" t="s">
        <v>286</v>
      </c>
      <c r="F131" s="119" t="s">
        <v>452</v>
      </c>
      <c r="G131" s="114"/>
      <c r="H131" s="114"/>
      <c r="I131" s="114"/>
    </row>
    <row r="132">
      <c r="A132" s="114"/>
      <c r="B132" s="114"/>
      <c r="C132" s="114"/>
      <c r="D132" s="114"/>
      <c r="E132" s="96" t="s">
        <v>92</v>
      </c>
      <c r="F132" s="119" t="s">
        <v>338</v>
      </c>
      <c r="G132" s="114"/>
      <c r="H132" s="114"/>
      <c r="I132" s="114"/>
    </row>
    <row r="133">
      <c r="A133" s="114"/>
      <c r="B133" s="114"/>
      <c r="C133" s="114"/>
      <c r="D133" s="114"/>
      <c r="E133" s="98" t="s">
        <v>21</v>
      </c>
      <c r="F133" s="119" t="s">
        <v>338</v>
      </c>
      <c r="G133" s="114"/>
      <c r="H133" s="114"/>
      <c r="I133" s="114"/>
    </row>
    <row r="134">
      <c r="A134" s="114"/>
      <c r="B134" s="114"/>
      <c r="C134" s="114"/>
      <c r="D134" s="114"/>
      <c r="E134" s="98" t="s">
        <v>13</v>
      </c>
      <c r="F134" s="119" t="s">
        <v>338</v>
      </c>
      <c r="G134" s="114"/>
      <c r="H134" s="114"/>
      <c r="I134" s="114"/>
    </row>
    <row r="135">
      <c r="A135" s="114"/>
      <c r="B135" s="114"/>
      <c r="C135" s="114"/>
      <c r="D135" s="114"/>
      <c r="E135" s="96" t="s">
        <v>68</v>
      </c>
      <c r="F135" s="119" t="s">
        <v>338</v>
      </c>
      <c r="G135" s="114"/>
      <c r="H135" s="114"/>
      <c r="I135" s="114"/>
    </row>
    <row r="136">
      <c r="A136" s="114"/>
      <c r="B136" s="114"/>
      <c r="C136" s="114"/>
      <c r="D136" s="114"/>
      <c r="E136" s="107" t="s">
        <v>9</v>
      </c>
      <c r="F136" s="122" t="s">
        <v>452</v>
      </c>
      <c r="G136" s="114"/>
      <c r="H136" s="114"/>
      <c r="I136" s="114"/>
    </row>
    <row r="137">
      <c r="A137" s="114"/>
      <c r="B137" s="114"/>
      <c r="C137" s="114"/>
      <c r="D137" s="114"/>
      <c r="E137" s="118"/>
      <c r="F137" s="118"/>
      <c r="G137" s="114"/>
      <c r="H137" s="114"/>
      <c r="I137" s="114"/>
    </row>
    <row r="138">
      <c r="A138" s="114"/>
      <c r="B138" s="114"/>
      <c r="C138" s="114"/>
      <c r="D138" s="114"/>
      <c r="E138" s="118"/>
      <c r="F138" s="118"/>
      <c r="G138" s="114"/>
      <c r="H138" s="114"/>
      <c r="I138" s="114"/>
    </row>
    <row r="139">
      <c r="A139" s="114"/>
      <c r="B139" s="114"/>
      <c r="C139" s="114"/>
      <c r="D139" s="114"/>
      <c r="E139" s="103" t="s">
        <v>70</v>
      </c>
      <c r="F139" s="104" t="s">
        <v>15</v>
      </c>
      <c r="G139" s="114"/>
      <c r="H139" s="114"/>
      <c r="I139" s="114"/>
    </row>
    <row r="140">
      <c r="A140" s="114"/>
      <c r="B140" s="114"/>
      <c r="C140" s="114"/>
      <c r="D140" s="114"/>
      <c r="E140" s="96" t="s">
        <v>285</v>
      </c>
      <c r="F140" s="119" t="s">
        <v>338</v>
      </c>
      <c r="G140" s="114"/>
      <c r="H140" s="114"/>
      <c r="I140" s="114"/>
    </row>
    <row r="141">
      <c r="A141" s="114"/>
      <c r="B141" s="114"/>
      <c r="C141" s="114"/>
      <c r="D141" s="114"/>
      <c r="E141" s="96" t="s">
        <v>286</v>
      </c>
      <c r="F141" s="119" t="s">
        <v>338</v>
      </c>
      <c r="G141" s="114"/>
      <c r="H141" s="114"/>
      <c r="I141" s="114"/>
    </row>
    <row r="142">
      <c r="A142" s="114"/>
      <c r="B142" s="114"/>
      <c r="C142" s="114"/>
      <c r="D142" s="114"/>
      <c r="E142" s="96" t="s">
        <v>92</v>
      </c>
      <c r="F142" s="119" t="s">
        <v>338</v>
      </c>
      <c r="G142" s="114"/>
      <c r="H142" s="114"/>
      <c r="I142" s="114"/>
    </row>
    <row r="143">
      <c r="A143" s="114"/>
      <c r="B143" s="114"/>
      <c r="C143" s="114"/>
      <c r="D143" s="114"/>
      <c r="E143" s="98" t="s">
        <v>21</v>
      </c>
      <c r="F143" s="119" t="s">
        <v>338</v>
      </c>
      <c r="G143" s="114"/>
      <c r="H143" s="114"/>
      <c r="I143" s="114"/>
    </row>
    <row r="144">
      <c r="A144" s="114"/>
      <c r="B144" s="114"/>
      <c r="C144" s="114"/>
      <c r="D144" s="114"/>
      <c r="E144" s="98" t="s">
        <v>13</v>
      </c>
      <c r="F144" s="119" t="s">
        <v>338</v>
      </c>
      <c r="G144" s="114"/>
      <c r="H144" s="114"/>
      <c r="I144" s="114"/>
    </row>
    <row r="145">
      <c r="A145" s="114"/>
      <c r="B145" s="114"/>
      <c r="C145" s="114"/>
      <c r="D145" s="114"/>
      <c r="E145" s="96" t="s">
        <v>68</v>
      </c>
      <c r="F145" s="121" t="s">
        <v>338</v>
      </c>
      <c r="G145" s="114"/>
      <c r="H145" s="114"/>
      <c r="I145" s="114"/>
    </row>
    <row r="146">
      <c r="A146" s="114"/>
      <c r="B146" s="114"/>
      <c r="C146" s="114"/>
      <c r="D146" s="114"/>
      <c r="E146" s="109" t="s">
        <v>9</v>
      </c>
      <c r="F146" s="122" t="s">
        <v>338</v>
      </c>
      <c r="G146" s="114"/>
      <c r="H146" s="114"/>
      <c r="I146" s="114"/>
    </row>
    <row r="147">
      <c r="A147" s="114"/>
      <c r="B147" s="114"/>
      <c r="C147" s="114"/>
      <c r="D147" s="114"/>
      <c r="E147" s="118"/>
      <c r="F147" s="118"/>
      <c r="G147" s="114"/>
      <c r="H147" s="114"/>
      <c r="I147" s="114"/>
    </row>
    <row r="148">
      <c r="A148" s="114"/>
      <c r="B148" s="114"/>
      <c r="C148" s="114"/>
      <c r="D148" s="114"/>
      <c r="E148" s="118"/>
      <c r="F148" s="118"/>
      <c r="G148" s="114"/>
      <c r="H148" s="114"/>
      <c r="I148" s="114"/>
    </row>
    <row r="149">
      <c r="A149" s="114"/>
      <c r="B149" s="114"/>
      <c r="C149" s="114"/>
      <c r="D149" s="114"/>
      <c r="E149" s="103" t="s">
        <v>70</v>
      </c>
      <c r="F149" s="104" t="s">
        <v>17</v>
      </c>
      <c r="G149" s="114"/>
      <c r="H149" s="114"/>
      <c r="I149" s="114"/>
    </row>
    <row r="150">
      <c r="A150" s="114"/>
      <c r="B150" s="114"/>
      <c r="C150" s="114"/>
      <c r="D150" s="114"/>
      <c r="E150" s="96" t="s">
        <v>285</v>
      </c>
      <c r="F150" s="119" t="s">
        <v>338</v>
      </c>
      <c r="G150" s="114"/>
      <c r="H150" s="114"/>
      <c r="I150" s="114"/>
    </row>
    <row r="151">
      <c r="A151" s="114"/>
      <c r="B151" s="114"/>
      <c r="C151" s="114"/>
      <c r="D151" s="114"/>
      <c r="E151" s="96" t="s">
        <v>286</v>
      </c>
      <c r="F151" s="119" t="s">
        <v>412</v>
      </c>
      <c r="G151" s="114"/>
      <c r="H151" s="114"/>
      <c r="I151" s="114"/>
    </row>
    <row r="152">
      <c r="A152" s="114"/>
      <c r="B152" s="114"/>
      <c r="C152" s="114"/>
      <c r="D152" s="114"/>
      <c r="E152" s="96" t="s">
        <v>92</v>
      </c>
      <c r="F152" s="119" t="s">
        <v>338</v>
      </c>
      <c r="G152" s="114"/>
      <c r="H152" s="114"/>
      <c r="I152" s="114"/>
    </row>
    <row r="153">
      <c r="A153" s="114"/>
      <c r="B153" s="114"/>
      <c r="C153" s="114"/>
      <c r="D153" s="114"/>
      <c r="E153" s="98" t="s">
        <v>21</v>
      </c>
      <c r="F153" s="119" t="s">
        <v>338</v>
      </c>
      <c r="G153" s="114"/>
      <c r="H153" s="114"/>
      <c r="I153" s="114"/>
    </row>
    <row r="154">
      <c r="A154" s="114"/>
      <c r="B154" s="114"/>
      <c r="C154" s="114"/>
      <c r="D154" s="114"/>
      <c r="E154" s="98" t="s">
        <v>13</v>
      </c>
      <c r="F154" s="119" t="s">
        <v>410</v>
      </c>
      <c r="G154" s="114"/>
      <c r="H154" s="114"/>
      <c r="I154" s="114"/>
    </row>
    <row r="155">
      <c r="A155" s="114"/>
      <c r="B155" s="114"/>
      <c r="C155" s="114"/>
      <c r="D155" s="114"/>
      <c r="E155" s="96" t="s">
        <v>68</v>
      </c>
      <c r="F155" s="119" t="s">
        <v>338</v>
      </c>
      <c r="G155" s="114"/>
      <c r="H155" s="114"/>
      <c r="I155" s="114"/>
    </row>
    <row r="156">
      <c r="A156" s="114"/>
      <c r="B156" s="114"/>
      <c r="C156" s="114"/>
      <c r="D156" s="114"/>
      <c r="E156" s="109" t="s">
        <v>9</v>
      </c>
      <c r="F156" s="122" t="s">
        <v>453</v>
      </c>
      <c r="G156" s="114"/>
      <c r="H156" s="114"/>
      <c r="I156" s="114"/>
    </row>
  </sheetData>
  <mergeCells count="2">
    <mergeCell ref="A1:I1"/>
    <mergeCell ref="E109:F10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20.14"/>
    <col customWidth="1" min="3" max="4" width="10.71"/>
    <col customWidth="1" min="5" max="5" width="15.29"/>
    <col customWidth="1" min="6" max="6" width="14.57"/>
  </cols>
  <sheetData>
    <row r="1">
      <c r="A1" s="123" t="s">
        <v>454</v>
      </c>
      <c r="B1" s="124"/>
      <c r="C1" s="124"/>
      <c r="D1" s="124"/>
      <c r="E1" s="124"/>
      <c r="F1" s="125"/>
    </row>
    <row r="2">
      <c r="A2" s="126"/>
      <c r="B2" s="56"/>
      <c r="C2" s="56"/>
      <c r="D2" s="56"/>
      <c r="E2" s="56"/>
      <c r="F2" s="127"/>
    </row>
    <row r="5" ht="15.0" customHeight="1">
      <c r="A5" s="9"/>
      <c r="B5" s="9"/>
      <c r="C5" s="9"/>
      <c r="D5" s="9"/>
      <c r="E5" s="9"/>
      <c r="F5" s="9"/>
    </row>
    <row r="6" ht="15.0" customHeight="1">
      <c r="A6" s="9"/>
      <c r="B6" s="9"/>
      <c r="C6" s="9"/>
      <c r="D6" s="9"/>
      <c r="E6" s="9"/>
      <c r="F6" s="9"/>
    </row>
    <row r="7">
      <c r="A7" s="128" t="s">
        <v>3</v>
      </c>
      <c r="B7" s="128" t="s">
        <v>11</v>
      </c>
      <c r="C7" s="9"/>
      <c r="D7" s="9"/>
      <c r="E7" s="128" t="s">
        <v>3</v>
      </c>
      <c r="F7" s="128" t="s">
        <v>455</v>
      </c>
    </row>
    <row r="8">
      <c r="A8" s="128"/>
      <c r="B8" s="128"/>
      <c r="C8" s="9"/>
      <c r="D8" s="9"/>
      <c r="E8" s="128"/>
      <c r="F8" s="128"/>
    </row>
    <row r="9">
      <c r="A9" s="128" t="s">
        <v>456</v>
      </c>
      <c r="B9" s="129" t="s">
        <v>9</v>
      </c>
      <c r="C9" s="9"/>
      <c r="D9" s="9"/>
      <c r="E9" s="128" t="s">
        <v>456</v>
      </c>
      <c r="F9" s="129" t="s">
        <v>9</v>
      </c>
    </row>
    <row r="10">
      <c r="A10" s="9" t="s">
        <v>68</v>
      </c>
      <c r="B10" s="130">
        <v>98790.0</v>
      </c>
      <c r="C10" s="9"/>
      <c r="D10" s="9"/>
      <c r="E10" s="9" t="s">
        <v>68</v>
      </c>
      <c r="F10" s="130">
        <v>88713.0</v>
      </c>
    </row>
    <row r="11">
      <c r="A11" s="9" t="s">
        <v>13</v>
      </c>
      <c r="B11" s="130">
        <v>422183.0</v>
      </c>
      <c r="C11" s="9"/>
      <c r="D11" s="9"/>
      <c r="E11" s="9" t="s">
        <v>13</v>
      </c>
      <c r="F11" s="130">
        <v>144447.0</v>
      </c>
    </row>
    <row r="12">
      <c r="A12" s="9" t="s">
        <v>31</v>
      </c>
      <c r="B12" s="130">
        <v>175175.0</v>
      </c>
      <c r="C12" s="9"/>
      <c r="D12" s="9"/>
      <c r="E12" s="9" t="s">
        <v>31</v>
      </c>
      <c r="F12" s="130">
        <v>267839.0</v>
      </c>
    </row>
    <row r="13">
      <c r="A13" s="9" t="s">
        <v>12</v>
      </c>
      <c r="B13" s="130">
        <v>201975.0</v>
      </c>
      <c r="C13" s="9"/>
      <c r="D13" s="9"/>
      <c r="E13" s="9" t="s">
        <v>12</v>
      </c>
      <c r="F13" s="130">
        <v>4420.0</v>
      </c>
    </row>
    <row r="14">
      <c r="A14" s="9" t="s">
        <v>21</v>
      </c>
      <c r="B14" s="130">
        <v>129432.0</v>
      </c>
      <c r="C14" s="9"/>
      <c r="D14" s="9"/>
      <c r="E14" s="84" t="s">
        <v>457</v>
      </c>
      <c r="F14" s="131">
        <v>505419.0</v>
      </c>
    </row>
    <row r="15" ht="15.0" customHeight="1">
      <c r="A15" s="84" t="s">
        <v>457</v>
      </c>
      <c r="B15" s="131">
        <v>1027555.0</v>
      </c>
      <c r="C15" s="9"/>
      <c r="D15" s="9"/>
      <c r="E15" s="9"/>
      <c r="F15" s="9"/>
    </row>
    <row r="16" ht="15.0" customHeight="1">
      <c r="A16" s="84"/>
      <c r="B16" s="132"/>
      <c r="C16" s="9"/>
      <c r="D16" s="9"/>
      <c r="E16" s="9"/>
      <c r="F16" s="9"/>
    </row>
    <row r="17" ht="15.0" customHeight="1">
      <c r="A17" s="9"/>
      <c r="B17" s="9"/>
      <c r="C17" s="9"/>
      <c r="D17" s="9"/>
      <c r="E17" s="9"/>
      <c r="F17" s="9"/>
    </row>
    <row r="18" ht="15.0" customHeight="1">
      <c r="A18" s="9"/>
      <c r="B18" s="9"/>
      <c r="C18" s="9"/>
      <c r="D18" s="9"/>
      <c r="E18" s="9"/>
      <c r="F18" s="9"/>
    </row>
    <row r="19" ht="15.0" customHeight="1">
      <c r="A19" s="9"/>
      <c r="B19" s="9"/>
      <c r="C19" s="9"/>
      <c r="D19" s="9"/>
      <c r="E19" s="9"/>
      <c r="F19" s="9"/>
    </row>
    <row r="20" ht="15.0" customHeight="1">
      <c r="A20" s="9"/>
      <c r="B20" s="9"/>
      <c r="C20" s="9"/>
      <c r="D20" s="9"/>
      <c r="E20" s="9"/>
      <c r="F20" s="9"/>
    </row>
    <row r="21" ht="15.75" customHeight="1">
      <c r="A21" s="128" t="s">
        <v>3</v>
      </c>
      <c r="B21" s="128" t="s">
        <v>19</v>
      </c>
      <c r="C21" s="9"/>
      <c r="D21" s="9"/>
      <c r="E21" s="128" t="s">
        <v>3</v>
      </c>
      <c r="F21" s="128" t="s">
        <v>17</v>
      </c>
    </row>
    <row r="22" ht="15.75" customHeight="1">
      <c r="A22" s="128"/>
      <c r="B22" s="129"/>
      <c r="C22" s="9"/>
      <c r="D22" s="9"/>
      <c r="E22" s="128"/>
      <c r="F22" s="129"/>
    </row>
    <row r="23" ht="15.75" customHeight="1">
      <c r="A23" s="128" t="s">
        <v>456</v>
      </c>
      <c r="B23" s="129" t="s">
        <v>9</v>
      </c>
      <c r="C23" s="9"/>
      <c r="D23" s="9"/>
      <c r="E23" s="128" t="s">
        <v>456</v>
      </c>
      <c r="F23" s="129" t="s">
        <v>9</v>
      </c>
    </row>
    <row r="24" ht="15.75" customHeight="1">
      <c r="A24" s="9" t="s">
        <v>68</v>
      </c>
      <c r="B24" s="130">
        <v>905614.0</v>
      </c>
      <c r="C24" s="9"/>
      <c r="D24" s="9"/>
      <c r="E24" s="9" t="s">
        <v>68</v>
      </c>
      <c r="F24" s="130">
        <v>40316.0</v>
      </c>
    </row>
    <row r="25" ht="15.75" customHeight="1">
      <c r="A25" s="9" t="s">
        <v>13</v>
      </c>
      <c r="B25" s="130">
        <v>664627.0</v>
      </c>
      <c r="C25" s="9"/>
      <c r="D25" s="9"/>
      <c r="E25" s="9" t="s">
        <v>13</v>
      </c>
      <c r="F25" s="130">
        <v>28006.0</v>
      </c>
    </row>
    <row r="26" ht="15.75" customHeight="1">
      <c r="A26" s="9" t="s">
        <v>31</v>
      </c>
      <c r="B26" s="130">
        <v>463307.0</v>
      </c>
      <c r="C26" s="9"/>
      <c r="D26" s="9"/>
      <c r="E26" s="9" t="s">
        <v>12</v>
      </c>
      <c r="F26" s="130">
        <v>19314.0</v>
      </c>
    </row>
    <row r="27" ht="15.75" customHeight="1">
      <c r="A27" s="9" t="s">
        <v>12</v>
      </c>
      <c r="B27" s="130">
        <v>193840.0</v>
      </c>
      <c r="C27" s="9"/>
      <c r="D27" s="9"/>
      <c r="E27" s="84" t="s">
        <v>457</v>
      </c>
      <c r="F27" s="131">
        <v>87636.0</v>
      </c>
    </row>
    <row r="28" ht="15.75" customHeight="1">
      <c r="A28" s="9" t="s">
        <v>67</v>
      </c>
      <c r="B28" s="130">
        <v>612198.0</v>
      </c>
      <c r="C28" s="9"/>
      <c r="D28" s="9"/>
      <c r="E28" s="84"/>
      <c r="F28" s="131"/>
    </row>
    <row r="29" ht="15.75" customHeight="1">
      <c r="A29" s="84" t="s">
        <v>457</v>
      </c>
      <c r="B29" s="131">
        <v>2839586.0</v>
      </c>
      <c r="C29" s="9"/>
      <c r="D29" s="9"/>
      <c r="E29" s="9"/>
      <c r="F29" s="9"/>
    </row>
    <row r="30" ht="15.75" customHeight="1">
      <c r="A30" s="84"/>
      <c r="B30" s="131"/>
      <c r="C30" s="9"/>
      <c r="D30" s="9"/>
      <c r="E30" s="9"/>
      <c r="F30" s="9"/>
    </row>
    <row r="31" ht="15.75" customHeight="1">
      <c r="A31" s="9"/>
      <c r="B31" s="9"/>
      <c r="C31" s="9"/>
      <c r="D31" s="9"/>
      <c r="E31" s="128" t="s">
        <v>3</v>
      </c>
      <c r="F31" s="128" t="s">
        <v>458</v>
      </c>
    </row>
    <row r="32" ht="15.75" customHeight="1">
      <c r="A32" s="9"/>
      <c r="B32" s="9"/>
      <c r="C32" s="9"/>
      <c r="D32" s="9"/>
      <c r="E32" s="9"/>
      <c r="F32" s="9"/>
    </row>
    <row r="33" ht="15.75" customHeight="1">
      <c r="A33" s="133"/>
      <c r="C33" s="9"/>
      <c r="D33" s="9"/>
      <c r="E33" s="128" t="s">
        <v>456</v>
      </c>
      <c r="F33" s="129" t="s">
        <v>9</v>
      </c>
    </row>
    <row r="34" ht="15.75" customHeight="1">
      <c r="A34" s="9"/>
      <c r="B34" s="130"/>
      <c r="C34" s="9"/>
      <c r="D34" s="9"/>
      <c r="E34" s="9" t="s">
        <v>13</v>
      </c>
      <c r="F34" s="130">
        <v>469307.0</v>
      </c>
    </row>
    <row r="35" ht="15.75" customHeight="1">
      <c r="A35" s="9"/>
      <c r="B35" s="130"/>
      <c r="C35" s="9"/>
      <c r="D35" s="9"/>
      <c r="E35" s="9" t="s">
        <v>31</v>
      </c>
      <c r="F35" s="130">
        <v>49866.0</v>
      </c>
    </row>
    <row r="36" ht="15.75" customHeight="1">
      <c r="A36" s="9"/>
      <c r="B36" s="130"/>
      <c r="C36" s="9"/>
      <c r="D36" s="9"/>
      <c r="E36" s="9" t="s">
        <v>21</v>
      </c>
      <c r="F36" s="130">
        <v>504391.0</v>
      </c>
    </row>
    <row r="37" ht="15.75" customHeight="1">
      <c r="A37" s="9"/>
      <c r="B37" s="130"/>
      <c r="C37" s="9"/>
      <c r="D37" s="9"/>
      <c r="E37" s="84" t="s">
        <v>457</v>
      </c>
      <c r="F37" s="131">
        <v>1023564.0</v>
      </c>
    </row>
    <row r="38" ht="15.75" customHeight="1">
      <c r="A38" s="9"/>
      <c r="B38" s="130"/>
      <c r="C38" s="9"/>
      <c r="D38" s="9"/>
      <c r="E38" s="9"/>
      <c r="F38" s="130"/>
    </row>
    <row r="39" ht="15.75" customHeight="1">
      <c r="A39" s="9"/>
      <c r="B39" s="130"/>
      <c r="C39" s="9"/>
      <c r="D39" s="9"/>
      <c r="E39" s="84"/>
      <c r="F39" s="131"/>
    </row>
    <row r="40" ht="15.75" customHeight="1">
      <c r="A40" s="84"/>
      <c r="B40" s="131"/>
      <c r="C40" s="9"/>
      <c r="D40" s="9"/>
      <c r="E40" s="9"/>
      <c r="F40" s="9"/>
    </row>
    <row r="41" ht="15.75" customHeight="1">
      <c r="A41" s="9"/>
      <c r="B41" s="9"/>
      <c r="C41" s="9"/>
      <c r="D41" s="9"/>
      <c r="E41" s="9"/>
      <c r="F41" s="9"/>
    </row>
    <row r="42" ht="15.75" customHeight="1">
      <c r="A42" s="9"/>
      <c r="B42" s="9"/>
      <c r="C42" s="9"/>
      <c r="D42" s="9"/>
      <c r="E42" s="9"/>
      <c r="F42" s="9"/>
    </row>
    <row r="43" ht="15.75" customHeight="1">
      <c r="A43" s="9"/>
      <c r="B43" s="9"/>
      <c r="C43" s="9"/>
      <c r="D43" s="9"/>
      <c r="E43" s="9"/>
      <c r="F43" s="9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2"/>
    <mergeCell ref="A33:B33"/>
  </mergeCells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4.57"/>
    <col customWidth="1" min="3" max="26" width="10.71"/>
  </cols>
  <sheetData>
    <row r="2">
      <c r="A2" s="9" t="s">
        <v>3</v>
      </c>
      <c r="B2" s="69" t="s">
        <v>458</v>
      </c>
    </row>
    <row r="4">
      <c r="A4" s="9" t="s">
        <v>459</v>
      </c>
      <c r="B4" s="69" t="s">
        <v>460</v>
      </c>
    </row>
    <row r="5">
      <c r="A5" s="134" t="s">
        <v>13</v>
      </c>
      <c r="B5" s="69">
        <v>469307.0</v>
      </c>
    </row>
    <row r="6">
      <c r="A6" s="134" t="s">
        <v>31</v>
      </c>
      <c r="B6" s="69">
        <v>49866.0</v>
      </c>
    </row>
    <row r="7">
      <c r="A7" s="134" t="s">
        <v>21</v>
      </c>
      <c r="B7" s="69">
        <v>504391.0</v>
      </c>
    </row>
    <row r="8">
      <c r="A8" s="134" t="s">
        <v>457</v>
      </c>
      <c r="B8" s="69">
        <v>1023564.0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35" t="s">
        <v>461</v>
      </c>
      <c r="B1" s="135" t="s">
        <v>462</v>
      </c>
    </row>
    <row r="2">
      <c r="A2" s="135">
        <v>12202.0</v>
      </c>
      <c r="B2" s="135" t="s">
        <v>463</v>
      </c>
    </row>
    <row r="3">
      <c r="A3" s="135">
        <v>800.0</v>
      </c>
      <c r="B3" s="135" t="s">
        <v>464</v>
      </c>
    </row>
    <row r="4">
      <c r="A4" s="135">
        <v>801.0</v>
      </c>
      <c r="B4" s="135" t="s">
        <v>465</v>
      </c>
    </row>
    <row r="5">
      <c r="A5" s="135">
        <v>802.0</v>
      </c>
      <c r="B5" s="135" t="s">
        <v>466</v>
      </c>
    </row>
    <row r="6">
      <c r="A6" s="135">
        <v>12601.0</v>
      </c>
      <c r="B6" s="135" t="s">
        <v>467</v>
      </c>
    </row>
    <row r="7">
      <c r="A7" s="135">
        <v>12602.0</v>
      </c>
      <c r="B7" s="135" t="s">
        <v>468</v>
      </c>
    </row>
    <row r="8">
      <c r="A8" s="135">
        <v>803.0</v>
      </c>
      <c r="B8" s="135" t="s">
        <v>469</v>
      </c>
    </row>
    <row r="9">
      <c r="A9" s="135">
        <v>804.0</v>
      </c>
      <c r="B9" s="135" t="s">
        <v>470</v>
      </c>
    </row>
    <row r="10">
      <c r="A10" s="135">
        <v>805.0</v>
      </c>
      <c r="B10" s="135" t="s">
        <v>471</v>
      </c>
    </row>
    <row r="11">
      <c r="A11" s="135">
        <v>806.0</v>
      </c>
      <c r="B11" s="135" t="s">
        <v>472</v>
      </c>
    </row>
    <row r="12">
      <c r="A12" s="135">
        <v>807.0</v>
      </c>
      <c r="B12" s="135" t="s">
        <v>473</v>
      </c>
    </row>
    <row r="13">
      <c r="A13" s="135">
        <v>808.0</v>
      </c>
      <c r="B13" s="135" t="s">
        <v>474</v>
      </c>
    </row>
    <row r="14">
      <c r="A14" s="135">
        <v>809.0</v>
      </c>
      <c r="B14" s="135" t="s">
        <v>475</v>
      </c>
    </row>
    <row r="15">
      <c r="A15" s="135">
        <v>810.0</v>
      </c>
      <c r="B15" s="135" t="s">
        <v>476</v>
      </c>
    </row>
    <row r="16">
      <c r="A16" s="135">
        <v>811.0</v>
      </c>
      <c r="B16" s="135" t="s">
        <v>477</v>
      </c>
    </row>
    <row r="17">
      <c r="A17" s="135">
        <v>812.0</v>
      </c>
      <c r="B17" s="135" t="s">
        <v>478</v>
      </c>
    </row>
    <row r="18">
      <c r="A18" s="135">
        <v>813.0</v>
      </c>
      <c r="B18" s="135" t="s">
        <v>479</v>
      </c>
    </row>
    <row r="19">
      <c r="A19" s="135">
        <v>814.0</v>
      </c>
      <c r="B19" s="135" t="s">
        <v>480</v>
      </c>
    </row>
    <row r="20">
      <c r="A20" s="135">
        <v>815.0</v>
      </c>
      <c r="B20" s="135" t="s">
        <v>481</v>
      </c>
    </row>
    <row r="21" ht="15.75" customHeight="1">
      <c r="A21" s="135">
        <v>816.0</v>
      </c>
      <c r="B21" s="135" t="s">
        <v>482</v>
      </c>
    </row>
    <row r="22" ht="15.75" customHeight="1">
      <c r="A22" s="135">
        <v>817.0</v>
      </c>
      <c r="B22" s="135" t="s">
        <v>483</v>
      </c>
    </row>
    <row r="23" ht="15.75" customHeight="1">
      <c r="A23" s="135">
        <v>818.0</v>
      </c>
      <c r="B23" s="135" t="s">
        <v>484</v>
      </c>
    </row>
    <row r="24" ht="15.75" customHeight="1">
      <c r="A24" s="135">
        <v>819.0</v>
      </c>
      <c r="B24" s="135" t="s">
        <v>485</v>
      </c>
    </row>
    <row r="25" ht="15.75" customHeight="1">
      <c r="A25" s="135">
        <v>820.0</v>
      </c>
      <c r="B25" s="135" t="s">
        <v>486</v>
      </c>
    </row>
    <row r="26" ht="15.75" customHeight="1">
      <c r="A26" s="135">
        <v>821.0</v>
      </c>
      <c r="B26" s="135" t="s">
        <v>487</v>
      </c>
    </row>
    <row r="27" ht="15.75" customHeight="1">
      <c r="A27" s="135">
        <v>12603.0</v>
      </c>
      <c r="B27" s="135" t="s">
        <v>488</v>
      </c>
    </row>
    <row r="28" ht="15.75" customHeight="1">
      <c r="A28" s="135">
        <v>822.0</v>
      </c>
      <c r="B28" s="135" t="s">
        <v>489</v>
      </c>
    </row>
    <row r="29" ht="15.75" customHeight="1">
      <c r="A29" s="135">
        <v>823.0</v>
      </c>
      <c r="B29" s="135" t="s">
        <v>490</v>
      </c>
    </row>
    <row r="30" ht="15.75" customHeight="1">
      <c r="A30" s="135">
        <v>824.0</v>
      </c>
      <c r="B30" s="135" t="s">
        <v>491</v>
      </c>
    </row>
    <row r="31" ht="15.75" customHeight="1">
      <c r="A31" s="135">
        <v>1987.0</v>
      </c>
      <c r="B31" s="135" t="s">
        <v>492</v>
      </c>
    </row>
    <row r="32" ht="15.75" customHeight="1">
      <c r="A32" s="135">
        <v>1989.0</v>
      </c>
      <c r="B32" s="135" t="s">
        <v>492</v>
      </c>
    </row>
    <row r="33" ht="15.75" customHeight="1">
      <c r="A33" s="135">
        <v>12604.0</v>
      </c>
      <c r="B33" s="135" t="s">
        <v>493</v>
      </c>
    </row>
    <row r="34" ht="15.75" customHeight="1">
      <c r="A34" s="135">
        <v>12605.0</v>
      </c>
      <c r="B34" s="135" t="s">
        <v>494</v>
      </c>
    </row>
    <row r="35" ht="15.75" customHeight="1">
      <c r="A35" s="135">
        <v>825.0</v>
      </c>
      <c r="B35" s="135" t="s">
        <v>495</v>
      </c>
    </row>
    <row r="36" ht="15.75" customHeight="1">
      <c r="A36" s="135">
        <v>826.0</v>
      </c>
      <c r="B36" s="135" t="s">
        <v>496</v>
      </c>
    </row>
    <row r="37" ht="15.75" customHeight="1">
      <c r="A37" s="135">
        <v>827.0</v>
      </c>
      <c r="B37" s="135" t="s">
        <v>497</v>
      </c>
    </row>
    <row r="38" ht="15.75" customHeight="1">
      <c r="A38" s="135">
        <v>828.0</v>
      </c>
      <c r="B38" s="135" t="s">
        <v>498</v>
      </c>
    </row>
    <row r="39" ht="15.75" customHeight="1">
      <c r="A39" s="135">
        <v>852.0</v>
      </c>
      <c r="B39" s="135" t="s">
        <v>499</v>
      </c>
    </row>
    <row r="40" ht="15.75" customHeight="1">
      <c r="A40" s="135">
        <v>829.0</v>
      </c>
      <c r="B40" s="135" t="s">
        <v>500</v>
      </c>
    </row>
    <row r="41" ht="15.75" customHeight="1">
      <c r="A41" s="135">
        <v>830.0</v>
      </c>
      <c r="B41" s="135" t="s">
        <v>501</v>
      </c>
    </row>
    <row r="42" ht="15.75" customHeight="1">
      <c r="A42" s="135">
        <v>831.0</v>
      </c>
      <c r="B42" s="135" t="s">
        <v>502</v>
      </c>
    </row>
    <row r="43" ht="15.75" customHeight="1">
      <c r="A43" s="135">
        <v>832.0</v>
      </c>
      <c r="B43" s="135" t="s">
        <v>503</v>
      </c>
    </row>
    <row r="44" ht="15.75" customHeight="1">
      <c r="A44" s="135">
        <v>833.0</v>
      </c>
      <c r="B44" s="135" t="s">
        <v>504</v>
      </c>
    </row>
    <row r="45" ht="15.75" customHeight="1">
      <c r="A45" s="135">
        <v>834.0</v>
      </c>
      <c r="B45" s="135" t="s">
        <v>505</v>
      </c>
    </row>
    <row r="46" ht="15.75" customHeight="1">
      <c r="A46" s="135">
        <v>835.0</v>
      </c>
      <c r="B46" s="135" t="s">
        <v>506</v>
      </c>
    </row>
    <row r="47" ht="15.75" customHeight="1">
      <c r="A47" s="135">
        <v>836.0</v>
      </c>
      <c r="B47" s="135" t="s">
        <v>507</v>
      </c>
    </row>
    <row r="48" ht="15.75" customHeight="1">
      <c r="A48" s="135">
        <v>837.0</v>
      </c>
      <c r="B48" s="135" t="s">
        <v>508</v>
      </c>
    </row>
    <row r="49" ht="15.75" customHeight="1">
      <c r="A49" s="135">
        <v>838.0</v>
      </c>
      <c r="B49" s="135" t="s">
        <v>509</v>
      </c>
    </row>
    <row r="50" ht="15.75" customHeight="1">
      <c r="A50" s="135">
        <v>839.0</v>
      </c>
      <c r="B50" s="135" t="s">
        <v>510</v>
      </c>
    </row>
    <row r="51" ht="15.75" customHeight="1">
      <c r="A51" s="135">
        <v>840.0</v>
      </c>
      <c r="B51" s="135" t="s">
        <v>511</v>
      </c>
    </row>
    <row r="52" ht="15.75" customHeight="1">
      <c r="A52" s="135">
        <v>841.0</v>
      </c>
      <c r="B52" s="135" t="s">
        <v>512</v>
      </c>
    </row>
    <row r="53" ht="15.75" customHeight="1">
      <c r="A53" s="135">
        <v>842.0</v>
      </c>
      <c r="B53" s="135" t="s">
        <v>513</v>
      </c>
    </row>
    <row r="54" ht="15.75" customHeight="1">
      <c r="A54" s="135">
        <v>843.0</v>
      </c>
      <c r="B54" s="135" t="s">
        <v>514</v>
      </c>
    </row>
    <row r="55" ht="15.75" customHeight="1">
      <c r="A55" s="135">
        <v>844.0</v>
      </c>
      <c r="B55" s="135" t="s">
        <v>515</v>
      </c>
    </row>
    <row r="56" ht="15.75" customHeight="1">
      <c r="A56" s="135">
        <v>845.0</v>
      </c>
      <c r="B56" s="135" t="s">
        <v>516</v>
      </c>
    </row>
    <row r="57" ht="15.75" customHeight="1">
      <c r="A57" s="135">
        <v>12606.0</v>
      </c>
      <c r="B57" s="135" t="s">
        <v>517</v>
      </c>
    </row>
    <row r="58" ht="15.75" customHeight="1">
      <c r="A58" s="135">
        <v>846.0</v>
      </c>
      <c r="B58" s="135" t="s">
        <v>518</v>
      </c>
    </row>
    <row r="59" ht="15.75" customHeight="1">
      <c r="A59" s="135">
        <v>847.0</v>
      </c>
      <c r="B59" s="135" t="s">
        <v>519</v>
      </c>
    </row>
    <row r="60" ht="15.75" customHeight="1">
      <c r="A60" s="135">
        <v>12607.0</v>
      </c>
      <c r="B60" s="135" t="s">
        <v>520</v>
      </c>
    </row>
    <row r="61" ht="15.75" customHeight="1">
      <c r="A61" s="135">
        <v>12608.0</v>
      </c>
      <c r="B61" s="135" t="s">
        <v>521</v>
      </c>
    </row>
    <row r="62" ht="15.75" customHeight="1">
      <c r="A62" s="135">
        <v>848.0</v>
      </c>
      <c r="B62" s="135" t="s">
        <v>522</v>
      </c>
    </row>
    <row r="63" ht="15.75" customHeight="1">
      <c r="A63" s="135">
        <v>853.0</v>
      </c>
      <c r="B63" s="135" t="s">
        <v>523</v>
      </c>
    </row>
    <row r="64" ht="15.75" customHeight="1">
      <c r="A64" s="135">
        <v>1935.0</v>
      </c>
      <c r="B64" s="135" t="s">
        <v>524</v>
      </c>
    </row>
    <row r="65" ht="15.75" customHeight="1">
      <c r="A65" s="135">
        <v>12000.0</v>
      </c>
      <c r="B65" s="135" t="s">
        <v>525</v>
      </c>
    </row>
    <row r="66" ht="15.75" customHeight="1">
      <c r="A66" s="135">
        <v>10800.0</v>
      </c>
      <c r="B66" s="135" t="s">
        <v>526</v>
      </c>
    </row>
    <row r="67" ht="15.75" customHeight="1">
      <c r="A67" s="135">
        <v>849.0</v>
      </c>
      <c r="B67" s="135" t="s">
        <v>527</v>
      </c>
    </row>
    <row r="68" ht="15.75" customHeight="1">
      <c r="A68" s="135">
        <v>12600.0</v>
      </c>
      <c r="B68" s="135" t="s">
        <v>528</v>
      </c>
    </row>
    <row r="69" ht="15.75" customHeight="1">
      <c r="A69" s="135">
        <v>12609.0</v>
      </c>
      <c r="B69" s="135" t="s">
        <v>529</v>
      </c>
    </row>
    <row r="70" ht="15.75" customHeight="1">
      <c r="A70" s="135">
        <v>850.0</v>
      </c>
      <c r="B70" s="135" t="s">
        <v>530</v>
      </c>
    </row>
    <row r="71" ht="15.75" customHeight="1">
      <c r="A71" s="135">
        <v>851.0</v>
      </c>
      <c r="B71" s="135" t="s">
        <v>531</v>
      </c>
    </row>
    <row r="72" ht="15.75" customHeight="1">
      <c r="A72" s="135">
        <v>2200.0</v>
      </c>
      <c r="B72" s="135" t="s">
        <v>532</v>
      </c>
    </row>
    <row r="73" ht="15.75" customHeight="1">
      <c r="A73" s="135">
        <v>2201.0</v>
      </c>
      <c r="B73" s="135" t="s">
        <v>533</v>
      </c>
    </row>
    <row r="74" ht="15.75" customHeight="1">
      <c r="A74" s="135">
        <v>12610.0</v>
      </c>
      <c r="B74" s="135" t="s">
        <v>534</v>
      </c>
    </row>
    <row r="75" ht="15.75" customHeight="1">
      <c r="A75" s="135">
        <v>12611.0</v>
      </c>
      <c r="B75" s="135" t="s">
        <v>535</v>
      </c>
    </row>
    <row r="76" ht="15.75" customHeight="1">
      <c r="A76" s="135">
        <v>12612.0</v>
      </c>
      <c r="B76" s="135" t="s">
        <v>536</v>
      </c>
    </row>
    <row r="77" ht="15.75" customHeight="1">
      <c r="A77" s="135">
        <v>1969.0</v>
      </c>
      <c r="B77" s="135" t="s">
        <v>537</v>
      </c>
    </row>
    <row r="78" ht="15.75" customHeight="1">
      <c r="A78" s="135">
        <v>1970.0</v>
      </c>
      <c r="B78" s="135" t="s">
        <v>538</v>
      </c>
    </row>
    <row r="79" ht="15.75" customHeight="1">
      <c r="A79" s="135">
        <v>1971.0</v>
      </c>
      <c r="B79" s="135" t="s">
        <v>539</v>
      </c>
    </row>
    <row r="80" ht="15.75" customHeight="1">
      <c r="A80" s="135">
        <v>1972.0</v>
      </c>
      <c r="B80" s="135" t="s">
        <v>540</v>
      </c>
    </row>
    <row r="81" ht="15.75" customHeight="1">
      <c r="A81" s="135">
        <v>1973.0</v>
      </c>
      <c r="B81" s="135" t="s">
        <v>541</v>
      </c>
    </row>
    <row r="82" ht="15.75" customHeight="1">
      <c r="A82" s="135">
        <v>750.0</v>
      </c>
      <c r="B82" s="135" t="s">
        <v>542</v>
      </c>
    </row>
    <row r="83" ht="15.75" customHeight="1">
      <c r="A83" s="135">
        <v>751.0</v>
      </c>
      <c r="B83" s="135" t="s">
        <v>543</v>
      </c>
    </row>
    <row r="84" ht="15.75" customHeight="1">
      <c r="A84" s="135">
        <v>752.0</v>
      </c>
      <c r="B84" s="135" t="s">
        <v>544</v>
      </c>
    </row>
    <row r="85" ht="15.75" customHeight="1">
      <c r="A85" s="135">
        <v>753.0</v>
      </c>
      <c r="B85" s="135" t="s">
        <v>545</v>
      </c>
    </row>
    <row r="86" ht="15.75" customHeight="1">
      <c r="A86" s="135">
        <v>754.0</v>
      </c>
      <c r="B86" s="135" t="s">
        <v>546</v>
      </c>
    </row>
    <row r="87" ht="15.75" customHeight="1">
      <c r="A87" s="135">
        <v>755.0</v>
      </c>
      <c r="B87" s="135" t="s">
        <v>547</v>
      </c>
    </row>
    <row r="88" ht="15.75" customHeight="1">
      <c r="A88" s="135">
        <v>756.0</v>
      </c>
      <c r="B88" s="135" t="s">
        <v>548</v>
      </c>
    </row>
    <row r="89" ht="15.75" customHeight="1">
      <c r="A89" s="135">
        <v>757.0</v>
      </c>
      <c r="B89" s="135" t="s">
        <v>549</v>
      </c>
    </row>
    <row r="90" ht="15.75" customHeight="1">
      <c r="A90" s="135">
        <v>758.0</v>
      </c>
      <c r="B90" s="135" t="s">
        <v>550</v>
      </c>
    </row>
    <row r="91" ht="15.75" customHeight="1">
      <c r="A91" s="135">
        <v>759.0</v>
      </c>
      <c r="B91" s="135" t="s">
        <v>551</v>
      </c>
    </row>
    <row r="92" ht="15.75" customHeight="1">
      <c r="A92" s="135">
        <v>760.0</v>
      </c>
      <c r="B92" s="135" t="s">
        <v>552</v>
      </c>
    </row>
    <row r="93" ht="15.75" customHeight="1">
      <c r="A93" s="135">
        <v>761.0</v>
      </c>
      <c r="B93" s="135" t="s">
        <v>553</v>
      </c>
    </row>
    <row r="94" ht="15.75" customHeight="1">
      <c r="A94" s="135">
        <v>762.0</v>
      </c>
      <c r="B94" s="135" t="s">
        <v>554</v>
      </c>
    </row>
    <row r="95" ht="15.75" customHeight="1">
      <c r="A95" s="135">
        <v>763.0</v>
      </c>
      <c r="B95" s="135" t="s">
        <v>555</v>
      </c>
    </row>
    <row r="96" ht="15.75" customHeight="1">
      <c r="A96" s="135">
        <v>764.0</v>
      </c>
      <c r="B96" s="135" t="s">
        <v>556</v>
      </c>
    </row>
    <row r="97" ht="15.75" customHeight="1">
      <c r="A97" s="135">
        <v>765.0</v>
      </c>
      <c r="B97" s="135" t="s">
        <v>557</v>
      </c>
    </row>
    <row r="98" ht="15.75" customHeight="1">
      <c r="A98" s="135">
        <v>766.0</v>
      </c>
      <c r="B98" s="135" t="s">
        <v>558</v>
      </c>
    </row>
    <row r="99" ht="15.75" customHeight="1">
      <c r="A99" s="135">
        <v>767.0</v>
      </c>
      <c r="B99" s="135" t="s">
        <v>559</v>
      </c>
    </row>
    <row r="100" ht="15.75" customHeight="1">
      <c r="A100" s="135">
        <v>768.0</v>
      </c>
      <c r="B100" s="135" t="s">
        <v>560</v>
      </c>
    </row>
    <row r="101" ht="15.75" customHeight="1">
      <c r="A101" s="135">
        <v>769.0</v>
      </c>
      <c r="B101" s="135" t="s">
        <v>561</v>
      </c>
    </row>
    <row r="102" ht="15.75" customHeight="1">
      <c r="A102" s="135">
        <v>770.0</v>
      </c>
      <c r="B102" s="135" t="s">
        <v>562</v>
      </c>
    </row>
    <row r="103" ht="15.75" customHeight="1">
      <c r="A103" s="135">
        <v>771.0</v>
      </c>
      <c r="B103" s="135" t="s">
        <v>563</v>
      </c>
    </row>
    <row r="104" ht="15.75" customHeight="1">
      <c r="A104" s="135">
        <v>10911.0</v>
      </c>
      <c r="B104" s="135" t="s">
        <v>564</v>
      </c>
    </row>
    <row r="105" ht="15.75" customHeight="1">
      <c r="A105" s="135">
        <v>900.0</v>
      </c>
      <c r="B105" s="135" t="s">
        <v>565</v>
      </c>
    </row>
    <row r="106" ht="15.75" customHeight="1">
      <c r="A106" s="135">
        <v>901.0</v>
      </c>
      <c r="B106" s="135" t="s">
        <v>566</v>
      </c>
    </row>
    <row r="107" ht="15.75" customHeight="1">
      <c r="A107" s="135">
        <v>902.0</v>
      </c>
      <c r="B107" s="135" t="s">
        <v>567</v>
      </c>
    </row>
    <row r="108" ht="15.75" customHeight="1">
      <c r="A108" s="135">
        <v>903.0</v>
      </c>
      <c r="B108" s="135" t="s">
        <v>568</v>
      </c>
    </row>
    <row r="109" ht="15.75" customHeight="1">
      <c r="A109" s="135">
        <v>994.0</v>
      </c>
      <c r="B109" s="135" t="s">
        <v>569</v>
      </c>
    </row>
    <row r="110" ht="15.75" customHeight="1">
      <c r="A110" s="135">
        <v>904.0</v>
      </c>
      <c r="B110" s="135" t="s">
        <v>570</v>
      </c>
    </row>
    <row r="111" ht="15.75" customHeight="1">
      <c r="A111" s="135">
        <v>905.0</v>
      </c>
      <c r="B111" s="135" t="s">
        <v>571</v>
      </c>
    </row>
    <row r="112" ht="15.75" customHeight="1">
      <c r="A112" s="135">
        <v>906.0</v>
      </c>
      <c r="B112" s="135" t="s">
        <v>572</v>
      </c>
    </row>
    <row r="113" ht="15.75" customHeight="1">
      <c r="A113" s="135">
        <v>907.0</v>
      </c>
      <c r="B113" s="135" t="s">
        <v>573</v>
      </c>
    </row>
    <row r="114" ht="15.75" customHeight="1">
      <c r="A114" s="135">
        <v>908.0</v>
      </c>
      <c r="B114" s="135" t="s">
        <v>574</v>
      </c>
    </row>
    <row r="115" ht="15.75" customHeight="1">
      <c r="A115" s="135">
        <v>10957.0</v>
      </c>
      <c r="B115" s="135" t="s">
        <v>575</v>
      </c>
    </row>
    <row r="116" ht="15.75" customHeight="1">
      <c r="A116" s="135">
        <v>10912.0</v>
      </c>
      <c r="B116" s="135" t="s">
        <v>576</v>
      </c>
    </row>
    <row r="117" ht="15.75" customHeight="1">
      <c r="A117" s="135">
        <v>10907.0</v>
      </c>
      <c r="B117" s="135" t="s">
        <v>577</v>
      </c>
    </row>
    <row r="118" ht="15.75" customHeight="1">
      <c r="A118" s="135">
        <v>10909.0</v>
      </c>
      <c r="B118" s="135" t="s">
        <v>578</v>
      </c>
    </row>
    <row r="119" ht="15.75" customHeight="1">
      <c r="A119" s="135">
        <v>10908.0</v>
      </c>
      <c r="B119" s="135" t="s">
        <v>579</v>
      </c>
    </row>
    <row r="120" ht="15.75" customHeight="1">
      <c r="A120" s="135">
        <v>10913.0</v>
      </c>
      <c r="B120" s="135" t="s">
        <v>580</v>
      </c>
    </row>
    <row r="121" ht="15.75" customHeight="1">
      <c r="A121" s="135">
        <v>10914.0</v>
      </c>
      <c r="B121" s="135" t="s">
        <v>581</v>
      </c>
    </row>
    <row r="122" ht="15.75" customHeight="1">
      <c r="A122" s="135">
        <v>10915.0</v>
      </c>
      <c r="B122" s="135" t="s">
        <v>582</v>
      </c>
    </row>
    <row r="123" ht="15.75" customHeight="1">
      <c r="A123" s="135">
        <v>10916.0</v>
      </c>
      <c r="B123" s="135" t="s">
        <v>583</v>
      </c>
    </row>
    <row r="124" ht="15.75" customHeight="1">
      <c r="A124" s="135">
        <v>10917.0</v>
      </c>
      <c r="B124" s="135" t="s">
        <v>584</v>
      </c>
    </row>
    <row r="125" ht="15.75" customHeight="1">
      <c r="A125" s="135">
        <v>10918.0</v>
      </c>
      <c r="B125" s="135" t="s">
        <v>585</v>
      </c>
    </row>
    <row r="126" ht="15.75" customHeight="1">
      <c r="A126" s="135">
        <v>10919.0</v>
      </c>
      <c r="B126" s="135" t="s">
        <v>586</v>
      </c>
    </row>
    <row r="127" ht="15.75" customHeight="1">
      <c r="A127" s="135">
        <v>10920.0</v>
      </c>
      <c r="B127" s="135" t="s">
        <v>587</v>
      </c>
    </row>
    <row r="128" ht="15.75" customHeight="1">
      <c r="A128" s="135">
        <v>909.0</v>
      </c>
      <c r="B128" s="135" t="s">
        <v>588</v>
      </c>
    </row>
    <row r="129" ht="15.75" customHeight="1">
      <c r="A129" s="135">
        <v>910.0</v>
      </c>
      <c r="B129" s="135" t="s">
        <v>589</v>
      </c>
    </row>
    <row r="130" ht="15.75" customHeight="1">
      <c r="A130" s="135">
        <v>911.0</v>
      </c>
      <c r="B130" s="135" t="s">
        <v>590</v>
      </c>
    </row>
    <row r="131" ht="15.75" customHeight="1">
      <c r="A131" s="135">
        <v>912.0</v>
      </c>
      <c r="B131" s="135" t="s">
        <v>591</v>
      </c>
    </row>
    <row r="132" ht="15.75" customHeight="1">
      <c r="A132" s="135">
        <v>932.0</v>
      </c>
      <c r="B132" s="135" t="s">
        <v>592</v>
      </c>
    </row>
    <row r="133" ht="15.75" customHeight="1">
      <c r="A133" s="135">
        <v>933.0</v>
      </c>
      <c r="B133" s="135" t="s">
        <v>593</v>
      </c>
    </row>
    <row r="134" ht="15.75" customHeight="1">
      <c r="A134" s="135">
        <v>913.0</v>
      </c>
      <c r="B134" s="135" t="s">
        <v>594</v>
      </c>
    </row>
    <row r="135" ht="15.75" customHeight="1">
      <c r="A135" s="135">
        <v>914.0</v>
      </c>
      <c r="B135" s="135" t="s">
        <v>595</v>
      </c>
    </row>
    <row r="136" ht="15.75" customHeight="1">
      <c r="A136" s="135">
        <v>915.0</v>
      </c>
      <c r="B136" s="135" t="s">
        <v>596</v>
      </c>
    </row>
    <row r="137" ht="15.75" customHeight="1">
      <c r="A137" s="135">
        <v>916.0</v>
      </c>
      <c r="B137" s="135" t="s">
        <v>597</v>
      </c>
    </row>
    <row r="138" ht="15.75" customHeight="1">
      <c r="A138" s="135">
        <v>917.0</v>
      </c>
      <c r="B138" s="135" t="s">
        <v>598</v>
      </c>
    </row>
    <row r="139" ht="15.75" customHeight="1">
      <c r="A139" s="135">
        <v>918.0</v>
      </c>
      <c r="B139" s="135" t="s">
        <v>599</v>
      </c>
    </row>
    <row r="140" ht="15.75" customHeight="1">
      <c r="A140" s="135">
        <v>919.0</v>
      </c>
      <c r="B140" s="135" t="s">
        <v>600</v>
      </c>
    </row>
    <row r="141" ht="15.75" customHeight="1">
      <c r="A141" s="135">
        <v>920.0</v>
      </c>
      <c r="B141" s="135" t="s">
        <v>601</v>
      </c>
    </row>
    <row r="142" ht="15.75" customHeight="1">
      <c r="A142" s="135">
        <v>921.0</v>
      </c>
      <c r="B142" s="135" t="s">
        <v>602</v>
      </c>
    </row>
    <row r="143" ht="15.75" customHeight="1">
      <c r="A143" s="135">
        <v>922.0</v>
      </c>
      <c r="B143" s="135" t="s">
        <v>603</v>
      </c>
    </row>
    <row r="144" ht="15.75" customHeight="1">
      <c r="A144" s="135">
        <v>923.0</v>
      </c>
      <c r="B144" s="135" t="s">
        <v>604</v>
      </c>
    </row>
    <row r="145" ht="15.75" customHeight="1">
      <c r="A145" s="135">
        <v>924.0</v>
      </c>
      <c r="B145" s="135" t="s">
        <v>605</v>
      </c>
    </row>
    <row r="146" ht="15.75" customHeight="1">
      <c r="A146" s="135">
        <v>10900.0</v>
      </c>
      <c r="B146" s="135" t="s">
        <v>606</v>
      </c>
    </row>
    <row r="147" ht="15.75" customHeight="1">
      <c r="A147" s="135">
        <v>10901.0</v>
      </c>
      <c r="B147" s="135" t="s">
        <v>607</v>
      </c>
    </row>
    <row r="148" ht="15.75" customHeight="1">
      <c r="A148" s="135">
        <v>10902.0</v>
      </c>
      <c r="B148" s="135" t="s">
        <v>608</v>
      </c>
    </row>
    <row r="149" ht="15.75" customHeight="1">
      <c r="A149" s="135">
        <v>10903.0</v>
      </c>
      <c r="B149" s="135" t="s">
        <v>609</v>
      </c>
    </row>
    <row r="150" ht="15.75" customHeight="1">
      <c r="A150" s="135">
        <v>10904.0</v>
      </c>
      <c r="B150" s="135" t="s">
        <v>610</v>
      </c>
    </row>
    <row r="151" ht="15.75" customHeight="1">
      <c r="A151" s="135">
        <v>10921.0</v>
      </c>
      <c r="B151" s="135" t="s">
        <v>611</v>
      </c>
    </row>
    <row r="152" ht="15.75" customHeight="1">
      <c r="A152" s="135">
        <v>10922.0</v>
      </c>
      <c r="B152" s="135" t="s">
        <v>612</v>
      </c>
    </row>
    <row r="153" ht="15.75" customHeight="1">
      <c r="A153" s="135">
        <v>10923.0</v>
      </c>
      <c r="B153" s="135" t="s">
        <v>613</v>
      </c>
    </row>
    <row r="154" ht="15.75" customHeight="1">
      <c r="A154" s="135">
        <v>10924.0</v>
      </c>
      <c r="B154" s="135" t="s">
        <v>614</v>
      </c>
    </row>
    <row r="155" ht="15.75" customHeight="1">
      <c r="A155" s="135">
        <v>10925.0</v>
      </c>
      <c r="B155" s="135" t="s">
        <v>615</v>
      </c>
    </row>
    <row r="156" ht="15.75" customHeight="1">
      <c r="A156" s="135">
        <v>10926.0</v>
      </c>
      <c r="B156" s="135" t="s">
        <v>616</v>
      </c>
    </row>
    <row r="157" ht="15.75" customHeight="1">
      <c r="A157" s="135">
        <v>10927.0</v>
      </c>
      <c r="B157" s="135" t="s">
        <v>617</v>
      </c>
    </row>
    <row r="158" ht="15.75" customHeight="1">
      <c r="A158" s="135">
        <v>925.0</v>
      </c>
      <c r="B158" s="135" t="s">
        <v>618</v>
      </c>
    </row>
    <row r="159" ht="15.75" customHeight="1">
      <c r="A159" s="135">
        <v>926.0</v>
      </c>
      <c r="B159" s="135" t="s">
        <v>619</v>
      </c>
    </row>
    <row r="160" ht="15.75" customHeight="1">
      <c r="A160" s="135">
        <v>927.0</v>
      </c>
      <c r="B160" s="135" t="s">
        <v>620</v>
      </c>
    </row>
    <row r="161" ht="15.75" customHeight="1">
      <c r="A161" s="135">
        <v>928.0</v>
      </c>
      <c r="B161" s="135" t="s">
        <v>621</v>
      </c>
    </row>
    <row r="162" ht="15.75" customHeight="1">
      <c r="A162" s="135">
        <v>929.0</v>
      </c>
      <c r="B162" s="135" t="s">
        <v>622</v>
      </c>
    </row>
    <row r="163" ht="15.75" customHeight="1">
      <c r="A163" s="135">
        <v>930.0</v>
      </c>
      <c r="B163" s="135" t="s">
        <v>623</v>
      </c>
    </row>
    <row r="164" ht="15.75" customHeight="1">
      <c r="A164" s="135">
        <v>931.0</v>
      </c>
      <c r="B164" s="135" t="s">
        <v>624</v>
      </c>
    </row>
    <row r="165" ht="15.75" customHeight="1">
      <c r="A165" s="135">
        <v>10928.0</v>
      </c>
      <c r="B165" s="135" t="s">
        <v>625</v>
      </c>
    </row>
    <row r="166" ht="15.75" customHeight="1">
      <c r="A166" s="135">
        <v>10929.0</v>
      </c>
      <c r="B166" s="135" t="s">
        <v>626</v>
      </c>
    </row>
    <row r="167" ht="15.75" customHeight="1">
      <c r="A167" s="135">
        <v>10930.0</v>
      </c>
      <c r="B167" s="135" t="s">
        <v>627</v>
      </c>
    </row>
    <row r="168" ht="15.75" customHeight="1">
      <c r="A168" s="135">
        <v>10931.0</v>
      </c>
      <c r="B168" s="135" t="s">
        <v>628</v>
      </c>
    </row>
    <row r="169" ht="15.75" customHeight="1">
      <c r="A169" s="135">
        <v>10932.0</v>
      </c>
      <c r="B169" s="135" t="s">
        <v>629</v>
      </c>
    </row>
    <row r="170" ht="15.75" customHeight="1">
      <c r="A170" s="135">
        <v>10910.0</v>
      </c>
      <c r="B170" s="135" t="s">
        <v>630</v>
      </c>
    </row>
    <row r="171" ht="15.75" customHeight="1">
      <c r="A171" s="135">
        <v>10934.0</v>
      </c>
      <c r="B171" s="135" t="s">
        <v>631</v>
      </c>
    </row>
    <row r="172" ht="15.75" customHeight="1">
      <c r="A172" s="135">
        <v>10933.0</v>
      </c>
      <c r="B172" s="135" t="s">
        <v>632</v>
      </c>
    </row>
    <row r="173" ht="15.75" customHeight="1">
      <c r="A173" s="135">
        <v>10954.0</v>
      </c>
      <c r="B173" s="135" t="s">
        <v>633</v>
      </c>
    </row>
    <row r="174" ht="15.75" customHeight="1">
      <c r="A174" s="135">
        <v>10955.0</v>
      </c>
      <c r="B174" s="135" t="s">
        <v>634</v>
      </c>
    </row>
    <row r="175" ht="15.75" customHeight="1">
      <c r="A175" s="135">
        <v>934.0</v>
      </c>
      <c r="B175" s="135" t="s">
        <v>635</v>
      </c>
    </row>
    <row r="176" ht="15.75" customHeight="1">
      <c r="A176" s="135">
        <v>935.0</v>
      </c>
      <c r="B176" s="135" t="s">
        <v>636</v>
      </c>
    </row>
    <row r="177" ht="15.75" customHeight="1">
      <c r="A177" s="135">
        <v>936.0</v>
      </c>
      <c r="B177" s="135" t="s">
        <v>637</v>
      </c>
    </row>
    <row r="178" ht="15.75" customHeight="1">
      <c r="A178" s="135">
        <v>937.0</v>
      </c>
      <c r="B178" s="135" t="s">
        <v>638</v>
      </c>
    </row>
    <row r="179" ht="15.75" customHeight="1">
      <c r="A179" s="135">
        <v>938.0</v>
      </c>
      <c r="B179" s="135" t="s">
        <v>639</v>
      </c>
    </row>
    <row r="180" ht="15.75" customHeight="1">
      <c r="A180" s="135">
        <v>939.0</v>
      </c>
      <c r="B180" s="135" t="s">
        <v>640</v>
      </c>
    </row>
    <row r="181" ht="15.75" customHeight="1">
      <c r="A181" s="135">
        <v>940.0</v>
      </c>
      <c r="B181" s="135" t="s">
        <v>641</v>
      </c>
    </row>
    <row r="182" ht="15.75" customHeight="1">
      <c r="A182" s="135">
        <v>941.0</v>
      </c>
      <c r="B182" s="135" t="s">
        <v>642</v>
      </c>
    </row>
    <row r="183" ht="15.75" customHeight="1">
      <c r="A183" s="135">
        <v>10935.0</v>
      </c>
      <c r="B183" s="135" t="s">
        <v>643</v>
      </c>
    </row>
    <row r="184" ht="15.75" customHeight="1">
      <c r="A184" s="135">
        <v>10936.0</v>
      </c>
      <c r="B184" s="135" t="s">
        <v>644</v>
      </c>
    </row>
    <row r="185" ht="15.75" customHeight="1">
      <c r="A185" s="135">
        <v>942.0</v>
      </c>
      <c r="B185" s="135" t="s">
        <v>645</v>
      </c>
    </row>
    <row r="186" ht="15.75" customHeight="1">
      <c r="A186" s="135">
        <v>943.0</v>
      </c>
      <c r="B186" s="135" t="s">
        <v>646</v>
      </c>
    </row>
    <row r="187" ht="15.75" customHeight="1">
      <c r="A187" s="135">
        <v>944.0</v>
      </c>
      <c r="B187" s="135" t="s">
        <v>647</v>
      </c>
    </row>
    <row r="188" ht="15.75" customHeight="1">
      <c r="A188" s="135">
        <v>945.0</v>
      </c>
      <c r="B188" s="135" t="s">
        <v>648</v>
      </c>
    </row>
    <row r="189" ht="15.75" customHeight="1">
      <c r="A189" s="135">
        <v>10937.0</v>
      </c>
      <c r="B189" s="135" t="s">
        <v>649</v>
      </c>
    </row>
    <row r="190" ht="15.75" customHeight="1">
      <c r="A190" s="135">
        <v>10938.0</v>
      </c>
      <c r="B190" s="135" t="s">
        <v>650</v>
      </c>
    </row>
    <row r="191" ht="15.75" customHeight="1">
      <c r="A191" s="135">
        <v>10939.0</v>
      </c>
      <c r="B191" s="135" t="s">
        <v>651</v>
      </c>
    </row>
    <row r="192" ht="15.75" customHeight="1">
      <c r="A192" s="135">
        <v>946.0</v>
      </c>
      <c r="B192" s="135" t="s">
        <v>652</v>
      </c>
    </row>
    <row r="193" ht="15.75" customHeight="1">
      <c r="A193" s="135">
        <v>10940.0</v>
      </c>
      <c r="B193" s="135" t="s">
        <v>653</v>
      </c>
    </row>
    <row r="194" ht="15.75" customHeight="1">
      <c r="A194" s="135">
        <v>10953.0</v>
      </c>
      <c r="B194" s="135" t="s">
        <v>654</v>
      </c>
    </row>
    <row r="195" ht="15.75" customHeight="1">
      <c r="A195" s="135">
        <v>10941.0</v>
      </c>
      <c r="B195" s="135" t="s">
        <v>655</v>
      </c>
    </row>
    <row r="196" ht="15.75" customHeight="1">
      <c r="A196" s="135">
        <v>10958.0</v>
      </c>
      <c r="B196" s="135" t="s">
        <v>492</v>
      </c>
    </row>
    <row r="197" ht="15.75" customHeight="1">
      <c r="A197" s="135">
        <v>947.0</v>
      </c>
      <c r="B197" s="135" t="s">
        <v>656</v>
      </c>
    </row>
    <row r="198" ht="15.75" customHeight="1">
      <c r="A198" s="135">
        <v>948.0</v>
      </c>
      <c r="B198" s="135" t="s">
        <v>657</v>
      </c>
    </row>
    <row r="199" ht="15.75" customHeight="1">
      <c r="A199" s="135">
        <v>949.0</v>
      </c>
      <c r="B199" s="135" t="s">
        <v>658</v>
      </c>
    </row>
    <row r="200" ht="15.75" customHeight="1">
      <c r="A200" s="135">
        <v>950.0</v>
      </c>
      <c r="B200" s="135" t="s">
        <v>659</v>
      </c>
    </row>
    <row r="201" ht="15.75" customHeight="1">
      <c r="A201" s="135">
        <v>951.0</v>
      </c>
      <c r="B201" s="135" t="s">
        <v>660</v>
      </c>
    </row>
    <row r="202" ht="15.75" customHeight="1">
      <c r="A202" s="135">
        <v>952.0</v>
      </c>
      <c r="B202" s="135" t="s">
        <v>661</v>
      </c>
    </row>
    <row r="203" ht="15.75" customHeight="1">
      <c r="A203" s="135">
        <v>10942.0</v>
      </c>
      <c r="B203" s="135" t="s">
        <v>662</v>
      </c>
    </row>
    <row r="204" ht="15.75" customHeight="1">
      <c r="A204" s="135">
        <v>953.0</v>
      </c>
      <c r="B204" s="135" t="s">
        <v>663</v>
      </c>
    </row>
    <row r="205" ht="15.75" customHeight="1">
      <c r="A205" s="135">
        <v>954.0</v>
      </c>
      <c r="B205" s="135" t="s">
        <v>664</v>
      </c>
    </row>
    <row r="206" ht="15.75" customHeight="1">
      <c r="A206" s="135">
        <v>955.0</v>
      </c>
      <c r="B206" s="135" t="s">
        <v>665</v>
      </c>
    </row>
    <row r="207" ht="15.75" customHeight="1">
      <c r="A207" s="135">
        <v>956.0</v>
      </c>
      <c r="B207" s="135" t="s">
        <v>666</v>
      </c>
    </row>
    <row r="208" ht="15.75" customHeight="1">
      <c r="A208" s="135">
        <v>10956.0</v>
      </c>
      <c r="B208" s="135" t="s">
        <v>667</v>
      </c>
    </row>
    <row r="209" ht="15.75" customHeight="1">
      <c r="A209" s="135">
        <v>10943.0</v>
      </c>
      <c r="B209" s="135" t="s">
        <v>668</v>
      </c>
    </row>
    <row r="210" ht="15.75" customHeight="1">
      <c r="A210" s="135">
        <v>10944.0</v>
      </c>
      <c r="B210" s="135" t="s">
        <v>669</v>
      </c>
    </row>
    <row r="211" ht="15.75" customHeight="1">
      <c r="A211" s="135">
        <v>10945.0</v>
      </c>
      <c r="B211" s="135" t="s">
        <v>670</v>
      </c>
    </row>
    <row r="212" ht="15.75" customHeight="1">
      <c r="A212" s="135">
        <v>10946.0</v>
      </c>
      <c r="B212" s="135" t="s">
        <v>671</v>
      </c>
    </row>
    <row r="213" ht="15.75" customHeight="1">
      <c r="A213" s="135">
        <v>957.0</v>
      </c>
      <c r="B213" s="135" t="s">
        <v>672</v>
      </c>
    </row>
    <row r="214" ht="15.75" customHeight="1">
      <c r="A214" s="135">
        <v>958.0</v>
      </c>
      <c r="B214" s="135" t="s">
        <v>673</v>
      </c>
    </row>
    <row r="215" ht="15.75" customHeight="1">
      <c r="A215" s="135">
        <v>10905.0</v>
      </c>
      <c r="B215" s="135" t="s">
        <v>674</v>
      </c>
    </row>
    <row r="216" ht="15.75" customHeight="1">
      <c r="A216" s="135">
        <v>10906.0</v>
      </c>
      <c r="B216" s="135" t="s">
        <v>675</v>
      </c>
    </row>
    <row r="217" ht="15.75" customHeight="1">
      <c r="A217" s="135">
        <v>10947.0</v>
      </c>
      <c r="B217" s="135" t="s">
        <v>676</v>
      </c>
    </row>
    <row r="218" ht="15.75" customHeight="1">
      <c r="A218" s="135">
        <v>10948.0</v>
      </c>
      <c r="B218" s="135" t="s">
        <v>677</v>
      </c>
    </row>
    <row r="219" ht="15.75" customHeight="1">
      <c r="A219" s="135">
        <v>959.0</v>
      </c>
      <c r="B219" s="135" t="s">
        <v>678</v>
      </c>
    </row>
    <row r="220" ht="15.75" customHeight="1">
      <c r="A220" s="135">
        <v>995.0</v>
      </c>
      <c r="B220" s="135" t="s">
        <v>441</v>
      </c>
    </row>
    <row r="221" ht="15.75" customHeight="1">
      <c r="A221" s="135">
        <v>960.0</v>
      </c>
      <c r="B221" s="135" t="s">
        <v>679</v>
      </c>
    </row>
    <row r="222" ht="15.75" customHeight="1">
      <c r="A222" s="135">
        <v>961.0</v>
      </c>
      <c r="B222" s="135" t="s">
        <v>680</v>
      </c>
    </row>
    <row r="223" ht="15.75" customHeight="1">
      <c r="A223" s="135">
        <v>10952.0</v>
      </c>
      <c r="B223" s="135" t="s">
        <v>681</v>
      </c>
    </row>
    <row r="224" ht="15.75" customHeight="1">
      <c r="A224" s="135">
        <v>962.0</v>
      </c>
      <c r="B224" s="135" t="s">
        <v>682</v>
      </c>
    </row>
    <row r="225" ht="15.75" customHeight="1">
      <c r="A225" s="135">
        <v>963.0</v>
      </c>
      <c r="B225" s="135" t="s">
        <v>683</v>
      </c>
    </row>
    <row r="226" ht="15.75" customHeight="1">
      <c r="A226" s="135">
        <v>964.0</v>
      </c>
      <c r="B226" s="135" t="s">
        <v>684</v>
      </c>
    </row>
    <row r="227" ht="15.75" customHeight="1">
      <c r="A227" s="135">
        <v>965.0</v>
      </c>
      <c r="B227" s="135" t="s">
        <v>685</v>
      </c>
    </row>
    <row r="228" ht="15.75" customHeight="1">
      <c r="A228" s="135">
        <v>966.0</v>
      </c>
      <c r="B228" s="135" t="s">
        <v>686</v>
      </c>
    </row>
    <row r="229" ht="15.75" customHeight="1">
      <c r="A229" s="135">
        <v>967.0</v>
      </c>
      <c r="B229" s="135" t="s">
        <v>687</v>
      </c>
    </row>
    <row r="230" ht="15.75" customHeight="1">
      <c r="A230" s="135">
        <v>968.0</v>
      </c>
      <c r="B230" s="135" t="s">
        <v>688</v>
      </c>
    </row>
    <row r="231" ht="15.75" customHeight="1">
      <c r="A231" s="135">
        <v>977.0</v>
      </c>
      <c r="B231" s="135" t="s">
        <v>689</v>
      </c>
    </row>
    <row r="232" ht="15.75" customHeight="1">
      <c r="A232" s="135">
        <v>978.0</v>
      </c>
      <c r="B232" s="135" t="s">
        <v>690</v>
      </c>
    </row>
    <row r="233" ht="15.75" customHeight="1">
      <c r="A233" s="135">
        <v>979.0</v>
      </c>
      <c r="B233" s="135" t="s">
        <v>691</v>
      </c>
    </row>
    <row r="234" ht="15.75" customHeight="1">
      <c r="A234" s="135">
        <v>969.0</v>
      </c>
      <c r="B234" s="135" t="s">
        <v>692</v>
      </c>
    </row>
    <row r="235" ht="15.75" customHeight="1">
      <c r="A235" s="135">
        <v>970.0</v>
      </c>
      <c r="B235" s="135" t="s">
        <v>693</v>
      </c>
    </row>
    <row r="236" ht="15.75" customHeight="1">
      <c r="A236" s="135">
        <v>971.0</v>
      </c>
      <c r="B236" s="135" t="s">
        <v>694</v>
      </c>
    </row>
    <row r="237" ht="15.75" customHeight="1">
      <c r="A237" s="135">
        <v>972.0</v>
      </c>
      <c r="B237" s="135" t="s">
        <v>695</v>
      </c>
    </row>
    <row r="238" ht="15.75" customHeight="1">
      <c r="A238" s="135">
        <v>973.0</v>
      </c>
      <c r="B238" s="135" t="s">
        <v>696</v>
      </c>
    </row>
    <row r="239" ht="15.75" customHeight="1">
      <c r="A239" s="135">
        <v>974.0</v>
      </c>
      <c r="B239" s="135" t="s">
        <v>697</v>
      </c>
    </row>
    <row r="240" ht="15.75" customHeight="1">
      <c r="A240" s="135">
        <v>975.0</v>
      </c>
      <c r="B240" s="135" t="s">
        <v>698</v>
      </c>
    </row>
    <row r="241" ht="15.75" customHeight="1">
      <c r="A241" s="135">
        <v>976.0</v>
      </c>
      <c r="B241" s="135" t="s">
        <v>699</v>
      </c>
    </row>
    <row r="242" ht="15.75" customHeight="1">
      <c r="A242" s="135">
        <v>980.0</v>
      </c>
      <c r="B242" s="135" t="s">
        <v>700</v>
      </c>
    </row>
    <row r="243" ht="15.75" customHeight="1">
      <c r="A243" s="135">
        <v>981.0</v>
      </c>
      <c r="B243" s="135" t="s">
        <v>701</v>
      </c>
    </row>
    <row r="244" ht="15.75" customHeight="1">
      <c r="A244" s="135">
        <v>982.0</v>
      </c>
      <c r="B244" s="135" t="s">
        <v>702</v>
      </c>
    </row>
    <row r="245" ht="15.75" customHeight="1">
      <c r="A245" s="135">
        <v>983.0</v>
      </c>
      <c r="B245" s="135" t="s">
        <v>703</v>
      </c>
    </row>
    <row r="246" ht="15.75" customHeight="1">
      <c r="A246" s="135">
        <v>984.0</v>
      </c>
      <c r="B246" s="135" t="s">
        <v>704</v>
      </c>
    </row>
    <row r="247" ht="15.75" customHeight="1">
      <c r="A247" s="135">
        <v>985.0</v>
      </c>
      <c r="B247" s="135" t="s">
        <v>705</v>
      </c>
    </row>
    <row r="248" ht="15.75" customHeight="1">
      <c r="A248" s="135">
        <v>986.0</v>
      </c>
      <c r="B248" s="135" t="s">
        <v>706</v>
      </c>
    </row>
    <row r="249" ht="15.75" customHeight="1">
      <c r="A249" s="135">
        <v>10949.0</v>
      </c>
      <c r="B249" s="135" t="s">
        <v>707</v>
      </c>
    </row>
    <row r="250" ht="15.75" customHeight="1">
      <c r="A250" s="135">
        <v>987.0</v>
      </c>
      <c r="B250" s="135" t="s">
        <v>708</v>
      </c>
    </row>
    <row r="251" ht="15.75" customHeight="1">
      <c r="A251" s="135">
        <v>988.0</v>
      </c>
      <c r="B251" s="135" t="s">
        <v>709</v>
      </c>
    </row>
    <row r="252" ht="15.75" customHeight="1">
      <c r="A252" s="135">
        <v>989.0</v>
      </c>
      <c r="B252" s="135" t="s">
        <v>710</v>
      </c>
    </row>
    <row r="253" ht="15.75" customHeight="1">
      <c r="A253" s="135">
        <v>990.0</v>
      </c>
      <c r="B253" s="135" t="s">
        <v>711</v>
      </c>
    </row>
    <row r="254" ht="15.75" customHeight="1">
      <c r="A254" s="135">
        <v>992.0</v>
      </c>
      <c r="B254" s="135" t="s">
        <v>712</v>
      </c>
    </row>
    <row r="255" ht="15.75" customHeight="1">
      <c r="A255" s="135">
        <v>991.0</v>
      </c>
      <c r="B255" s="135" t="s">
        <v>713</v>
      </c>
    </row>
    <row r="256" ht="15.75" customHeight="1">
      <c r="A256" s="135">
        <v>993.0</v>
      </c>
      <c r="B256" s="135" t="s">
        <v>714</v>
      </c>
    </row>
    <row r="257" ht="15.75" customHeight="1">
      <c r="A257" s="135">
        <v>10950.0</v>
      </c>
      <c r="B257" s="135" t="s">
        <v>715</v>
      </c>
    </row>
    <row r="258" ht="15.75" customHeight="1">
      <c r="A258" s="135">
        <v>10951.0</v>
      </c>
      <c r="B258" s="135" t="s">
        <v>716</v>
      </c>
    </row>
    <row r="259" ht="15.75" customHeight="1">
      <c r="A259" s="135">
        <v>1012.0</v>
      </c>
      <c r="B259" s="135" t="s">
        <v>717</v>
      </c>
    </row>
    <row r="260" ht="15.75" customHeight="1">
      <c r="A260" s="135">
        <v>1015.0</v>
      </c>
      <c r="B260" s="135" t="s">
        <v>718</v>
      </c>
    </row>
    <row r="261" ht="15.75" customHeight="1">
      <c r="A261" s="135">
        <v>1018.0</v>
      </c>
      <c r="B261" s="135" t="s">
        <v>719</v>
      </c>
    </row>
    <row r="262" ht="15.75" customHeight="1">
      <c r="A262" s="135">
        <v>1021.0</v>
      </c>
      <c r="B262" s="135" t="s">
        <v>720</v>
      </c>
    </row>
    <row r="263" ht="15.75" customHeight="1">
      <c r="A263" s="135">
        <v>1024.0</v>
      </c>
      <c r="B263" s="135" t="s">
        <v>721</v>
      </c>
    </row>
    <row r="264" ht="15.75" customHeight="1">
      <c r="A264" s="135">
        <v>1026.0</v>
      </c>
      <c r="B264" s="135" t="s">
        <v>722</v>
      </c>
    </row>
    <row r="265" ht="15.75" customHeight="1">
      <c r="A265" s="135">
        <v>1900.0</v>
      </c>
      <c r="B265" s="135" t="s">
        <v>723</v>
      </c>
    </row>
    <row r="266" ht="15.75" customHeight="1">
      <c r="A266" s="135">
        <v>1901.0</v>
      </c>
      <c r="B266" s="135" t="s">
        <v>724</v>
      </c>
    </row>
    <row r="267" ht="15.75" customHeight="1">
      <c r="A267" s="135">
        <v>1902.0</v>
      </c>
      <c r="B267" s="135" t="s">
        <v>725</v>
      </c>
    </row>
    <row r="268" ht="15.75" customHeight="1">
      <c r="A268" s="135">
        <v>1903.0</v>
      </c>
      <c r="B268" s="135" t="s">
        <v>726</v>
      </c>
    </row>
    <row r="269" ht="15.75" customHeight="1">
      <c r="A269" s="135">
        <v>1904.0</v>
      </c>
      <c r="B269" s="135" t="s">
        <v>727</v>
      </c>
    </row>
    <row r="270" ht="15.75" customHeight="1">
      <c r="A270" s="135">
        <v>1905.0</v>
      </c>
      <c r="B270" s="135" t="s">
        <v>728</v>
      </c>
    </row>
    <row r="271" ht="15.75" customHeight="1">
      <c r="A271" s="135">
        <v>1906.0</v>
      </c>
      <c r="B271" s="135" t="s">
        <v>729</v>
      </c>
    </row>
    <row r="272" ht="15.75" customHeight="1">
      <c r="A272" s="135">
        <v>1907.0</v>
      </c>
      <c r="B272" s="135" t="s">
        <v>730</v>
      </c>
    </row>
    <row r="273" ht="15.75" customHeight="1">
      <c r="A273" s="135">
        <v>1908.0</v>
      </c>
      <c r="B273" s="135" t="s">
        <v>731</v>
      </c>
    </row>
    <row r="274" ht="15.75" customHeight="1">
      <c r="A274" s="135">
        <v>1982.0</v>
      </c>
      <c r="B274" s="135" t="s">
        <v>732</v>
      </c>
    </row>
    <row r="275" ht="15.75" customHeight="1">
      <c r="A275" s="135">
        <v>1909.0</v>
      </c>
      <c r="B275" s="135" t="s">
        <v>733</v>
      </c>
    </row>
    <row r="276" ht="15.75" customHeight="1">
      <c r="A276" s="135">
        <v>1910.0</v>
      </c>
      <c r="B276" s="135" t="s">
        <v>734</v>
      </c>
    </row>
    <row r="277" ht="15.75" customHeight="1">
      <c r="A277" s="135">
        <v>11022.0</v>
      </c>
      <c r="B277" s="135" t="s">
        <v>735</v>
      </c>
    </row>
    <row r="278" ht="15.75" customHeight="1">
      <c r="A278" s="135">
        <v>11021.0</v>
      </c>
      <c r="B278" s="135" t="s">
        <v>736</v>
      </c>
    </row>
    <row r="279" ht="15.75" customHeight="1">
      <c r="A279" s="135">
        <v>1911.0</v>
      </c>
      <c r="B279" s="135" t="s">
        <v>737</v>
      </c>
    </row>
    <row r="280" ht="15.75" customHeight="1">
      <c r="A280" s="135">
        <v>1912.0</v>
      </c>
      <c r="B280" s="135" t="s">
        <v>738</v>
      </c>
    </row>
    <row r="281" ht="15.75" customHeight="1">
      <c r="A281" s="135">
        <v>1120.0</v>
      </c>
      <c r="B281" s="135" t="s">
        <v>739</v>
      </c>
    </row>
    <row r="282" ht="15.75" customHeight="1">
      <c r="A282" s="135">
        <v>1136.0</v>
      </c>
      <c r="B282" s="135" t="s">
        <v>740</v>
      </c>
    </row>
    <row r="283" ht="15.75" customHeight="1">
      <c r="A283" s="135">
        <v>1135.0</v>
      </c>
      <c r="B283" s="135" t="s">
        <v>741</v>
      </c>
    </row>
    <row r="284" ht="15.75" customHeight="1">
      <c r="A284" s="135">
        <v>1140.0</v>
      </c>
      <c r="B284" s="135" t="s">
        <v>742</v>
      </c>
    </row>
    <row r="285" ht="15.75" customHeight="1">
      <c r="A285" s="135">
        <v>1145.0</v>
      </c>
      <c r="B285" s="135" t="s">
        <v>743</v>
      </c>
    </row>
    <row r="286" ht="15.75" customHeight="1">
      <c r="A286" s="135">
        <v>1155.0</v>
      </c>
      <c r="B286" s="135" t="s">
        <v>744</v>
      </c>
    </row>
    <row r="287" ht="15.75" customHeight="1">
      <c r="A287" s="135">
        <v>1165.0</v>
      </c>
      <c r="B287" s="135" t="s">
        <v>745</v>
      </c>
    </row>
    <row r="288" ht="15.75" customHeight="1">
      <c r="A288" s="135">
        <v>1166.0</v>
      </c>
      <c r="B288" s="135" t="s">
        <v>746</v>
      </c>
    </row>
    <row r="289" ht="15.75" customHeight="1">
      <c r="A289" s="135">
        <v>1170.0</v>
      </c>
      <c r="B289" s="135" t="s">
        <v>747</v>
      </c>
    </row>
    <row r="290" ht="15.75" customHeight="1">
      <c r="A290" s="135">
        <v>1204.0</v>
      </c>
      <c r="B290" s="135" t="s">
        <v>748</v>
      </c>
    </row>
    <row r="291" ht="15.75" customHeight="1">
      <c r="A291" s="135">
        <v>1205.0</v>
      </c>
      <c r="B291" s="135" t="s">
        <v>749</v>
      </c>
    </row>
    <row r="292" ht="15.75" customHeight="1">
      <c r="A292" s="135">
        <v>1210.0</v>
      </c>
      <c r="B292" s="135" t="s">
        <v>750</v>
      </c>
    </row>
    <row r="293" ht="15.75" customHeight="1">
      <c r="A293" s="135">
        <v>1211.0</v>
      </c>
      <c r="B293" s="135" t="s">
        <v>751</v>
      </c>
    </row>
    <row r="294" ht="15.75" customHeight="1">
      <c r="A294" s="135">
        <v>1212.0</v>
      </c>
      <c r="B294" s="135" t="s">
        <v>752</v>
      </c>
    </row>
    <row r="295" ht="15.75" customHeight="1">
      <c r="A295" s="135">
        <v>1213.0</v>
      </c>
      <c r="B295" s="135" t="s">
        <v>753</v>
      </c>
    </row>
    <row r="296" ht="15.75" customHeight="1">
      <c r="A296" s="135">
        <v>1214.0</v>
      </c>
      <c r="B296" s="135" t="s">
        <v>754</v>
      </c>
    </row>
    <row r="297" ht="15.75" customHeight="1">
      <c r="A297" s="135">
        <v>1215.0</v>
      </c>
      <c r="B297" s="135" t="s">
        <v>755</v>
      </c>
    </row>
    <row r="298" ht="15.75" customHeight="1">
      <c r="A298" s="135">
        <v>1217.0</v>
      </c>
      <c r="B298" s="135" t="s">
        <v>756</v>
      </c>
    </row>
    <row r="299" ht="15.75" customHeight="1">
      <c r="A299" s="135">
        <v>1219.0</v>
      </c>
      <c r="B299" s="135" t="s">
        <v>757</v>
      </c>
    </row>
    <row r="300" ht="15.75" customHeight="1">
      <c r="A300" s="135">
        <v>1221.0</v>
      </c>
      <c r="B300" s="135" t="s">
        <v>758</v>
      </c>
    </row>
    <row r="301" ht="15.75" customHeight="1">
      <c r="A301" s="135">
        <v>1224.0</v>
      </c>
      <c r="B301" s="135" t="s">
        <v>759</v>
      </c>
    </row>
    <row r="302" ht="15.75" customHeight="1">
      <c r="A302" s="135">
        <v>1227.0</v>
      </c>
      <c r="B302" s="135" t="s">
        <v>760</v>
      </c>
    </row>
    <row r="303" ht="15.75" customHeight="1">
      <c r="A303" s="135">
        <v>1229.0</v>
      </c>
      <c r="B303" s="135" t="s">
        <v>761</v>
      </c>
    </row>
    <row r="304" ht="15.75" customHeight="1">
      <c r="A304" s="135">
        <v>1230.0</v>
      </c>
      <c r="B304" s="135" t="s">
        <v>762</v>
      </c>
    </row>
    <row r="305" ht="15.75" customHeight="1">
      <c r="A305" s="135">
        <v>1235.0</v>
      </c>
      <c r="B305" s="135" t="s">
        <v>763</v>
      </c>
    </row>
    <row r="306" ht="15.75" customHeight="1">
      <c r="A306" s="135">
        <v>1240.0</v>
      </c>
      <c r="B306" s="135" t="s">
        <v>764</v>
      </c>
    </row>
    <row r="307" ht="15.75" customHeight="1">
      <c r="A307" s="135">
        <v>1245.0</v>
      </c>
      <c r="B307" s="135" t="s">
        <v>765</v>
      </c>
    </row>
    <row r="308" ht="15.75" customHeight="1">
      <c r="A308" s="135">
        <v>1250.0</v>
      </c>
      <c r="B308" s="135" t="s">
        <v>766</v>
      </c>
    </row>
    <row r="309" ht="15.75" customHeight="1">
      <c r="A309" s="135">
        <v>1206.0</v>
      </c>
      <c r="B309" s="135" t="s">
        <v>767</v>
      </c>
    </row>
    <row r="310" ht="15.75" customHeight="1">
      <c r="A310" s="135">
        <v>1260.0</v>
      </c>
      <c r="B310" s="135" t="s">
        <v>768</v>
      </c>
    </row>
    <row r="311" ht="15.75" customHeight="1">
      <c r="A311" s="135">
        <v>1207.0</v>
      </c>
      <c r="B311" s="135" t="s">
        <v>769</v>
      </c>
    </row>
    <row r="312" ht="15.75" customHeight="1">
      <c r="A312" s="135">
        <v>1208.0</v>
      </c>
      <c r="B312" s="135" t="s">
        <v>770</v>
      </c>
    </row>
    <row r="313" ht="15.75" customHeight="1">
      <c r="A313" s="135">
        <v>1312.0</v>
      </c>
      <c r="B313" s="135" t="s">
        <v>771</v>
      </c>
    </row>
    <row r="314" ht="15.75" customHeight="1">
      <c r="A314" s="135">
        <v>1316.0</v>
      </c>
      <c r="B314" s="135" t="s">
        <v>772</v>
      </c>
    </row>
    <row r="315" ht="15.75" customHeight="1">
      <c r="A315" s="135">
        <v>1320.0</v>
      </c>
      <c r="B315" s="135" t="s">
        <v>773</v>
      </c>
    </row>
    <row r="316" ht="15.75" customHeight="1">
      <c r="A316" s="135">
        <v>1308.0</v>
      </c>
      <c r="B316" s="135" t="s">
        <v>774</v>
      </c>
    </row>
    <row r="317" ht="15.75" customHeight="1">
      <c r="A317" s="135">
        <v>1410.0</v>
      </c>
      <c r="B317" s="135" t="s">
        <v>775</v>
      </c>
    </row>
    <row r="318" ht="15.75" customHeight="1">
      <c r="A318" s="135">
        <v>1412.0</v>
      </c>
      <c r="B318" s="135" t="s">
        <v>776</v>
      </c>
    </row>
    <row r="319" ht="15.75" customHeight="1">
      <c r="A319" s="135">
        <v>1414.0</v>
      </c>
      <c r="B319" s="135" t="s">
        <v>777</v>
      </c>
    </row>
    <row r="320" ht="15.75" customHeight="1">
      <c r="A320" s="135">
        <v>1406.0</v>
      </c>
      <c r="B320" s="135" t="s">
        <v>778</v>
      </c>
    </row>
    <row r="321" ht="15.75" customHeight="1">
      <c r="A321" s="135">
        <v>1408.0</v>
      </c>
      <c r="B321" s="135" t="s">
        <v>779</v>
      </c>
    </row>
    <row r="322" ht="15.75" customHeight="1">
      <c r="A322" s="135">
        <v>1425.0</v>
      </c>
      <c r="B322" s="135" t="s">
        <v>780</v>
      </c>
    </row>
    <row r="323" ht="15.75" customHeight="1">
      <c r="A323" s="135">
        <v>1512.0</v>
      </c>
      <c r="B323" s="135" t="s">
        <v>781</v>
      </c>
    </row>
    <row r="324" ht="15.75" customHeight="1">
      <c r="A324" s="135">
        <v>1514.0</v>
      </c>
      <c r="B324" s="135" t="s">
        <v>782</v>
      </c>
    </row>
    <row r="325" ht="15.75" customHeight="1">
      <c r="A325" s="135">
        <v>1516.0</v>
      </c>
      <c r="B325" s="135" t="s">
        <v>783</v>
      </c>
    </row>
    <row r="326" ht="15.75" customHeight="1">
      <c r="A326" s="135">
        <v>1506.0</v>
      </c>
      <c r="B326" s="135" t="s">
        <v>784</v>
      </c>
    </row>
    <row r="327" ht="15.75" customHeight="1">
      <c r="A327" s="135">
        <v>1508.0</v>
      </c>
      <c r="B327" s="135" t="s">
        <v>785</v>
      </c>
    </row>
    <row r="328" ht="15.75" customHeight="1">
      <c r="A328" s="135">
        <v>1831.0</v>
      </c>
      <c r="B328" s="135" t="s">
        <v>786</v>
      </c>
    </row>
    <row r="329" ht="15.75" customHeight="1">
      <c r="A329" s="135">
        <v>1832.0</v>
      </c>
      <c r="B329" s="135" t="s">
        <v>787</v>
      </c>
    </row>
    <row r="330" ht="15.75" customHeight="1">
      <c r="A330" s="135">
        <v>1615.0</v>
      </c>
      <c r="B330" s="135" t="s">
        <v>788</v>
      </c>
    </row>
    <row r="331" ht="15.75" customHeight="1">
      <c r="A331" s="135">
        <v>1620.0</v>
      </c>
      <c r="B331" s="135" t="s">
        <v>789</v>
      </c>
    </row>
    <row r="332" ht="15.75" customHeight="1">
      <c r="A332" s="135">
        <v>1625.0</v>
      </c>
      <c r="B332" s="135" t="s">
        <v>790</v>
      </c>
    </row>
    <row r="333" ht="15.75" customHeight="1">
      <c r="A333" s="135">
        <v>1630.0</v>
      </c>
      <c r="B333" s="135" t="s">
        <v>791</v>
      </c>
    </row>
    <row r="334" ht="15.75" customHeight="1">
      <c r="A334" s="135">
        <v>1635.0</v>
      </c>
      <c r="B334" s="135" t="s">
        <v>792</v>
      </c>
    </row>
    <row r="335" ht="15.75" customHeight="1">
      <c r="A335" s="135">
        <v>1640.0</v>
      </c>
      <c r="B335" s="135" t="s">
        <v>793</v>
      </c>
    </row>
    <row r="336" ht="15.75" customHeight="1">
      <c r="A336" s="135">
        <v>1220.0</v>
      </c>
      <c r="B336" s="135" t="s">
        <v>794</v>
      </c>
    </row>
    <row r="337" ht="15.75" customHeight="1">
      <c r="A337" s="135">
        <v>1202.0</v>
      </c>
      <c r="B337" s="135" t="s">
        <v>795</v>
      </c>
    </row>
    <row r="338" ht="15.75" customHeight="1">
      <c r="A338" s="135">
        <v>1203.0</v>
      </c>
      <c r="B338" s="135" t="s">
        <v>796</v>
      </c>
    </row>
    <row r="339" ht="15.75" customHeight="1">
      <c r="A339" s="135">
        <v>1201.0</v>
      </c>
      <c r="B339" s="135" t="s">
        <v>797</v>
      </c>
    </row>
    <row r="340" ht="15.75" customHeight="1">
      <c r="A340" s="135">
        <v>1711.0</v>
      </c>
      <c r="B340" s="135" t="s">
        <v>798</v>
      </c>
    </row>
    <row r="341" ht="15.75" customHeight="1">
      <c r="A341" s="135">
        <v>1730.0</v>
      </c>
      <c r="B341" s="135" t="s">
        <v>799</v>
      </c>
    </row>
    <row r="342" ht="15.75" customHeight="1">
      <c r="A342" s="135">
        <v>1740.0</v>
      </c>
      <c r="B342" s="135" t="s">
        <v>800</v>
      </c>
    </row>
    <row r="343" ht="15.75" customHeight="1">
      <c r="A343" s="135">
        <v>1752.0</v>
      </c>
      <c r="B343" s="135" t="s">
        <v>801</v>
      </c>
    </row>
    <row r="344" ht="15.75" customHeight="1">
      <c r="A344" s="135">
        <v>1712.0</v>
      </c>
      <c r="B344" s="135" t="s">
        <v>802</v>
      </c>
    </row>
    <row r="345" ht="15.75" customHeight="1">
      <c r="A345" s="135">
        <v>1716.0</v>
      </c>
      <c r="B345" s="135" t="s">
        <v>803</v>
      </c>
    </row>
    <row r="346" ht="15.75" customHeight="1">
      <c r="A346" s="135">
        <v>1720.0</v>
      </c>
      <c r="B346" s="135" t="s">
        <v>804</v>
      </c>
    </row>
    <row r="347" ht="15.75" customHeight="1">
      <c r="A347" s="135">
        <v>1708.0</v>
      </c>
      <c r="B347" s="135" t="s">
        <v>805</v>
      </c>
    </row>
    <row r="348" ht="15.75" customHeight="1">
      <c r="A348" s="135">
        <v>1810.0</v>
      </c>
      <c r="B348" s="135" t="s">
        <v>806</v>
      </c>
    </row>
    <row r="349" ht="15.75" customHeight="1">
      <c r="A349" s="135">
        <v>1812.0</v>
      </c>
      <c r="B349" s="135" t="s">
        <v>807</v>
      </c>
    </row>
    <row r="350" ht="15.75" customHeight="1">
      <c r="A350" s="135">
        <v>1816.0</v>
      </c>
      <c r="B350" s="135" t="s">
        <v>808</v>
      </c>
    </row>
    <row r="351" ht="15.75" customHeight="1">
      <c r="A351" s="135">
        <v>1818.0</v>
      </c>
      <c r="B351" s="135" t="s">
        <v>809</v>
      </c>
    </row>
    <row r="352" ht="15.75" customHeight="1">
      <c r="A352" s="135">
        <v>1822.0</v>
      </c>
      <c r="B352" s="135" t="s">
        <v>810</v>
      </c>
    </row>
    <row r="353" ht="15.75" customHeight="1">
      <c r="A353" s="135">
        <v>1827.0</v>
      </c>
      <c r="B353" s="135" t="s">
        <v>811</v>
      </c>
    </row>
    <row r="354" ht="15.75" customHeight="1">
      <c r="A354" s="135">
        <v>1808.0</v>
      </c>
      <c r="B354" s="135" t="s">
        <v>812</v>
      </c>
    </row>
    <row r="355" ht="15.75" customHeight="1">
      <c r="A355" s="135">
        <v>1830.0</v>
      </c>
      <c r="B355" s="135" t="s">
        <v>813</v>
      </c>
    </row>
    <row r="356" ht="15.75" customHeight="1">
      <c r="A356" s="135">
        <v>1897.0</v>
      </c>
      <c r="B356" s="135" t="s">
        <v>814</v>
      </c>
    </row>
    <row r="357" ht="15.75" customHeight="1">
      <c r="A357" s="135">
        <v>1913.0</v>
      </c>
      <c r="B357" s="135" t="s">
        <v>815</v>
      </c>
    </row>
    <row r="358" ht="15.75" customHeight="1">
      <c r="A358" s="135">
        <v>1914.0</v>
      </c>
      <c r="B358" s="135" t="s">
        <v>816</v>
      </c>
    </row>
    <row r="359" ht="15.75" customHeight="1">
      <c r="A359" s="135">
        <v>1898.0</v>
      </c>
      <c r="B359" s="135" t="s">
        <v>817</v>
      </c>
    </row>
    <row r="360" ht="15.75" customHeight="1">
      <c r="A360" s="135">
        <v>1899.0</v>
      </c>
      <c r="B360" s="135" t="s">
        <v>818</v>
      </c>
    </row>
    <row r="361" ht="15.75" customHeight="1">
      <c r="A361" s="135">
        <v>11019.0</v>
      </c>
      <c r="B361" s="135" t="s">
        <v>819</v>
      </c>
    </row>
    <row r="362" ht="15.75" customHeight="1">
      <c r="A362" s="135">
        <v>1915.0</v>
      </c>
      <c r="B362" s="135" t="s">
        <v>820</v>
      </c>
    </row>
    <row r="363" ht="15.75" customHeight="1">
      <c r="A363" s="135">
        <v>11017.0</v>
      </c>
      <c r="B363" s="135" t="s">
        <v>821</v>
      </c>
    </row>
    <row r="364" ht="15.75" customHeight="1">
      <c r="A364" s="135">
        <v>11020.0</v>
      </c>
      <c r="B364" s="135" t="s">
        <v>822</v>
      </c>
    </row>
    <row r="365" ht="15.75" customHeight="1">
      <c r="A365" s="135">
        <v>11015.0</v>
      </c>
      <c r="B365" s="135" t="s">
        <v>823</v>
      </c>
    </row>
    <row r="366" ht="15.75" customHeight="1">
      <c r="A366" s="135">
        <v>11012.0</v>
      </c>
      <c r="B366" s="135" t="s">
        <v>824</v>
      </c>
    </row>
    <row r="367" ht="15.75" customHeight="1">
      <c r="A367" s="135">
        <v>11011.0</v>
      </c>
      <c r="B367" s="135" t="s">
        <v>825</v>
      </c>
    </row>
    <row r="368" ht="15.75" customHeight="1">
      <c r="A368" s="135">
        <v>11013.0</v>
      </c>
      <c r="B368" s="135" t="s">
        <v>826</v>
      </c>
    </row>
    <row r="369" ht="15.75" customHeight="1">
      <c r="A369" s="135">
        <v>11016.0</v>
      </c>
      <c r="B369" s="135" t="s">
        <v>827</v>
      </c>
    </row>
    <row r="370" ht="15.75" customHeight="1">
      <c r="A370" s="135">
        <v>11018.0</v>
      </c>
      <c r="B370" s="135" t="s">
        <v>828</v>
      </c>
    </row>
    <row r="371" ht="15.75" customHeight="1">
      <c r="A371" s="135">
        <v>11014.0</v>
      </c>
      <c r="B371" s="135" t="s">
        <v>829</v>
      </c>
    </row>
    <row r="372" ht="15.75" customHeight="1">
      <c r="A372" s="135">
        <v>1916.0</v>
      </c>
      <c r="B372" s="135" t="s">
        <v>830</v>
      </c>
    </row>
    <row r="373" ht="15.75" customHeight="1">
      <c r="A373" s="135">
        <v>1917.0</v>
      </c>
      <c r="B373" s="135" t="s">
        <v>831</v>
      </c>
    </row>
    <row r="374" ht="15.75" customHeight="1">
      <c r="A374" s="135">
        <v>1918.0</v>
      </c>
      <c r="B374" s="135" t="s">
        <v>832</v>
      </c>
    </row>
    <row r="375" ht="15.75" customHeight="1">
      <c r="A375" s="135">
        <v>1919.0</v>
      </c>
      <c r="B375" s="135" t="s">
        <v>833</v>
      </c>
    </row>
    <row r="376" ht="15.75" customHeight="1">
      <c r="A376" s="135">
        <v>11023.0</v>
      </c>
      <c r="B376" s="135" t="s">
        <v>834</v>
      </c>
    </row>
    <row r="377" ht="15.75" customHeight="1">
      <c r="A377" s="135">
        <v>11024.0</v>
      </c>
      <c r="B377" s="135" t="s">
        <v>835</v>
      </c>
    </row>
    <row r="378" ht="15.75" customHeight="1">
      <c r="A378" s="135">
        <v>1920.0</v>
      </c>
      <c r="B378" s="135" t="s">
        <v>836</v>
      </c>
    </row>
    <row r="379" ht="15.75" customHeight="1">
      <c r="A379" s="135">
        <v>1936.0</v>
      </c>
      <c r="B379" s="135" t="s">
        <v>837</v>
      </c>
    </row>
    <row r="380" ht="15.75" customHeight="1">
      <c r="A380" s="135">
        <v>1937.0</v>
      </c>
      <c r="B380" s="135" t="s">
        <v>838</v>
      </c>
    </row>
    <row r="381" ht="15.75" customHeight="1">
      <c r="A381" s="135">
        <v>1938.0</v>
      </c>
      <c r="B381" s="135" t="s">
        <v>839</v>
      </c>
    </row>
    <row r="382" ht="15.75" customHeight="1">
      <c r="A382" s="135">
        <v>1985.0</v>
      </c>
      <c r="B382" s="135" t="s">
        <v>840</v>
      </c>
    </row>
    <row r="383" ht="15.75" customHeight="1">
      <c r="A383" s="135">
        <v>1977.0</v>
      </c>
      <c r="B383" s="135" t="s">
        <v>841</v>
      </c>
    </row>
    <row r="384" ht="15.75" customHeight="1">
      <c r="A384" s="135">
        <v>1939.0</v>
      </c>
      <c r="B384" s="135" t="s">
        <v>842</v>
      </c>
    </row>
    <row r="385" ht="15.75" customHeight="1">
      <c r="A385" s="135">
        <v>1940.0</v>
      </c>
      <c r="B385" s="135" t="s">
        <v>843</v>
      </c>
    </row>
    <row r="386" ht="15.75" customHeight="1">
      <c r="A386" s="135">
        <v>1983.0</v>
      </c>
      <c r="B386" s="135" t="s">
        <v>844</v>
      </c>
    </row>
    <row r="387" ht="15.75" customHeight="1">
      <c r="A387" s="135">
        <v>1941.0</v>
      </c>
      <c r="B387" s="135" t="s">
        <v>845</v>
      </c>
    </row>
    <row r="388" ht="15.75" customHeight="1">
      <c r="A388" s="135">
        <v>1942.0</v>
      </c>
      <c r="B388" s="135" t="s">
        <v>846</v>
      </c>
    </row>
    <row r="389" ht="15.75" customHeight="1">
      <c r="A389" s="135">
        <v>1943.0</v>
      </c>
      <c r="B389" s="135" t="s">
        <v>847</v>
      </c>
    </row>
    <row r="390" ht="15.75" customHeight="1">
      <c r="A390" s="135">
        <v>1944.0</v>
      </c>
      <c r="B390" s="135" t="s">
        <v>848</v>
      </c>
    </row>
    <row r="391" ht="15.75" customHeight="1">
      <c r="A391" s="135">
        <v>1945.0</v>
      </c>
      <c r="B391" s="135" t="s">
        <v>849</v>
      </c>
    </row>
    <row r="392" ht="15.75" customHeight="1">
      <c r="A392" s="135">
        <v>1946.0</v>
      </c>
      <c r="B392" s="135" t="s">
        <v>850</v>
      </c>
    </row>
    <row r="393" ht="15.75" customHeight="1">
      <c r="A393" s="135">
        <v>11928.0</v>
      </c>
      <c r="B393" s="135" t="s">
        <v>851</v>
      </c>
    </row>
    <row r="394" ht="15.75" customHeight="1">
      <c r="A394" s="135">
        <v>1921.0</v>
      </c>
      <c r="B394" s="135" t="s">
        <v>852</v>
      </c>
    </row>
    <row r="395" ht="15.75" customHeight="1">
      <c r="A395" s="135">
        <v>1922.0</v>
      </c>
      <c r="B395" s="135" t="s">
        <v>853</v>
      </c>
    </row>
    <row r="396" ht="15.75" customHeight="1">
      <c r="A396" s="135">
        <v>1923.0</v>
      </c>
      <c r="B396" s="135" t="s">
        <v>854</v>
      </c>
    </row>
    <row r="397" ht="15.75" customHeight="1">
      <c r="A397" s="135">
        <v>1924.0</v>
      </c>
      <c r="B397" s="135" t="s">
        <v>855</v>
      </c>
    </row>
    <row r="398" ht="15.75" customHeight="1">
      <c r="A398" s="135">
        <v>1925.0</v>
      </c>
      <c r="B398" s="135" t="s">
        <v>856</v>
      </c>
    </row>
    <row r="399" ht="15.75" customHeight="1">
      <c r="A399" s="135">
        <v>1926.0</v>
      </c>
      <c r="B399" s="135" t="s">
        <v>857</v>
      </c>
    </row>
    <row r="400" ht="15.75" customHeight="1">
      <c r="A400" s="135">
        <v>11921.0</v>
      </c>
      <c r="B400" s="135" t="s">
        <v>858</v>
      </c>
    </row>
    <row r="401" ht="15.75" customHeight="1">
      <c r="A401" s="135">
        <v>11922.0</v>
      </c>
      <c r="B401" s="135" t="s">
        <v>859</v>
      </c>
    </row>
    <row r="402" ht="15.75" customHeight="1">
      <c r="A402" s="135">
        <v>11923.0</v>
      </c>
      <c r="B402" s="135" t="s">
        <v>860</v>
      </c>
    </row>
    <row r="403" ht="15.75" customHeight="1">
      <c r="A403" s="135">
        <v>11924.0</v>
      </c>
      <c r="B403" s="135" t="s">
        <v>861</v>
      </c>
    </row>
    <row r="404" ht="15.75" customHeight="1">
      <c r="A404" s="135">
        <v>11929.0</v>
      </c>
      <c r="B404" s="135" t="s">
        <v>862</v>
      </c>
    </row>
    <row r="405" ht="15.75" customHeight="1">
      <c r="A405" s="135">
        <v>1927.0</v>
      </c>
      <c r="B405" s="135" t="s">
        <v>863</v>
      </c>
    </row>
    <row r="406" ht="15.75" customHeight="1">
      <c r="A406" s="135">
        <v>1951.0</v>
      </c>
      <c r="B406" s="135" t="s">
        <v>864</v>
      </c>
    </row>
    <row r="407" ht="15.75" customHeight="1">
      <c r="A407" s="135">
        <v>1928.0</v>
      </c>
      <c r="B407" s="135" t="s">
        <v>865</v>
      </c>
    </row>
    <row r="408" ht="15.75" customHeight="1">
      <c r="A408" s="135">
        <v>1929.0</v>
      </c>
      <c r="B408" s="135" t="s">
        <v>866</v>
      </c>
    </row>
    <row r="409" ht="15.75" customHeight="1">
      <c r="A409" s="135">
        <v>1932.0</v>
      </c>
      <c r="B409" s="135" t="s">
        <v>867</v>
      </c>
    </row>
    <row r="410" ht="15.75" customHeight="1">
      <c r="A410" s="135">
        <v>1933.0</v>
      </c>
      <c r="B410" s="135" t="s">
        <v>868</v>
      </c>
    </row>
    <row r="411" ht="15.75" customHeight="1">
      <c r="A411" s="135">
        <v>1934.0</v>
      </c>
      <c r="B411" s="135" t="s">
        <v>869</v>
      </c>
    </row>
    <row r="412" ht="15.75" customHeight="1">
      <c r="A412" s="135">
        <v>1930.0</v>
      </c>
      <c r="B412" s="135" t="s">
        <v>870</v>
      </c>
    </row>
    <row r="413" ht="15.75" customHeight="1">
      <c r="A413" s="135">
        <v>1931.0</v>
      </c>
      <c r="B413" s="135" t="s">
        <v>871</v>
      </c>
    </row>
    <row r="414" ht="15.75" customHeight="1">
      <c r="A414" s="135">
        <v>11931.0</v>
      </c>
      <c r="B414" s="135" t="s">
        <v>872</v>
      </c>
    </row>
    <row r="415" ht="15.75" customHeight="1">
      <c r="A415" s="135">
        <v>11930.0</v>
      </c>
      <c r="B415" s="135" t="s">
        <v>873</v>
      </c>
    </row>
    <row r="416" ht="15.75" customHeight="1">
      <c r="A416" s="135">
        <v>11925.0</v>
      </c>
      <c r="B416" s="135" t="s">
        <v>874</v>
      </c>
    </row>
    <row r="417" ht="15.75" customHeight="1">
      <c r="A417" s="135">
        <v>11926.0</v>
      </c>
      <c r="B417" s="135" t="s">
        <v>875</v>
      </c>
    </row>
    <row r="418" ht="15.75" customHeight="1">
      <c r="A418" s="135">
        <v>11927.0</v>
      </c>
      <c r="B418" s="135" t="s">
        <v>876</v>
      </c>
    </row>
    <row r="419" ht="15.75" customHeight="1">
      <c r="A419" s="135">
        <v>1952.0</v>
      </c>
      <c r="B419" s="135" t="s">
        <v>877</v>
      </c>
    </row>
    <row r="420" ht="15.75" customHeight="1">
      <c r="A420" s="135">
        <v>1953.0</v>
      </c>
      <c r="B420" s="135" t="s">
        <v>878</v>
      </c>
    </row>
    <row r="421" ht="15.75" customHeight="1">
      <c r="A421" s="135">
        <v>1978.0</v>
      </c>
      <c r="B421" s="135" t="s">
        <v>879</v>
      </c>
    </row>
    <row r="422" ht="15.75" customHeight="1">
      <c r="A422" s="135">
        <v>1974.0</v>
      </c>
      <c r="B422" s="135" t="s">
        <v>880</v>
      </c>
    </row>
    <row r="423" ht="15.75" customHeight="1">
      <c r="A423" s="135">
        <v>1947.0</v>
      </c>
      <c r="B423" s="135" t="s">
        <v>881</v>
      </c>
    </row>
    <row r="424" ht="15.75" customHeight="1">
      <c r="A424" s="135">
        <v>1948.0</v>
      </c>
      <c r="B424" s="135" t="s">
        <v>882</v>
      </c>
    </row>
    <row r="425" ht="15.75" customHeight="1">
      <c r="A425" s="135">
        <v>1949.0</v>
      </c>
      <c r="B425" s="135" t="s">
        <v>883</v>
      </c>
    </row>
    <row r="426" ht="15.75" customHeight="1">
      <c r="A426" s="135">
        <v>1950.0</v>
      </c>
      <c r="B426" s="135" t="s">
        <v>884</v>
      </c>
    </row>
    <row r="427" ht="15.75" customHeight="1">
      <c r="A427" s="135">
        <v>1986.0</v>
      </c>
      <c r="B427" s="135" t="s">
        <v>885</v>
      </c>
    </row>
    <row r="428" ht="15.75" customHeight="1">
      <c r="A428" s="135">
        <v>1984.0</v>
      </c>
      <c r="B428" s="135" t="s">
        <v>886</v>
      </c>
    </row>
    <row r="429" ht="15.75" customHeight="1">
      <c r="A429" s="135">
        <v>1975.0</v>
      </c>
      <c r="B429" s="135" t="s">
        <v>887</v>
      </c>
    </row>
    <row r="430" ht="15.75" customHeight="1">
      <c r="A430" s="135">
        <v>1954.0</v>
      </c>
      <c r="B430" s="135" t="s">
        <v>888</v>
      </c>
    </row>
    <row r="431" ht="15.75" customHeight="1">
      <c r="A431" s="135">
        <v>1955.0</v>
      </c>
      <c r="B431" s="135" t="s">
        <v>889</v>
      </c>
    </row>
    <row r="432" ht="15.75" customHeight="1">
      <c r="A432" s="135">
        <v>1956.0</v>
      </c>
      <c r="B432" s="135" t="s">
        <v>890</v>
      </c>
    </row>
    <row r="433" ht="15.75" customHeight="1">
      <c r="A433" s="135">
        <v>1957.0</v>
      </c>
      <c r="B433" s="135" t="s">
        <v>891</v>
      </c>
    </row>
    <row r="434" ht="15.75" customHeight="1">
      <c r="A434" s="135">
        <v>1980.0</v>
      </c>
      <c r="B434" s="135" t="s">
        <v>892</v>
      </c>
    </row>
    <row r="435" ht="15.75" customHeight="1">
      <c r="A435" s="135">
        <v>1959.0</v>
      </c>
      <c r="B435" s="135" t="s">
        <v>893</v>
      </c>
    </row>
    <row r="436" ht="15.75" customHeight="1">
      <c r="A436" s="135">
        <v>1960.0</v>
      </c>
      <c r="B436" s="135" t="s">
        <v>894</v>
      </c>
    </row>
    <row r="437" ht="15.75" customHeight="1">
      <c r="A437" s="135">
        <v>1961.0</v>
      </c>
      <c r="B437" s="135" t="s">
        <v>895</v>
      </c>
    </row>
    <row r="438" ht="15.75" customHeight="1">
      <c r="A438" s="135">
        <v>1962.0</v>
      </c>
      <c r="B438" s="135" t="s">
        <v>896</v>
      </c>
    </row>
    <row r="439" ht="15.75" customHeight="1">
      <c r="A439" s="135">
        <v>1963.0</v>
      </c>
      <c r="B439" s="135" t="s">
        <v>897</v>
      </c>
    </row>
    <row r="440" ht="15.75" customHeight="1">
      <c r="A440" s="135">
        <v>1988.0</v>
      </c>
      <c r="B440" s="135" t="s">
        <v>898</v>
      </c>
    </row>
    <row r="441" ht="15.75" customHeight="1">
      <c r="A441" s="135">
        <v>1964.0</v>
      </c>
      <c r="B441" s="135" t="s">
        <v>899</v>
      </c>
    </row>
    <row r="442" ht="15.75" customHeight="1">
      <c r="A442" s="135">
        <v>1965.0</v>
      </c>
      <c r="B442" s="135" t="s">
        <v>900</v>
      </c>
    </row>
    <row r="443" ht="15.75" customHeight="1">
      <c r="A443" s="135">
        <v>1966.0</v>
      </c>
      <c r="B443" s="135" t="s">
        <v>901</v>
      </c>
    </row>
    <row r="444" ht="15.75" customHeight="1">
      <c r="A444" s="135">
        <v>1967.0</v>
      </c>
      <c r="B444" s="135" t="s">
        <v>902</v>
      </c>
    </row>
    <row r="445" ht="15.75" customHeight="1">
      <c r="A445" s="135">
        <v>1968.0</v>
      </c>
      <c r="B445" s="135" t="s">
        <v>903</v>
      </c>
    </row>
    <row r="446" ht="15.75" customHeight="1">
      <c r="A446" s="135">
        <v>1958.0</v>
      </c>
      <c r="B446" s="135" t="s">
        <v>904</v>
      </c>
    </row>
    <row r="447" ht="15.75" customHeight="1">
      <c r="A447" s="135">
        <v>12501.0</v>
      </c>
      <c r="B447" s="135" t="s">
        <v>905</v>
      </c>
    </row>
    <row r="448" ht="15.75" customHeight="1">
      <c r="A448" s="135">
        <v>12500.0</v>
      </c>
      <c r="B448" s="135" t="s">
        <v>906</v>
      </c>
    </row>
    <row r="449" ht="15.75" customHeight="1">
      <c r="A449" s="135">
        <v>12503.0</v>
      </c>
      <c r="B449" s="135" t="s">
        <v>907</v>
      </c>
    </row>
    <row r="450" ht="15.75" customHeight="1">
      <c r="A450" s="135">
        <v>12502.0</v>
      </c>
      <c r="B450" s="135" t="s">
        <v>908</v>
      </c>
    </row>
    <row r="451" ht="15.75" customHeight="1">
      <c r="A451" s="135">
        <v>12505.0</v>
      </c>
      <c r="B451" s="135" t="s">
        <v>909</v>
      </c>
    </row>
    <row r="452" ht="15.75" customHeight="1">
      <c r="A452" s="135">
        <v>12504.0</v>
      </c>
      <c r="B452" s="135" t="s">
        <v>910</v>
      </c>
    </row>
    <row r="453" ht="15.75" customHeight="1">
      <c r="A453" s="135">
        <v>210.0</v>
      </c>
      <c r="B453" s="135" t="s">
        <v>911</v>
      </c>
    </row>
    <row r="454" ht="15.75" customHeight="1">
      <c r="A454" s="135">
        <v>10215.0</v>
      </c>
      <c r="B454" s="135" t="s">
        <v>912</v>
      </c>
    </row>
    <row r="455" ht="15.75" customHeight="1">
      <c r="A455" s="135">
        <v>213.0</v>
      </c>
      <c r="B455" s="135" t="s">
        <v>913</v>
      </c>
    </row>
    <row r="456" ht="15.75" customHeight="1">
      <c r="A456" s="135">
        <v>212.0</v>
      </c>
      <c r="B456" s="135" t="s">
        <v>914</v>
      </c>
    </row>
    <row r="457" ht="15.75" customHeight="1">
      <c r="A457" s="135">
        <v>10217.0</v>
      </c>
      <c r="B457" s="135" t="s">
        <v>915</v>
      </c>
    </row>
    <row r="458" ht="15.75" customHeight="1">
      <c r="A458" s="135">
        <v>214.0</v>
      </c>
      <c r="B458" s="135" t="s">
        <v>916</v>
      </c>
    </row>
    <row r="459" ht="15.75" customHeight="1">
      <c r="A459" s="135">
        <v>211.0</v>
      </c>
      <c r="B459" s="135" t="s">
        <v>917</v>
      </c>
    </row>
    <row r="460" ht="15.75" customHeight="1">
      <c r="A460" s="135">
        <v>10216.0</v>
      </c>
      <c r="B460" s="135" t="s">
        <v>918</v>
      </c>
    </row>
    <row r="461" ht="15.75" customHeight="1">
      <c r="A461" s="135">
        <v>136.0</v>
      </c>
      <c r="B461" s="135" t="s">
        <v>919</v>
      </c>
    </row>
    <row r="462" ht="15.75" customHeight="1">
      <c r="A462" s="135">
        <v>10248.0</v>
      </c>
      <c r="B462" s="135" t="s">
        <v>920</v>
      </c>
    </row>
    <row r="463" ht="15.75" customHeight="1">
      <c r="A463" s="135">
        <v>10206.0</v>
      </c>
      <c r="B463" s="135" t="s">
        <v>921</v>
      </c>
    </row>
    <row r="464" ht="15.75" customHeight="1">
      <c r="A464" s="135">
        <v>10201.0</v>
      </c>
      <c r="B464" s="135" t="s">
        <v>922</v>
      </c>
    </row>
    <row r="465" ht="15.75" customHeight="1">
      <c r="A465" s="135">
        <v>10226.0</v>
      </c>
      <c r="B465" s="135" t="s">
        <v>923</v>
      </c>
    </row>
    <row r="466" ht="15.75" customHeight="1">
      <c r="A466" s="135">
        <v>10239.0</v>
      </c>
      <c r="B466" s="135" t="s">
        <v>924</v>
      </c>
    </row>
    <row r="467" ht="15.75" customHeight="1">
      <c r="A467" s="135">
        <v>10240.0</v>
      </c>
      <c r="B467" s="135" t="s">
        <v>925</v>
      </c>
    </row>
    <row r="468" ht="15.75" customHeight="1">
      <c r="A468" s="135">
        <v>10202.0</v>
      </c>
      <c r="B468" s="135" t="s">
        <v>926</v>
      </c>
    </row>
    <row r="469" ht="15.75" customHeight="1">
      <c r="A469" s="135">
        <v>10227.0</v>
      </c>
      <c r="B469" s="135" t="s">
        <v>927</v>
      </c>
    </row>
    <row r="470" ht="15.75" customHeight="1">
      <c r="A470" s="135">
        <v>280.0</v>
      </c>
      <c r="B470" s="135" t="s">
        <v>928</v>
      </c>
    </row>
    <row r="471" ht="15.75" customHeight="1">
      <c r="A471" s="135">
        <v>10225.0</v>
      </c>
      <c r="B471" s="135" t="s">
        <v>929</v>
      </c>
    </row>
    <row r="472" ht="15.75" customHeight="1">
      <c r="A472" s="135">
        <v>243.0</v>
      </c>
      <c r="B472" s="135" t="s">
        <v>930</v>
      </c>
    </row>
    <row r="473" ht="15.75" customHeight="1">
      <c r="A473" s="135">
        <v>242.0</v>
      </c>
      <c r="B473" s="135" t="s">
        <v>931</v>
      </c>
    </row>
    <row r="474" ht="15.75" customHeight="1">
      <c r="A474" s="135">
        <v>10221.0</v>
      </c>
      <c r="B474" s="135" t="s">
        <v>932</v>
      </c>
    </row>
    <row r="475" ht="15.75" customHeight="1">
      <c r="A475" s="135">
        <v>220.0</v>
      </c>
      <c r="B475" s="135" t="s">
        <v>933</v>
      </c>
    </row>
    <row r="476" ht="15.75" customHeight="1">
      <c r="A476" s="135">
        <v>221.0</v>
      </c>
      <c r="B476" s="135" t="s">
        <v>934</v>
      </c>
    </row>
    <row r="477" ht="15.75" customHeight="1">
      <c r="A477" s="135">
        <v>10218.0</v>
      </c>
      <c r="B477" s="135" t="s">
        <v>935</v>
      </c>
    </row>
    <row r="478" ht="15.75" customHeight="1">
      <c r="A478" s="135">
        <v>170.0</v>
      </c>
      <c r="B478" s="135" t="s">
        <v>936</v>
      </c>
    </row>
    <row r="479" ht="15.75" customHeight="1">
      <c r="A479" s="135">
        <v>10241.0</v>
      </c>
      <c r="B479" s="135" t="s">
        <v>937</v>
      </c>
    </row>
    <row r="480" ht="15.75" customHeight="1">
      <c r="A480" s="135">
        <v>171.0</v>
      </c>
      <c r="B480" s="135" t="s">
        <v>938</v>
      </c>
    </row>
    <row r="481" ht="15.75" customHeight="1">
      <c r="A481" s="135">
        <v>10242.0</v>
      </c>
      <c r="B481" s="135" t="s">
        <v>939</v>
      </c>
    </row>
    <row r="482" ht="15.75" customHeight="1">
      <c r="A482" s="135">
        <v>281.0</v>
      </c>
      <c r="B482" s="135" t="s">
        <v>940</v>
      </c>
    </row>
    <row r="483" ht="15.75" customHeight="1">
      <c r="A483" s="135">
        <v>10244.0</v>
      </c>
      <c r="B483" s="135" t="s">
        <v>941</v>
      </c>
    </row>
    <row r="484" ht="15.75" customHeight="1">
      <c r="A484" s="135">
        <v>10203.0</v>
      </c>
      <c r="B484" s="135" t="s">
        <v>942</v>
      </c>
    </row>
    <row r="485" ht="15.75" customHeight="1">
      <c r="A485" s="135">
        <v>10204.0</v>
      </c>
      <c r="B485" s="135" t="s">
        <v>943</v>
      </c>
    </row>
    <row r="486" ht="15.75" customHeight="1">
      <c r="A486" s="135">
        <v>10205.0</v>
      </c>
      <c r="B486" s="135" t="s">
        <v>944</v>
      </c>
    </row>
    <row r="487" ht="15.75" customHeight="1">
      <c r="A487" s="135">
        <v>10228.0</v>
      </c>
      <c r="B487" s="135" t="s">
        <v>945</v>
      </c>
    </row>
    <row r="488" ht="15.75" customHeight="1">
      <c r="A488" s="135">
        <v>10229.0</v>
      </c>
      <c r="B488" s="135" t="s">
        <v>946</v>
      </c>
    </row>
    <row r="489" ht="15.75" customHeight="1">
      <c r="A489" s="135">
        <v>10230.0</v>
      </c>
      <c r="B489" s="135" t="s">
        <v>947</v>
      </c>
    </row>
    <row r="490" ht="15.75" customHeight="1">
      <c r="A490" s="135">
        <v>230.0</v>
      </c>
      <c r="B490" s="135" t="s">
        <v>948</v>
      </c>
    </row>
    <row r="491" ht="15.75" customHeight="1">
      <c r="A491" s="135">
        <v>137.0</v>
      </c>
      <c r="B491" s="135" t="s">
        <v>949</v>
      </c>
    </row>
    <row r="492" ht="15.75" customHeight="1">
      <c r="A492" s="135">
        <v>10247.0</v>
      </c>
      <c r="B492" s="135" t="s">
        <v>950</v>
      </c>
    </row>
    <row r="493" ht="15.75" customHeight="1">
      <c r="A493" s="135">
        <v>250.0</v>
      </c>
      <c r="B493" s="135" t="s">
        <v>951</v>
      </c>
    </row>
    <row r="494" ht="15.75" customHeight="1">
      <c r="A494" s="135">
        <v>10222.0</v>
      </c>
      <c r="B494" s="135" t="s">
        <v>952</v>
      </c>
    </row>
    <row r="495" ht="15.75" customHeight="1">
      <c r="A495" s="135">
        <v>240.0</v>
      </c>
      <c r="B495" s="135" t="s">
        <v>953</v>
      </c>
    </row>
    <row r="496" ht="15.75" customHeight="1">
      <c r="A496" s="135">
        <v>241.0</v>
      </c>
      <c r="B496" s="135" t="s">
        <v>954</v>
      </c>
    </row>
    <row r="497" ht="15.75" customHeight="1">
      <c r="A497" s="135">
        <v>10220.0</v>
      </c>
      <c r="B497" s="135" t="s">
        <v>955</v>
      </c>
    </row>
    <row r="498" ht="15.75" customHeight="1">
      <c r="A498" s="135">
        <v>10197.0</v>
      </c>
      <c r="B498" s="135" t="s">
        <v>956</v>
      </c>
    </row>
    <row r="499" ht="15.75" customHeight="1">
      <c r="A499" s="135">
        <v>180.0</v>
      </c>
      <c r="B499" s="135" t="s">
        <v>957</v>
      </c>
    </row>
    <row r="500" ht="15.75" customHeight="1">
      <c r="A500" s="135">
        <v>182.0</v>
      </c>
      <c r="B500" s="135" t="s">
        <v>958</v>
      </c>
    </row>
    <row r="501" ht="15.75" customHeight="1">
      <c r="A501" s="135">
        <v>10255.0</v>
      </c>
      <c r="B501" s="135" t="s">
        <v>959</v>
      </c>
    </row>
    <row r="502" ht="15.75" customHeight="1">
      <c r="A502" s="135">
        <v>10243.0</v>
      </c>
      <c r="B502" s="135" t="s">
        <v>960</v>
      </c>
    </row>
    <row r="503" ht="15.75" customHeight="1">
      <c r="A503" s="135">
        <v>201.0</v>
      </c>
      <c r="B503" s="135" t="s">
        <v>961</v>
      </c>
    </row>
    <row r="504" ht="15.75" customHeight="1">
      <c r="A504" s="135">
        <v>10214.0</v>
      </c>
      <c r="B504" s="135" t="s">
        <v>962</v>
      </c>
    </row>
    <row r="505" ht="15.75" customHeight="1">
      <c r="A505" s="135">
        <v>200.0</v>
      </c>
      <c r="B505" s="135" t="s">
        <v>963</v>
      </c>
    </row>
    <row r="506" ht="15.75" customHeight="1">
      <c r="A506" s="135">
        <v>10213.0</v>
      </c>
      <c r="B506" s="135" t="s">
        <v>964</v>
      </c>
    </row>
    <row r="507" ht="15.75" customHeight="1">
      <c r="A507" s="135">
        <v>10207.0</v>
      </c>
      <c r="B507" s="135" t="s">
        <v>965</v>
      </c>
    </row>
    <row r="508" ht="15.75" customHeight="1">
      <c r="A508" s="135">
        <v>10208.0</v>
      </c>
      <c r="B508" s="135" t="s">
        <v>966</v>
      </c>
    </row>
    <row r="509" ht="15.75" customHeight="1">
      <c r="A509" s="135">
        <v>10236.0</v>
      </c>
      <c r="B509" s="135" t="s">
        <v>967</v>
      </c>
    </row>
    <row r="510" ht="15.75" customHeight="1">
      <c r="A510" s="135">
        <v>10237.0</v>
      </c>
      <c r="B510" s="135" t="s">
        <v>968</v>
      </c>
    </row>
    <row r="511" ht="15.75" customHeight="1">
      <c r="A511" s="135">
        <v>10238.0</v>
      </c>
      <c r="B511" s="135" t="s">
        <v>969</v>
      </c>
    </row>
    <row r="512" ht="15.75" customHeight="1">
      <c r="A512" s="135">
        <v>10231.0</v>
      </c>
      <c r="B512" s="135" t="s">
        <v>970</v>
      </c>
    </row>
    <row r="513" ht="15.75" customHeight="1">
      <c r="A513" s="135">
        <v>260.0</v>
      </c>
      <c r="B513" s="135" t="s">
        <v>971</v>
      </c>
    </row>
    <row r="514" ht="15.75" customHeight="1">
      <c r="A514" s="135">
        <v>10223.0</v>
      </c>
      <c r="B514" s="135" t="s">
        <v>972</v>
      </c>
    </row>
    <row r="515" ht="15.75" customHeight="1">
      <c r="A515" s="135">
        <v>270.0</v>
      </c>
      <c r="B515" s="135" t="s">
        <v>973</v>
      </c>
    </row>
    <row r="516" ht="15.75" customHeight="1">
      <c r="A516" s="135">
        <v>10224.0</v>
      </c>
      <c r="B516" s="135" t="s">
        <v>974</v>
      </c>
    </row>
    <row r="517" ht="15.75" customHeight="1">
      <c r="A517" s="135">
        <v>10209.0</v>
      </c>
      <c r="B517" s="135" t="s">
        <v>975</v>
      </c>
    </row>
    <row r="518" ht="15.75" customHeight="1">
      <c r="A518" s="135">
        <v>10210.0</v>
      </c>
      <c r="B518" s="135" t="s">
        <v>976</v>
      </c>
    </row>
    <row r="519" ht="15.75" customHeight="1">
      <c r="A519" s="135">
        <v>10211.0</v>
      </c>
      <c r="B519" s="135" t="s">
        <v>977</v>
      </c>
    </row>
    <row r="520" ht="15.75" customHeight="1">
      <c r="A520" s="135">
        <v>10212.0</v>
      </c>
      <c r="B520" s="135" t="s">
        <v>978</v>
      </c>
    </row>
    <row r="521" ht="15.75" customHeight="1">
      <c r="A521" s="135">
        <v>10246.0</v>
      </c>
      <c r="B521" s="135" t="s">
        <v>979</v>
      </c>
    </row>
    <row r="522" ht="15.75" customHeight="1">
      <c r="A522" s="135">
        <v>10232.0</v>
      </c>
      <c r="B522" s="135" t="s">
        <v>980</v>
      </c>
    </row>
    <row r="523" ht="15.75" customHeight="1">
      <c r="A523" s="135">
        <v>10233.0</v>
      </c>
      <c r="B523" s="135" t="s">
        <v>981</v>
      </c>
    </row>
    <row r="524" ht="15.75" customHeight="1">
      <c r="A524" s="135">
        <v>10245.0</v>
      </c>
      <c r="B524" s="135" t="s">
        <v>982</v>
      </c>
    </row>
    <row r="525" ht="15.75" customHeight="1">
      <c r="A525" s="135">
        <v>10234.0</v>
      </c>
      <c r="B525" s="135" t="s">
        <v>983</v>
      </c>
    </row>
    <row r="526" ht="15.75" customHeight="1">
      <c r="A526" s="135">
        <v>10235.0</v>
      </c>
      <c r="B526" s="135" t="s">
        <v>984</v>
      </c>
    </row>
    <row r="527" ht="15.75" customHeight="1">
      <c r="A527" s="135">
        <v>160.0</v>
      </c>
      <c r="B527" s="135" t="s">
        <v>985</v>
      </c>
    </row>
    <row r="528" ht="15.75" customHeight="1">
      <c r="A528" s="135">
        <v>10149.0</v>
      </c>
      <c r="B528" s="135" t="s">
        <v>986</v>
      </c>
    </row>
    <row r="529" ht="15.75" customHeight="1">
      <c r="A529" s="135">
        <v>10194.0</v>
      </c>
      <c r="B529" s="135" t="s">
        <v>987</v>
      </c>
    </row>
    <row r="530" ht="15.75" customHeight="1">
      <c r="A530" s="135">
        <v>10193.0</v>
      </c>
      <c r="B530" s="135" t="s">
        <v>988</v>
      </c>
    </row>
    <row r="531" ht="15.75" customHeight="1">
      <c r="A531" s="135">
        <v>181.0</v>
      </c>
      <c r="B531" s="135" t="s">
        <v>989</v>
      </c>
    </row>
    <row r="532" ht="15.75" customHeight="1">
      <c r="A532" s="135">
        <v>10192.0</v>
      </c>
      <c r="B532" s="135" t="s">
        <v>990</v>
      </c>
    </row>
    <row r="533" ht="15.75" customHeight="1">
      <c r="A533" s="135">
        <v>175.0</v>
      </c>
      <c r="B533" s="135" t="s">
        <v>991</v>
      </c>
    </row>
    <row r="534" ht="15.75" customHeight="1">
      <c r="A534" s="135">
        <v>10191.0</v>
      </c>
      <c r="B534" s="135" t="s">
        <v>992</v>
      </c>
    </row>
    <row r="535" ht="15.75" customHeight="1">
      <c r="A535" s="135">
        <v>174.0</v>
      </c>
      <c r="B535" s="135" t="s">
        <v>993</v>
      </c>
    </row>
    <row r="536" ht="15.75" customHeight="1">
      <c r="A536" s="135">
        <v>173.0</v>
      </c>
      <c r="B536" s="135" t="s">
        <v>994</v>
      </c>
    </row>
    <row r="537" ht="15.75" customHeight="1">
      <c r="A537" s="135">
        <v>10190.0</v>
      </c>
      <c r="B537" s="135" t="s">
        <v>995</v>
      </c>
    </row>
    <row r="538" ht="15.75" customHeight="1">
      <c r="A538" s="135">
        <v>172.0</v>
      </c>
      <c r="B538" s="135" t="s">
        <v>996</v>
      </c>
    </row>
    <row r="539" ht="15.75" customHeight="1">
      <c r="A539" s="135">
        <v>10189.0</v>
      </c>
      <c r="B539" s="135" t="s">
        <v>997</v>
      </c>
    </row>
    <row r="540" ht="15.75" customHeight="1">
      <c r="A540" s="135">
        <v>10198.0</v>
      </c>
      <c r="B540" s="135" t="s">
        <v>998</v>
      </c>
    </row>
    <row r="541" ht="15.75" customHeight="1">
      <c r="A541" s="135">
        <v>134.0</v>
      </c>
      <c r="B541" s="135" t="s">
        <v>999</v>
      </c>
    </row>
    <row r="542" ht="15.75" customHeight="1">
      <c r="A542" s="135">
        <v>135.0</v>
      </c>
      <c r="B542" s="135" t="s">
        <v>1000</v>
      </c>
    </row>
    <row r="543" ht="15.75" customHeight="1">
      <c r="A543" s="135">
        <v>10199.0</v>
      </c>
      <c r="B543" s="135" t="s">
        <v>1001</v>
      </c>
    </row>
    <row r="544" ht="15.75" customHeight="1">
      <c r="A544" s="135">
        <v>10165.0</v>
      </c>
      <c r="B544" s="135" t="s">
        <v>1002</v>
      </c>
    </row>
    <row r="545" ht="15.75" customHeight="1">
      <c r="A545" s="135">
        <v>10166.0</v>
      </c>
      <c r="B545" s="135" t="s">
        <v>1003</v>
      </c>
    </row>
    <row r="546" ht="15.75" customHeight="1">
      <c r="A546" s="135">
        <v>10200.0</v>
      </c>
      <c r="B546" s="135" t="s">
        <v>1004</v>
      </c>
    </row>
    <row r="547" ht="15.75" customHeight="1">
      <c r="A547" s="135">
        <v>161.0</v>
      </c>
      <c r="B547" s="135" t="s">
        <v>1005</v>
      </c>
    </row>
    <row r="548" ht="15.75" customHeight="1">
      <c r="A548" s="135">
        <v>183.0</v>
      </c>
      <c r="B548" s="135" t="s">
        <v>405</v>
      </c>
    </row>
    <row r="549" ht="15.75" customHeight="1">
      <c r="A549" s="135">
        <v>169.0</v>
      </c>
      <c r="B549" s="135" t="s">
        <v>385</v>
      </c>
    </row>
    <row r="550" ht="15.75" customHeight="1">
      <c r="A550" s="135">
        <v>168.0</v>
      </c>
      <c r="B550" s="135" t="s">
        <v>1006</v>
      </c>
    </row>
    <row r="551" ht="15.75" customHeight="1">
      <c r="A551" s="135">
        <v>10187.0</v>
      </c>
      <c r="B551" s="135" t="s">
        <v>1007</v>
      </c>
    </row>
    <row r="552" ht="15.75" customHeight="1">
      <c r="A552" s="135">
        <v>10196.0</v>
      </c>
      <c r="B552" s="135" t="s">
        <v>1008</v>
      </c>
    </row>
    <row r="553" ht="15.75" customHeight="1">
      <c r="A553" s="135">
        <v>10188.0</v>
      </c>
      <c r="B553" s="135" t="s">
        <v>1009</v>
      </c>
    </row>
    <row r="554" ht="15.75" customHeight="1">
      <c r="A554" s="135">
        <v>127.0</v>
      </c>
      <c r="B554" s="135" t="s">
        <v>1010</v>
      </c>
    </row>
    <row r="555" ht="15.75" customHeight="1">
      <c r="A555" s="135">
        <v>123.0</v>
      </c>
      <c r="B555" s="135" t="s">
        <v>1011</v>
      </c>
    </row>
    <row r="556" ht="15.75" customHeight="1">
      <c r="A556" s="135">
        <v>10130.0</v>
      </c>
      <c r="B556" s="135" t="s">
        <v>1012</v>
      </c>
    </row>
    <row r="557" ht="15.75" customHeight="1">
      <c r="A557" s="135">
        <v>125.0</v>
      </c>
      <c r="B557" s="135" t="s">
        <v>1013</v>
      </c>
    </row>
    <row r="558" ht="15.75" customHeight="1">
      <c r="A558" s="135">
        <v>126.0</v>
      </c>
      <c r="B558" s="135" t="s">
        <v>1014</v>
      </c>
    </row>
    <row r="559" ht="15.75" customHeight="1">
      <c r="A559" s="135">
        <v>10132.0</v>
      </c>
      <c r="B559" s="135" t="s">
        <v>1015</v>
      </c>
    </row>
    <row r="560" ht="15.75" customHeight="1">
      <c r="A560" s="135">
        <v>10131.0</v>
      </c>
      <c r="B560" s="135" t="s">
        <v>1016</v>
      </c>
    </row>
    <row r="561" ht="15.75" customHeight="1">
      <c r="A561" s="135">
        <v>124.0</v>
      </c>
      <c r="B561" s="135" t="s">
        <v>1017</v>
      </c>
    </row>
    <row r="562" ht="15.75" customHeight="1">
      <c r="A562" s="135">
        <v>120.0</v>
      </c>
      <c r="B562" s="135" t="s">
        <v>1018</v>
      </c>
    </row>
    <row r="563" ht="15.75" customHeight="1">
      <c r="A563" s="135">
        <v>121.0</v>
      </c>
      <c r="B563" s="135" t="s">
        <v>1019</v>
      </c>
    </row>
    <row r="564" ht="15.75" customHeight="1">
      <c r="A564" s="135">
        <v>10128.0</v>
      </c>
      <c r="B564" s="135" t="s">
        <v>1020</v>
      </c>
    </row>
    <row r="565" ht="15.75" customHeight="1">
      <c r="A565" s="135">
        <v>122.0</v>
      </c>
      <c r="B565" s="135" t="s">
        <v>1021</v>
      </c>
    </row>
    <row r="566" ht="15.75" customHeight="1">
      <c r="A566" s="135">
        <v>10129.0</v>
      </c>
      <c r="B566" s="135" t="s">
        <v>1022</v>
      </c>
    </row>
    <row r="567" ht="15.75" customHeight="1">
      <c r="A567" s="135">
        <v>128.0</v>
      </c>
      <c r="B567" s="135" t="s">
        <v>1023</v>
      </c>
    </row>
    <row r="568" ht="15.75" customHeight="1">
      <c r="A568" s="135">
        <v>10133.0</v>
      </c>
      <c r="B568" s="135" t="s">
        <v>1024</v>
      </c>
    </row>
    <row r="569" ht="15.75" customHeight="1">
      <c r="A569" s="135">
        <v>129.0</v>
      </c>
      <c r="B569" s="135" t="s">
        <v>1025</v>
      </c>
    </row>
    <row r="570" ht="15.75" customHeight="1">
      <c r="A570" s="135">
        <v>10134.0</v>
      </c>
      <c r="B570" s="135" t="s">
        <v>1026</v>
      </c>
    </row>
    <row r="571" ht="15.75" customHeight="1">
      <c r="A571" s="135">
        <v>139.0</v>
      </c>
      <c r="B571" s="135" t="s">
        <v>1027</v>
      </c>
    </row>
    <row r="572" ht="15.75" customHeight="1">
      <c r="A572" s="135">
        <v>10253.0</v>
      </c>
      <c r="B572" s="135" t="s">
        <v>1028</v>
      </c>
    </row>
    <row r="573" ht="15.75" customHeight="1">
      <c r="A573" s="135">
        <v>10101.0</v>
      </c>
      <c r="B573" s="135" t="s">
        <v>1029</v>
      </c>
    </row>
    <row r="574" ht="15.75" customHeight="1">
      <c r="A574" s="135">
        <v>10151.0</v>
      </c>
      <c r="B574" s="135" t="s">
        <v>1030</v>
      </c>
    </row>
    <row r="575" ht="15.75" customHeight="1">
      <c r="A575" s="135">
        <v>10100.0</v>
      </c>
      <c r="B575" s="135" t="s">
        <v>1031</v>
      </c>
    </row>
    <row r="576" ht="15.75" customHeight="1">
      <c r="A576" s="135">
        <v>10150.0</v>
      </c>
      <c r="B576" s="135" t="s">
        <v>1032</v>
      </c>
    </row>
    <row r="577" ht="15.75" customHeight="1">
      <c r="A577" s="135">
        <v>10103.0</v>
      </c>
      <c r="B577" s="135" t="s">
        <v>1033</v>
      </c>
    </row>
    <row r="578" ht="15.75" customHeight="1">
      <c r="A578" s="135">
        <v>10153.0</v>
      </c>
      <c r="B578" s="135" t="s">
        <v>1034</v>
      </c>
    </row>
    <row r="579" ht="15.75" customHeight="1">
      <c r="A579" s="135">
        <v>10102.0</v>
      </c>
      <c r="B579" s="135" t="s">
        <v>1035</v>
      </c>
    </row>
    <row r="580" ht="15.75" customHeight="1">
      <c r="A580" s="135">
        <v>10152.0</v>
      </c>
      <c r="B580" s="135" t="s">
        <v>1036</v>
      </c>
    </row>
    <row r="581" ht="15.75" customHeight="1">
      <c r="A581" s="135">
        <v>10104.0</v>
      </c>
      <c r="B581" s="135" t="s">
        <v>1037</v>
      </c>
    </row>
    <row r="582" ht="15.75" customHeight="1">
      <c r="A582" s="135">
        <v>10154.0</v>
      </c>
      <c r="B582" s="135" t="s">
        <v>1038</v>
      </c>
    </row>
    <row r="583" ht="15.75" customHeight="1">
      <c r="A583" s="135">
        <v>10155.0</v>
      </c>
      <c r="B583" s="135" t="s">
        <v>1039</v>
      </c>
    </row>
    <row r="584" ht="15.75" customHeight="1">
      <c r="A584" s="135">
        <v>10105.0</v>
      </c>
      <c r="B584" s="135" t="s">
        <v>1040</v>
      </c>
    </row>
    <row r="585" ht="15.75" customHeight="1">
      <c r="A585" s="135">
        <v>10106.0</v>
      </c>
      <c r="B585" s="135" t="s">
        <v>1041</v>
      </c>
    </row>
    <row r="586" ht="15.75" customHeight="1">
      <c r="A586" s="135">
        <v>10167.0</v>
      </c>
      <c r="B586" s="135" t="s">
        <v>1042</v>
      </c>
    </row>
    <row r="587" ht="15.75" customHeight="1">
      <c r="A587" s="135">
        <v>10168.0</v>
      </c>
      <c r="B587" s="135" t="s">
        <v>1043</v>
      </c>
    </row>
    <row r="588" ht="15.75" customHeight="1">
      <c r="A588" s="135">
        <v>10169.0</v>
      </c>
      <c r="B588" s="135" t="s">
        <v>1044</v>
      </c>
    </row>
    <row r="589" ht="15.75" customHeight="1">
      <c r="A589" s="135">
        <v>10170.0</v>
      </c>
      <c r="B589" s="135" t="s">
        <v>1045</v>
      </c>
    </row>
    <row r="590" ht="15.75" customHeight="1">
      <c r="A590" s="135">
        <v>10180.0</v>
      </c>
      <c r="B590" s="135" t="s">
        <v>1046</v>
      </c>
    </row>
    <row r="591" ht="15.75" customHeight="1">
      <c r="A591" s="135">
        <v>10171.0</v>
      </c>
      <c r="B591" s="135" t="s">
        <v>1047</v>
      </c>
    </row>
    <row r="592" ht="15.75" customHeight="1">
      <c r="A592" s="135">
        <v>10172.0</v>
      </c>
      <c r="B592" s="135" t="s">
        <v>1048</v>
      </c>
    </row>
    <row r="593" ht="15.75" customHeight="1">
      <c r="A593" s="135">
        <v>10108.0</v>
      </c>
      <c r="B593" s="135" t="s">
        <v>1049</v>
      </c>
    </row>
    <row r="594" ht="15.75" customHeight="1">
      <c r="A594" s="135">
        <v>10157.0</v>
      </c>
      <c r="B594" s="135" t="s">
        <v>1050</v>
      </c>
    </row>
    <row r="595" ht="15.75" customHeight="1">
      <c r="A595" s="135">
        <v>10107.0</v>
      </c>
      <c r="B595" s="135" t="s">
        <v>1051</v>
      </c>
    </row>
    <row r="596" ht="15.75" customHeight="1">
      <c r="A596" s="135">
        <v>10156.0</v>
      </c>
      <c r="B596" s="135" t="s">
        <v>1052</v>
      </c>
    </row>
    <row r="597" ht="15.75" customHeight="1">
      <c r="A597" s="135">
        <v>153.0</v>
      </c>
      <c r="B597" s="135" t="s">
        <v>1053</v>
      </c>
    </row>
    <row r="598" ht="15.75" customHeight="1">
      <c r="A598" s="135">
        <v>10143.0</v>
      </c>
      <c r="B598" s="135" t="s">
        <v>1054</v>
      </c>
    </row>
    <row r="599" ht="15.75" customHeight="1">
      <c r="A599" s="135">
        <v>165.0</v>
      </c>
      <c r="B599" s="135" t="s">
        <v>1055</v>
      </c>
    </row>
    <row r="600" ht="15.75" customHeight="1">
      <c r="A600" s="135">
        <v>166.0</v>
      </c>
      <c r="B600" s="135" t="s">
        <v>1056</v>
      </c>
    </row>
    <row r="601" ht="15.75" customHeight="1">
      <c r="A601" s="135">
        <v>10183.0</v>
      </c>
      <c r="B601" s="135" t="s">
        <v>1057</v>
      </c>
    </row>
    <row r="602" ht="15.75" customHeight="1">
      <c r="A602" s="135">
        <v>163.0</v>
      </c>
      <c r="B602" s="135" t="s">
        <v>1058</v>
      </c>
    </row>
    <row r="603" ht="15.75" customHeight="1">
      <c r="A603" s="135">
        <v>164.0</v>
      </c>
      <c r="B603" s="135" t="s">
        <v>1059</v>
      </c>
    </row>
    <row r="604" ht="15.75" customHeight="1">
      <c r="A604" s="135">
        <v>10184.0</v>
      </c>
      <c r="B604" s="135" t="s">
        <v>1060</v>
      </c>
    </row>
    <row r="605" ht="15.75" customHeight="1">
      <c r="A605" s="135">
        <v>167.0</v>
      </c>
      <c r="B605" s="135" t="s">
        <v>1061</v>
      </c>
    </row>
    <row r="606" ht="15.75" customHeight="1">
      <c r="A606" s="135">
        <v>10185.0</v>
      </c>
      <c r="B606" s="135" t="s">
        <v>1062</v>
      </c>
    </row>
    <row r="607" ht="15.75" customHeight="1">
      <c r="A607" s="135">
        <v>10250.0</v>
      </c>
      <c r="B607" s="135" t="s">
        <v>1063</v>
      </c>
    </row>
    <row r="608" ht="15.75" customHeight="1">
      <c r="A608" s="135">
        <v>138.0</v>
      </c>
      <c r="B608" s="135" t="s">
        <v>1064</v>
      </c>
    </row>
    <row r="609" ht="15.75" customHeight="1">
      <c r="A609" s="135">
        <v>130.0</v>
      </c>
      <c r="B609" s="135" t="s">
        <v>437</v>
      </c>
    </row>
    <row r="610" ht="15.75" customHeight="1">
      <c r="A610" s="135">
        <v>10186.0</v>
      </c>
      <c r="B610" s="135" t="s">
        <v>1065</v>
      </c>
    </row>
    <row r="611" ht="15.75" customHeight="1">
      <c r="A611" s="135">
        <v>10135.0</v>
      </c>
      <c r="B611" s="135" t="s">
        <v>1066</v>
      </c>
    </row>
    <row r="612" ht="15.75" customHeight="1">
      <c r="A612" s="135">
        <v>131.0</v>
      </c>
      <c r="B612" s="135" t="s">
        <v>434</v>
      </c>
    </row>
    <row r="613" ht="15.75" customHeight="1">
      <c r="A613" s="135">
        <v>10136.0</v>
      </c>
      <c r="B613" s="135" t="s">
        <v>1067</v>
      </c>
    </row>
    <row r="614" ht="15.75" customHeight="1">
      <c r="A614" s="135">
        <v>140.0</v>
      </c>
      <c r="B614" s="135" t="s">
        <v>1068</v>
      </c>
    </row>
    <row r="615" ht="15.75" customHeight="1">
      <c r="A615" s="135">
        <v>10254.0</v>
      </c>
      <c r="B615" s="135" t="s">
        <v>1069</v>
      </c>
    </row>
    <row r="616" ht="15.75" customHeight="1">
      <c r="A616" s="135">
        <v>141.0</v>
      </c>
      <c r="B616" s="135" t="s">
        <v>1070</v>
      </c>
    </row>
    <row r="617" ht="15.75" customHeight="1">
      <c r="A617" s="135">
        <v>10138.0</v>
      </c>
      <c r="B617" s="135" t="s">
        <v>1071</v>
      </c>
    </row>
    <row r="618" ht="15.75" customHeight="1">
      <c r="A618" s="135">
        <v>145.0</v>
      </c>
      <c r="B618" s="135" t="s">
        <v>1072</v>
      </c>
    </row>
    <row r="619" ht="15.75" customHeight="1">
      <c r="A619" s="135">
        <v>144.0</v>
      </c>
      <c r="B619" s="135" t="s">
        <v>1073</v>
      </c>
    </row>
    <row r="620" ht="15.75" customHeight="1">
      <c r="A620" s="135">
        <v>10140.0</v>
      </c>
      <c r="B620" s="135" t="s">
        <v>1074</v>
      </c>
    </row>
    <row r="621" ht="15.75" customHeight="1">
      <c r="A621" s="135">
        <v>10139.0</v>
      </c>
      <c r="B621" s="135" t="s">
        <v>1075</v>
      </c>
    </row>
    <row r="622" ht="15.75" customHeight="1">
      <c r="A622" s="135">
        <v>143.0</v>
      </c>
      <c r="B622" s="135" t="s">
        <v>1076</v>
      </c>
    </row>
    <row r="623" ht="15.75" customHeight="1">
      <c r="A623" s="135">
        <v>142.0</v>
      </c>
      <c r="B623" s="135" t="s">
        <v>1077</v>
      </c>
    </row>
    <row r="624" ht="15.75" customHeight="1">
      <c r="A624" s="135">
        <v>162.0</v>
      </c>
      <c r="B624" s="135" t="s">
        <v>1078</v>
      </c>
    </row>
    <row r="625" ht="15.75" customHeight="1">
      <c r="A625" s="135">
        <v>159.0</v>
      </c>
      <c r="B625" s="135" t="s">
        <v>1079</v>
      </c>
    </row>
    <row r="626" ht="15.75" customHeight="1">
      <c r="A626" s="135">
        <v>10148.0</v>
      </c>
      <c r="B626" s="135" t="s">
        <v>1080</v>
      </c>
    </row>
    <row r="627" ht="15.75" customHeight="1">
      <c r="A627" s="135">
        <v>158.0</v>
      </c>
      <c r="B627" s="135" t="s">
        <v>1081</v>
      </c>
    </row>
    <row r="628" ht="15.75" customHeight="1">
      <c r="A628" s="135">
        <v>10147.0</v>
      </c>
      <c r="B628" s="135" t="s">
        <v>1082</v>
      </c>
    </row>
    <row r="629" ht="15.75" customHeight="1">
      <c r="A629" s="135">
        <v>156.0</v>
      </c>
      <c r="B629" s="135" t="s">
        <v>1083</v>
      </c>
    </row>
    <row r="630" ht="15.75" customHeight="1">
      <c r="A630" s="135">
        <v>154.0</v>
      </c>
      <c r="B630" s="135" t="s">
        <v>1084</v>
      </c>
    </row>
    <row r="631" ht="15.75" customHeight="1">
      <c r="A631" s="135">
        <v>10144.0</v>
      </c>
      <c r="B631" s="135" t="s">
        <v>1085</v>
      </c>
    </row>
    <row r="632" ht="15.75" customHeight="1">
      <c r="A632" s="135">
        <v>157.0</v>
      </c>
      <c r="B632" s="135" t="s">
        <v>1086</v>
      </c>
    </row>
    <row r="633" ht="15.75" customHeight="1">
      <c r="A633" s="135">
        <v>10146.0</v>
      </c>
      <c r="B633" s="135" t="s">
        <v>1087</v>
      </c>
    </row>
    <row r="634" ht="15.75" customHeight="1">
      <c r="A634" s="135">
        <v>132.0</v>
      </c>
      <c r="B634" s="135" t="s">
        <v>1088</v>
      </c>
    </row>
    <row r="635" ht="15.75" customHeight="1">
      <c r="A635" s="135">
        <v>133.0</v>
      </c>
      <c r="B635" s="135" t="s">
        <v>1089</v>
      </c>
    </row>
    <row r="636" ht="15.75" customHeight="1">
      <c r="A636" s="135">
        <v>10137.0</v>
      </c>
      <c r="B636" s="135" t="s">
        <v>1090</v>
      </c>
    </row>
    <row r="637" ht="15.75" customHeight="1">
      <c r="A637" s="135">
        <v>10110.0</v>
      </c>
      <c r="B637" s="135" t="s">
        <v>1091</v>
      </c>
    </row>
    <row r="638" ht="15.75" customHeight="1">
      <c r="A638" s="135">
        <v>10159.0</v>
      </c>
      <c r="B638" s="135" t="s">
        <v>1092</v>
      </c>
    </row>
    <row r="639" ht="15.75" customHeight="1">
      <c r="A639" s="135">
        <v>10109.0</v>
      </c>
      <c r="B639" s="135" t="s">
        <v>1093</v>
      </c>
    </row>
    <row r="640" ht="15.75" customHeight="1">
      <c r="A640" s="135">
        <v>10158.0</v>
      </c>
      <c r="B640" s="135" t="s">
        <v>1094</v>
      </c>
    </row>
    <row r="641" ht="15.75" customHeight="1">
      <c r="A641" s="135">
        <v>10111.0</v>
      </c>
      <c r="B641" s="135" t="s">
        <v>1095</v>
      </c>
    </row>
    <row r="642" ht="15.75" customHeight="1">
      <c r="A642" s="135">
        <v>10160.0</v>
      </c>
      <c r="B642" s="135" t="s">
        <v>1096</v>
      </c>
    </row>
    <row r="643" ht="15.75" customHeight="1">
      <c r="A643" s="135">
        <v>10114.0</v>
      </c>
      <c r="B643" s="135" t="s">
        <v>1097</v>
      </c>
    </row>
    <row r="644" ht="15.75" customHeight="1">
      <c r="A644" s="135">
        <v>10113.0</v>
      </c>
      <c r="B644" s="135" t="s">
        <v>1098</v>
      </c>
    </row>
    <row r="645" ht="15.75" customHeight="1">
      <c r="A645" s="135">
        <v>10162.0</v>
      </c>
      <c r="B645" s="135" t="s">
        <v>1099</v>
      </c>
    </row>
    <row r="646" ht="15.75" customHeight="1">
      <c r="A646" s="135">
        <v>10112.0</v>
      </c>
      <c r="B646" s="135" t="s">
        <v>1100</v>
      </c>
    </row>
    <row r="647" ht="15.75" customHeight="1">
      <c r="A647" s="135">
        <v>10161.0</v>
      </c>
      <c r="B647" s="135" t="s">
        <v>1101</v>
      </c>
    </row>
    <row r="648" ht="15.75" customHeight="1">
      <c r="A648" s="135">
        <v>10145.0</v>
      </c>
      <c r="B648" s="135" t="s">
        <v>1102</v>
      </c>
    </row>
    <row r="649" ht="15.75" customHeight="1">
      <c r="A649" s="135">
        <v>10119.0</v>
      </c>
      <c r="B649" s="135" t="s">
        <v>1103</v>
      </c>
    </row>
    <row r="650" ht="15.75" customHeight="1">
      <c r="A650" s="135">
        <v>10249.0</v>
      </c>
      <c r="B650" s="135" t="s">
        <v>1104</v>
      </c>
    </row>
    <row r="651" ht="15.75" customHeight="1">
      <c r="A651" s="135">
        <v>177.0</v>
      </c>
      <c r="B651" s="135" t="s">
        <v>1105</v>
      </c>
    </row>
    <row r="652" ht="15.75" customHeight="1">
      <c r="A652" s="135">
        <v>10195.0</v>
      </c>
      <c r="B652" s="135" t="s">
        <v>1106</v>
      </c>
    </row>
    <row r="653" ht="15.75" customHeight="1">
      <c r="A653" s="135">
        <v>178.0</v>
      </c>
      <c r="B653" s="135" t="s">
        <v>1107</v>
      </c>
    </row>
    <row r="654" ht="15.75" customHeight="1">
      <c r="A654" s="135">
        <v>179.0</v>
      </c>
      <c r="B654" s="135" t="s">
        <v>1108</v>
      </c>
    </row>
    <row r="655" ht="15.75" customHeight="1">
      <c r="A655" s="135">
        <v>10177.0</v>
      </c>
      <c r="B655" s="135" t="s">
        <v>1109</v>
      </c>
    </row>
    <row r="656" ht="15.75" customHeight="1">
      <c r="A656" s="135">
        <v>10179.0</v>
      </c>
      <c r="B656" s="135" t="s">
        <v>1110</v>
      </c>
    </row>
    <row r="657" ht="15.75" customHeight="1">
      <c r="A657" s="135">
        <v>10178.0</v>
      </c>
      <c r="B657" s="135" t="s">
        <v>1111</v>
      </c>
    </row>
    <row r="658" ht="15.75" customHeight="1">
      <c r="A658" s="135">
        <v>10175.0</v>
      </c>
      <c r="B658" s="135" t="s">
        <v>1112</v>
      </c>
    </row>
    <row r="659" ht="15.75" customHeight="1">
      <c r="A659" s="135">
        <v>10176.0</v>
      </c>
      <c r="B659" s="135" t="s">
        <v>1113</v>
      </c>
    </row>
    <row r="660" ht="15.75" customHeight="1">
      <c r="A660" s="135">
        <v>10181.0</v>
      </c>
      <c r="B660" s="135" t="s">
        <v>1114</v>
      </c>
    </row>
    <row r="661" ht="15.75" customHeight="1">
      <c r="A661" s="135">
        <v>10182.0</v>
      </c>
      <c r="B661" s="135" t="s">
        <v>1115</v>
      </c>
    </row>
    <row r="662" ht="15.75" customHeight="1">
      <c r="A662" s="135">
        <v>105.0</v>
      </c>
      <c r="B662" s="135" t="s">
        <v>1116</v>
      </c>
    </row>
    <row r="663" ht="15.75" customHeight="1">
      <c r="A663" s="135">
        <v>10123.0</v>
      </c>
      <c r="B663" s="135" t="s">
        <v>1117</v>
      </c>
    </row>
    <row r="664" ht="15.75" customHeight="1">
      <c r="A664" s="135">
        <v>100.0</v>
      </c>
      <c r="B664" s="135" t="s">
        <v>1118</v>
      </c>
    </row>
    <row r="665" ht="15.75" customHeight="1">
      <c r="A665" s="135">
        <v>101.0</v>
      </c>
      <c r="B665" s="135" t="s">
        <v>1119</v>
      </c>
    </row>
    <row r="666" ht="15.75" customHeight="1">
      <c r="A666" s="135">
        <v>10120.0</v>
      </c>
      <c r="B666" s="135" t="s">
        <v>1120</v>
      </c>
    </row>
    <row r="667" ht="15.75" customHeight="1">
      <c r="A667" s="135">
        <v>103.0</v>
      </c>
      <c r="B667" s="135" t="s">
        <v>1121</v>
      </c>
    </row>
    <row r="668" ht="15.75" customHeight="1">
      <c r="A668" s="135">
        <v>104.0</v>
      </c>
      <c r="B668" s="135" t="s">
        <v>1122</v>
      </c>
    </row>
    <row r="669" ht="15.75" customHeight="1">
      <c r="A669" s="135">
        <v>10122.0</v>
      </c>
      <c r="B669" s="135" t="s">
        <v>1123</v>
      </c>
    </row>
    <row r="670" ht="15.75" customHeight="1">
      <c r="A670" s="135">
        <v>102.0</v>
      </c>
      <c r="B670" s="135" t="s">
        <v>1124</v>
      </c>
    </row>
    <row r="671" ht="15.75" customHeight="1">
      <c r="A671" s="135">
        <v>10121.0</v>
      </c>
      <c r="B671" s="135" t="s">
        <v>1125</v>
      </c>
    </row>
    <row r="672" ht="15.75" customHeight="1">
      <c r="A672" s="135">
        <v>10251.0</v>
      </c>
      <c r="B672" s="135" t="s">
        <v>1126</v>
      </c>
    </row>
    <row r="673" ht="15.75" customHeight="1">
      <c r="A673" s="135">
        <v>10252.0</v>
      </c>
      <c r="B673" s="135" t="s">
        <v>1127</v>
      </c>
    </row>
    <row r="674" ht="15.75" customHeight="1">
      <c r="A674" s="135">
        <v>10117.0</v>
      </c>
      <c r="B674" s="135" t="s">
        <v>1128</v>
      </c>
    </row>
    <row r="675" ht="15.75" customHeight="1">
      <c r="A675" s="135">
        <v>10118.0</v>
      </c>
      <c r="B675" s="135" t="s">
        <v>1129</v>
      </c>
    </row>
    <row r="676" ht="15.75" customHeight="1">
      <c r="A676" s="135">
        <v>10164.0</v>
      </c>
      <c r="B676" s="135" t="s">
        <v>1130</v>
      </c>
    </row>
    <row r="677" ht="15.75" customHeight="1">
      <c r="A677" s="135">
        <v>10116.0</v>
      </c>
      <c r="B677" s="135" t="s">
        <v>1131</v>
      </c>
    </row>
    <row r="678" ht="15.75" customHeight="1">
      <c r="A678" s="135">
        <v>10115.0</v>
      </c>
      <c r="B678" s="135" t="s">
        <v>1132</v>
      </c>
    </row>
    <row r="679" ht="15.75" customHeight="1">
      <c r="A679" s="135">
        <v>10163.0</v>
      </c>
      <c r="B679" s="135" t="s">
        <v>1133</v>
      </c>
    </row>
    <row r="680" ht="15.75" customHeight="1">
      <c r="A680" s="135">
        <v>155.0</v>
      </c>
      <c r="B680" s="135" t="s">
        <v>1134</v>
      </c>
    </row>
    <row r="681" ht="15.75" customHeight="1">
      <c r="A681" s="135">
        <v>152.0</v>
      </c>
      <c r="B681" s="135" t="s">
        <v>1135</v>
      </c>
    </row>
    <row r="682" ht="15.75" customHeight="1">
      <c r="A682" s="135">
        <v>10142.0</v>
      </c>
      <c r="B682" s="135" t="s">
        <v>1136</v>
      </c>
    </row>
    <row r="683" ht="15.75" customHeight="1">
      <c r="A683" s="135">
        <v>117.0</v>
      </c>
      <c r="B683" s="135" t="s">
        <v>1137</v>
      </c>
    </row>
    <row r="684" ht="15.75" customHeight="1">
      <c r="A684" s="135">
        <v>10127.0</v>
      </c>
      <c r="B684" s="135" t="s">
        <v>1138</v>
      </c>
    </row>
    <row r="685" ht="15.75" customHeight="1">
      <c r="A685" s="135">
        <v>116.0</v>
      </c>
      <c r="B685" s="135" t="s">
        <v>1139</v>
      </c>
    </row>
    <row r="686" ht="15.75" customHeight="1">
      <c r="A686" s="135">
        <v>110.0</v>
      </c>
      <c r="B686" s="135" t="s">
        <v>1140</v>
      </c>
    </row>
    <row r="687" ht="15.75" customHeight="1">
      <c r="A687" s="135">
        <v>111.0</v>
      </c>
      <c r="B687" s="135" t="s">
        <v>1141</v>
      </c>
    </row>
    <row r="688" ht="15.75" customHeight="1">
      <c r="A688" s="135">
        <v>10124.0</v>
      </c>
      <c r="B688" s="135" t="s">
        <v>1142</v>
      </c>
    </row>
    <row r="689" ht="15.75" customHeight="1">
      <c r="A689" s="135">
        <v>113.0</v>
      </c>
      <c r="B689" s="135" t="s">
        <v>1143</v>
      </c>
    </row>
    <row r="690" ht="15.75" customHeight="1">
      <c r="A690" s="135">
        <v>112.0</v>
      </c>
      <c r="B690" s="135" t="s">
        <v>1144</v>
      </c>
    </row>
    <row r="691" ht="15.75" customHeight="1">
      <c r="A691" s="135">
        <v>10125.0</v>
      </c>
      <c r="B691" s="135" t="s">
        <v>1145</v>
      </c>
    </row>
    <row r="692" ht="15.75" customHeight="1">
      <c r="A692" s="135">
        <v>114.0</v>
      </c>
      <c r="B692" s="135" t="s">
        <v>1146</v>
      </c>
    </row>
    <row r="693" ht="15.75" customHeight="1">
      <c r="A693" s="135">
        <v>115.0</v>
      </c>
      <c r="B693" s="135" t="s">
        <v>1147</v>
      </c>
    </row>
    <row r="694" ht="15.75" customHeight="1">
      <c r="A694" s="135">
        <v>10126.0</v>
      </c>
      <c r="B694" s="135" t="s">
        <v>1148</v>
      </c>
    </row>
    <row r="695" ht="15.75" customHeight="1">
      <c r="A695" s="135">
        <v>10173.0</v>
      </c>
      <c r="B695" s="135" t="s">
        <v>1149</v>
      </c>
    </row>
    <row r="696" ht="15.75" customHeight="1">
      <c r="A696" s="135">
        <v>10174.0</v>
      </c>
      <c r="B696" s="135" t="s">
        <v>1150</v>
      </c>
    </row>
    <row r="697" ht="15.75" customHeight="1">
      <c r="A697" s="135">
        <v>150.0</v>
      </c>
      <c r="B697" s="135" t="s">
        <v>1151</v>
      </c>
    </row>
    <row r="698" ht="15.75" customHeight="1">
      <c r="A698" s="135">
        <v>151.0</v>
      </c>
      <c r="B698" s="135" t="s">
        <v>1152</v>
      </c>
    </row>
    <row r="699" ht="15.75" customHeight="1">
      <c r="A699" s="135">
        <v>10141.0</v>
      </c>
      <c r="B699" s="135" t="s">
        <v>1153</v>
      </c>
    </row>
    <row r="700" ht="15.75" customHeight="1">
      <c r="A700" s="135">
        <v>10001.0</v>
      </c>
      <c r="B700" s="135" t="s">
        <v>1154</v>
      </c>
    </row>
    <row r="701" ht="15.75" customHeight="1">
      <c r="A701" s="135">
        <v>6.0</v>
      </c>
      <c r="B701" s="135" t="s">
        <v>1155</v>
      </c>
    </row>
    <row r="702" ht="15.75" customHeight="1">
      <c r="A702" s="135">
        <v>61.0</v>
      </c>
      <c r="B702" s="135" t="s">
        <v>1156</v>
      </c>
    </row>
    <row r="703" ht="15.75" customHeight="1">
      <c r="A703" s="135">
        <v>17.0</v>
      </c>
      <c r="B703" s="135" t="s">
        <v>1157</v>
      </c>
    </row>
    <row r="704" ht="15.75" customHeight="1">
      <c r="A704" s="135">
        <v>10038.0</v>
      </c>
      <c r="B704" s="135" t="s">
        <v>1158</v>
      </c>
    </row>
    <row r="705" ht="15.75" customHeight="1">
      <c r="A705" s="135">
        <v>16.0</v>
      </c>
      <c r="B705" s="135" t="s">
        <v>1159</v>
      </c>
    </row>
    <row r="706" ht="15.75" customHeight="1">
      <c r="A706" s="135">
        <v>18.0</v>
      </c>
      <c r="B706" s="135" t="s">
        <v>1160</v>
      </c>
    </row>
    <row r="707" ht="15.75" customHeight="1">
      <c r="A707" s="135">
        <v>1.0</v>
      </c>
      <c r="B707" s="135" t="s">
        <v>1161</v>
      </c>
    </row>
    <row r="708" ht="15.75" customHeight="1">
      <c r="A708" s="135">
        <v>8.0</v>
      </c>
      <c r="B708" s="135" t="s">
        <v>1162</v>
      </c>
    </row>
    <row r="709" ht="15.75" customHeight="1">
      <c r="A709" s="135">
        <v>10007.0</v>
      </c>
      <c r="B709" s="135" t="s">
        <v>1163</v>
      </c>
    </row>
    <row r="710" ht="15.75" customHeight="1">
      <c r="A710" s="135">
        <v>5.0</v>
      </c>
      <c r="B710" s="135" t="s">
        <v>1164</v>
      </c>
    </row>
    <row r="711" ht="15.75" customHeight="1">
      <c r="A711" s="135">
        <v>10005.0</v>
      </c>
      <c r="B711" s="135" t="s">
        <v>1165</v>
      </c>
    </row>
    <row r="712" ht="15.75" customHeight="1">
      <c r="A712" s="135">
        <v>10006.0</v>
      </c>
      <c r="B712" s="135" t="s">
        <v>1166</v>
      </c>
    </row>
    <row r="713" ht="15.75" customHeight="1">
      <c r="A713" s="135">
        <v>3.0</v>
      </c>
      <c r="B713" s="135" t="s">
        <v>1167</v>
      </c>
    </row>
    <row r="714" ht="15.75" customHeight="1">
      <c r="A714" s="135">
        <v>10003.0</v>
      </c>
      <c r="B714" s="135" t="s">
        <v>1168</v>
      </c>
    </row>
    <row r="715" ht="15.75" customHeight="1">
      <c r="A715" s="135">
        <v>9.0</v>
      </c>
      <c r="B715" s="135" t="s">
        <v>1169</v>
      </c>
    </row>
    <row r="716" ht="15.75" customHeight="1">
      <c r="A716" s="135">
        <v>10010.0</v>
      </c>
      <c r="B716" s="135" t="s">
        <v>1170</v>
      </c>
    </row>
    <row r="717" ht="15.75" customHeight="1">
      <c r="A717" s="135">
        <v>10.0</v>
      </c>
      <c r="B717" s="135" t="s">
        <v>383</v>
      </c>
    </row>
    <row r="718" ht="15.75" customHeight="1">
      <c r="A718" s="135">
        <v>10012.0</v>
      </c>
      <c r="B718" s="135" t="s">
        <v>1171</v>
      </c>
    </row>
    <row r="719" ht="15.75" customHeight="1">
      <c r="A719" s="135">
        <v>4.0</v>
      </c>
      <c r="B719" s="135" t="s">
        <v>1172</v>
      </c>
    </row>
    <row r="720" ht="15.75" customHeight="1">
      <c r="A720" s="135">
        <v>10004.0</v>
      </c>
      <c r="B720" s="135" t="s">
        <v>1173</v>
      </c>
    </row>
    <row r="721" ht="15.75" customHeight="1">
      <c r="A721" s="135">
        <v>12.0</v>
      </c>
      <c r="B721" s="135" t="s">
        <v>1174</v>
      </c>
    </row>
    <row r="722" ht="15.75" customHeight="1">
      <c r="A722" s="135">
        <v>13.0</v>
      </c>
      <c r="B722" s="135" t="s">
        <v>1175</v>
      </c>
    </row>
    <row r="723" ht="15.75" customHeight="1">
      <c r="A723" s="135">
        <v>2.0</v>
      </c>
      <c r="B723" s="135" t="s">
        <v>1176</v>
      </c>
    </row>
    <row r="724" ht="15.75" customHeight="1">
      <c r="A724" s="135">
        <v>10002.0</v>
      </c>
      <c r="B724" s="135" t="s">
        <v>1177</v>
      </c>
    </row>
    <row r="725" ht="15.75" customHeight="1">
      <c r="A725" s="135">
        <v>20.0</v>
      </c>
      <c r="B725" s="135" t="s">
        <v>1178</v>
      </c>
    </row>
    <row r="726" ht="15.75" customHeight="1">
      <c r="A726" s="135">
        <v>21.0</v>
      </c>
      <c r="B726" s="135" t="s">
        <v>1179</v>
      </c>
    </row>
    <row r="727" ht="15.75" customHeight="1">
      <c r="A727" s="135">
        <v>22.0</v>
      </c>
      <c r="B727" s="135" t="s">
        <v>1180</v>
      </c>
    </row>
    <row r="728" ht="15.75" customHeight="1">
      <c r="A728" s="135">
        <v>23.0</v>
      </c>
      <c r="B728" s="135" t="s">
        <v>1181</v>
      </c>
    </row>
    <row r="729" ht="15.75" customHeight="1">
      <c r="A729" s="135">
        <v>24.0</v>
      </c>
      <c r="B729" s="135" t="s">
        <v>1182</v>
      </c>
    </row>
    <row r="730" ht="15.75" customHeight="1">
      <c r="A730" s="135">
        <v>1976.0</v>
      </c>
      <c r="B730" s="135" t="s">
        <v>1182</v>
      </c>
    </row>
    <row r="731" ht="15.75" customHeight="1">
      <c r="A731" s="135">
        <v>10009.0</v>
      </c>
      <c r="B731" s="135" t="s">
        <v>1183</v>
      </c>
    </row>
    <row r="732" ht="15.75" customHeight="1">
      <c r="A732" s="135">
        <v>7.0</v>
      </c>
      <c r="B732" s="135" t="s">
        <v>1184</v>
      </c>
    </row>
    <row r="733" ht="15.75" customHeight="1">
      <c r="A733" s="135">
        <v>10008.0</v>
      </c>
      <c r="B733" s="135" t="s">
        <v>1185</v>
      </c>
    </row>
    <row r="734" ht="15.75" customHeight="1">
      <c r="A734" s="135">
        <v>15.0</v>
      </c>
      <c r="B734" s="135" t="s">
        <v>1186</v>
      </c>
    </row>
    <row r="735" ht="15.75" customHeight="1">
      <c r="A735" s="135">
        <v>14.0</v>
      </c>
      <c r="B735" s="135" t="s">
        <v>1187</v>
      </c>
    </row>
    <row r="736" ht="15.75" customHeight="1">
      <c r="A736" s="135">
        <v>11.0</v>
      </c>
      <c r="B736" s="135" t="s">
        <v>1188</v>
      </c>
    </row>
    <row r="737" ht="15.75" customHeight="1">
      <c r="A737" s="135">
        <v>10011.0</v>
      </c>
      <c r="B737" s="135" t="s">
        <v>1189</v>
      </c>
    </row>
    <row r="738" ht="15.75" customHeight="1">
      <c r="A738" s="135">
        <v>50.0</v>
      </c>
      <c r="B738" s="135" t="s">
        <v>1190</v>
      </c>
    </row>
    <row r="739" ht="15.75" customHeight="1">
      <c r="A739" s="135">
        <v>10037.0</v>
      </c>
      <c r="B739" s="135" t="s">
        <v>1191</v>
      </c>
    </row>
    <row r="740" ht="15.75" customHeight="1">
      <c r="A740" s="135">
        <v>10013.0</v>
      </c>
      <c r="B740" s="135" t="s">
        <v>1192</v>
      </c>
    </row>
    <row r="741" ht="15.75" customHeight="1">
      <c r="A741" s="135">
        <v>10028.0</v>
      </c>
      <c r="B741" s="135" t="s">
        <v>1193</v>
      </c>
    </row>
    <row r="742" ht="15.75" customHeight="1">
      <c r="A742" s="135">
        <v>10034.0</v>
      </c>
      <c r="B742" s="135" t="s">
        <v>1194</v>
      </c>
    </row>
    <row r="743" ht="15.75" customHeight="1">
      <c r="A743" s="135">
        <v>10029.0</v>
      </c>
      <c r="B743" s="135" t="s">
        <v>1195</v>
      </c>
    </row>
    <row r="744" ht="15.75" customHeight="1">
      <c r="A744" s="135">
        <v>10035.0</v>
      </c>
      <c r="B744" s="135" t="s">
        <v>1196</v>
      </c>
    </row>
    <row r="745" ht="15.75" customHeight="1">
      <c r="A745" s="135">
        <v>51.0</v>
      </c>
      <c r="B745" s="135" t="s">
        <v>1197</v>
      </c>
    </row>
    <row r="746" ht="15.75" customHeight="1">
      <c r="A746" s="135">
        <v>10014.0</v>
      </c>
      <c r="B746" s="135" t="s">
        <v>1198</v>
      </c>
    </row>
    <row r="747" ht="15.75" customHeight="1">
      <c r="A747" s="135">
        <v>52.0</v>
      </c>
      <c r="B747" s="135" t="s">
        <v>492</v>
      </c>
    </row>
    <row r="748" ht="15.75" customHeight="1">
      <c r="A748" s="135">
        <v>55.0</v>
      </c>
      <c r="B748" s="135" t="s">
        <v>492</v>
      </c>
    </row>
    <row r="749" ht="15.75" customHeight="1">
      <c r="A749" s="135">
        <v>62.0</v>
      </c>
      <c r="B749" s="135" t="s">
        <v>492</v>
      </c>
    </row>
    <row r="750" ht="15.75" customHeight="1">
      <c r="A750" s="135">
        <v>10026.0</v>
      </c>
      <c r="B750" s="135" t="s">
        <v>1199</v>
      </c>
    </row>
    <row r="751" ht="15.75" customHeight="1">
      <c r="A751" s="135">
        <v>10032.0</v>
      </c>
      <c r="B751" s="135" t="s">
        <v>1200</v>
      </c>
    </row>
    <row r="752" ht="15.75" customHeight="1">
      <c r="A752" s="135">
        <v>10024.0</v>
      </c>
      <c r="B752" s="135" t="s">
        <v>1201</v>
      </c>
    </row>
    <row r="753" ht="15.75" customHeight="1">
      <c r="A753" s="135">
        <v>10030.0</v>
      </c>
      <c r="B753" s="135" t="s">
        <v>1202</v>
      </c>
    </row>
    <row r="754" ht="15.75" customHeight="1">
      <c r="A754" s="135">
        <v>59.0</v>
      </c>
      <c r="B754" s="135" t="s">
        <v>1203</v>
      </c>
    </row>
    <row r="755" ht="15.75" customHeight="1">
      <c r="A755" s="135">
        <v>10015.0</v>
      </c>
      <c r="B755" s="135" t="s">
        <v>1204</v>
      </c>
    </row>
    <row r="756" ht="15.75" customHeight="1">
      <c r="A756" s="135">
        <v>53.0</v>
      </c>
      <c r="B756" s="135" t="s">
        <v>1205</v>
      </c>
    </row>
    <row r="757" ht="15.75" customHeight="1">
      <c r="A757" s="135">
        <v>10016.0</v>
      </c>
      <c r="B757" s="135" t="s">
        <v>1206</v>
      </c>
    </row>
    <row r="758" ht="15.75" customHeight="1">
      <c r="A758" s="135">
        <v>54.0</v>
      </c>
      <c r="B758" s="135" t="s">
        <v>1207</v>
      </c>
    </row>
    <row r="759" ht="15.75" customHeight="1">
      <c r="A759" s="135">
        <v>56.0</v>
      </c>
      <c r="B759" s="135" t="s">
        <v>1208</v>
      </c>
    </row>
    <row r="760" ht="15.75" customHeight="1">
      <c r="A760" s="135">
        <v>10036.0</v>
      </c>
      <c r="B760" s="135" t="s">
        <v>1209</v>
      </c>
    </row>
    <row r="761" ht="15.75" customHeight="1">
      <c r="A761" s="135">
        <v>57.0</v>
      </c>
      <c r="B761" s="135" t="s">
        <v>371</v>
      </c>
    </row>
    <row r="762" ht="15.75" customHeight="1">
      <c r="A762" s="135">
        <v>10019.0</v>
      </c>
      <c r="B762" s="135" t="s">
        <v>1210</v>
      </c>
    </row>
    <row r="763" ht="15.75" customHeight="1">
      <c r="A763" s="135">
        <v>10022.0</v>
      </c>
      <c r="B763" s="135" t="s">
        <v>1211</v>
      </c>
    </row>
    <row r="764" ht="15.75" customHeight="1">
      <c r="A764" s="135">
        <v>10017.0</v>
      </c>
      <c r="B764" s="135" t="s">
        <v>1212</v>
      </c>
    </row>
    <row r="765" ht="15.75" customHeight="1">
      <c r="A765" s="135">
        <v>58.0</v>
      </c>
      <c r="B765" s="135" t="s">
        <v>1213</v>
      </c>
    </row>
    <row r="766" ht="15.75" customHeight="1">
      <c r="A766" s="135">
        <v>10020.0</v>
      </c>
      <c r="B766" s="135" t="s">
        <v>1214</v>
      </c>
    </row>
    <row r="767" ht="15.75" customHeight="1">
      <c r="A767" s="135">
        <v>10023.0</v>
      </c>
      <c r="B767" s="135" t="s">
        <v>1215</v>
      </c>
    </row>
    <row r="768" ht="15.75" customHeight="1">
      <c r="A768" s="135">
        <v>10018.0</v>
      </c>
      <c r="B768" s="135" t="s">
        <v>1216</v>
      </c>
    </row>
    <row r="769" ht="15.75" customHeight="1">
      <c r="A769" s="135">
        <v>10027.0</v>
      </c>
      <c r="B769" s="135" t="s">
        <v>1217</v>
      </c>
    </row>
    <row r="770" ht="15.75" customHeight="1">
      <c r="A770" s="135">
        <v>10033.0</v>
      </c>
      <c r="B770" s="135" t="s">
        <v>1218</v>
      </c>
    </row>
    <row r="771" ht="15.75" customHeight="1">
      <c r="A771" s="135">
        <v>10025.0</v>
      </c>
      <c r="B771" s="135" t="s">
        <v>1219</v>
      </c>
    </row>
    <row r="772" ht="15.75" customHeight="1">
      <c r="A772" s="135">
        <v>10031.0</v>
      </c>
      <c r="B772" s="135" t="s">
        <v>1220</v>
      </c>
    </row>
    <row r="773" ht="15.75" customHeight="1">
      <c r="A773" s="135">
        <v>60.0</v>
      </c>
      <c r="B773" s="135" t="s">
        <v>1221</v>
      </c>
    </row>
    <row r="774" ht="15.75" customHeight="1">
      <c r="A774" s="135">
        <v>10021.0</v>
      </c>
      <c r="B774" s="135" t="s">
        <v>1222</v>
      </c>
    </row>
    <row r="775" ht="15.75" customHeight="1">
      <c r="A775" s="135">
        <v>10463.0</v>
      </c>
      <c r="B775" s="135" t="s">
        <v>1223</v>
      </c>
    </row>
    <row r="776" ht="15.75" customHeight="1">
      <c r="A776" s="135">
        <v>400.0</v>
      </c>
      <c r="B776" s="135" t="s">
        <v>1224</v>
      </c>
    </row>
    <row r="777" ht="15.75" customHeight="1">
      <c r="A777" s="135">
        <v>10464.0</v>
      </c>
      <c r="B777" s="135" t="s">
        <v>1225</v>
      </c>
    </row>
    <row r="778" ht="15.75" customHeight="1">
      <c r="A778" s="135">
        <v>401.0</v>
      </c>
      <c r="B778" s="135" t="s">
        <v>1226</v>
      </c>
    </row>
    <row r="779" ht="15.75" customHeight="1">
      <c r="A779" s="135">
        <v>10470.0</v>
      </c>
      <c r="B779" s="135" t="s">
        <v>1227</v>
      </c>
    </row>
    <row r="780" ht="15.75" customHeight="1">
      <c r="A780" s="135">
        <v>10468.0</v>
      </c>
      <c r="B780" s="135" t="s">
        <v>1228</v>
      </c>
    </row>
    <row r="781" ht="15.75" customHeight="1">
      <c r="A781" s="135">
        <v>10469.0</v>
      </c>
      <c r="B781" s="135" t="s">
        <v>1229</v>
      </c>
    </row>
    <row r="782" ht="15.75" customHeight="1">
      <c r="A782" s="135">
        <v>10467.0</v>
      </c>
      <c r="B782" s="135" t="s">
        <v>1230</v>
      </c>
    </row>
    <row r="783" ht="15.75" customHeight="1">
      <c r="A783" s="135">
        <v>402.0</v>
      </c>
      <c r="B783" s="135" t="s">
        <v>1231</v>
      </c>
    </row>
    <row r="784" ht="15.75" customHeight="1">
      <c r="A784" s="135">
        <v>406.0</v>
      </c>
      <c r="B784" s="135" t="s">
        <v>1232</v>
      </c>
    </row>
    <row r="785" ht="15.75" customHeight="1">
      <c r="A785" s="135">
        <v>10460.0</v>
      </c>
      <c r="B785" s="135" t="s">
        <v>1233</v>
      </c>
    </row>
    <row r="786" ht="15.75" customHeight="1">
      <c r="A786" s="135">
        <v>10466.0</v>
      </c>
      <c r="B786" s="135" t="s">
        <v>1234</v>
      </c>
    </row>
    <row r="787" ht="15.75" customHeight="1">
      <c r="A787" s="135">
        <v>407.0</v>
      </c>
      <c r="B787" s="135" t="s">
        <v>1235</v>
      </c>
    </row>
    <row r="788" ht="15.75" customHeight="1">
      <c r="A788" s="135">
        <v>409.0</v>
      </c>
      <c r="B788" s="135" t="s">
        <v>1236</v>
      </c>
    </row>
    <row r="789" ht="15.75" customHeight="1">
      <c r="A789" s="135">
        <v>410.0</v>
      </c>
      <c r="B789" s="135" t="s">
        <v>1237</v>
      </c>
    </row>
    <row r="790" ht="15.75" customHeight="1">
      <c r="A790" s="135">
        <v>408.0</v>
      </c>
      <c r="B790" s="135" t="s">
        <v>1238</v>
      </c>
    </row>
    <row r="791" ht="15.75" customHeight="1">
      <c r="A791" s="135">
        <v>405.0</v>
      </c>
      <c r="B791" s="135" t="s">
        <v>1239</v>
      </c>
    </row>
    <row r="792" ht="15.75" customHeight="1">
      <c r="A792" s="135">
        <v>404.0</v>
      </c>
      <c r="B792" s="135" t="s">
        <v>1240</v>
      </c>
    </row>
    <row r="793" ht="15.75" customHeight="1">
      <c r="A793" s="135">
        <v>411.0</v>
      </c>
      <c r="B793" s="135" t="s">
        <v>1241</v>
      </c>
    </row>
    <row r="794" ht="15.75" customHeight="1">
      <c r="A794" s="135">
        <v>13000.0</v>
      </c>
      <c r="B794" s="135" t="s">
        <v>1242</v>
      </c>
    </row>
    <row r="795" ht="15.75" customHeight="1">
      <c r="A795" s="135">
        <v>300.0</v>
      </c>
      <c r="B795" s="135" t="s">
        <v>1243</v>
      </c>
    </row>
    <row r="796" ht="15.75" customHeight="1">
      <c r="A796" s="135">
        <v>301.0</v>
      </c>
      <c r="B796" s="135" t="s">
        <v>1244</v>
      </c>
    </row>
    <row r="797" ht="15.75" customHeight="1">
      <c r="A797" s="135">
        <v>10300.0</v>
      </c>
      <c r="B797" s="135" t="s">
        <v>1245</v>
      </c>
    </row>
    <row r="798" ht="15.75" customHeight="1">
      <c r="A798" s="135">
        <v>302.0</v>
      </c>
      <c r="B798" s="135" t="s">
        <v>1246</v>
      </c>
    </row>
    <row r="799" ht="15.75" customHeight="1">
      <c r="A799" s="135">
        <v>303.0</v>
      </c>
      <c r="B799" s="135" t="s">
        <v>1247</v>
      </c>
    </row>
    <row r="800" ht="15.75" customHeight="1">
      <c r="A800" s="135">
        <v>10306.0</v>
      </c>
      <c r="B800" s="135" t="s">
        <v>1248</v>
      </c>
    </row>
    <row r="801" ht="15.75" customHeight="1">
      <c r="A801" s="135">
        <v>310.0</v>
      </c>
      <c r="B801" s="135" t="s">
        <v>1249</v>
      </c>
    </row>
    <row r="802" ht="15.75" customHeight="1">
      <c r="A802" s="135">
        <v>311.0</v>
      </c>
      <c r="B802" s="135" t="s">
        <v>1250</v>
      </c>
    </row>
    <row r="803" ht="15.75" customHeight="1">
      <c r="A803" s="135">
        <v>10301.0</v>
      </c>
      <c r="B803" s="135" t="s">
        <v>1251</v>
      </c>
    </row>
    <row r="804" ht="15.75" customHeight="1">
      <c r="A804" s="135">
        <v>320.0</v>
      </c>
      <c r="B804" s="135" t="s">
        <v>1252</v>
      </c>
    </row>
    <row r="805" ht="15.75" customHeight="1">
      <c r="A805" s="135">
        <v>10302.0</v>
      </c>
      <c r="B805" s="135" t="s">
        <v>1253</v>
      </c>
    </row>
    <row r="806" ht="15.75" customHeight="1">
      <c r="A806" s="135">
        <v>363.0</v>
      </c>
      <c r="B806" s="135" t="s">
        <v>1254</v>
      </c>
    </row>
    <row r="807" ht="15.75" customHeight="1">
      <c r="A807" s="135">
        <v>10310.0</v>
      </c>
      <c r="B807" s="135" t="s">
        <v>1255</v>
      </c>
    </row>
    <row r="808" ht="15.75" customHeight="1">
      <c r="A808" s="135">
        <v>330.0</v>
      </c>
      <c r="B808" s="135" t="s">
        <v>401</v>
      </c>
    </row>
    <row r="809" ht="15.75" customHeight="1">
      <c r="A809" s="135">
        <v>10304.0</v>
      </c>
      <c r="B809" s="135" t="s">
        <v>1256</v>
      </c>
    </row>
    <row r="810" ht="15.75" customHeight="1">
      <c r="A810" s="135">
        <v>331.0</v>
      </c>
      <c r="B810" s="135" t="s">
        <v>1257</v>
      </c>
    </row>
    <row r="811" ht="15.75" customHeight="1">
      <c r="A811" s="135">
        <v>332.0</v>
      </c>
      <c r="B811" s="135" t="s">
        <v>1258</v>
      </c>
    </row>
    <row r="812" ht="15.75" customHeight="1">
      <c r="A812" s="135">
        <v>10305.0</v>
      </c>
      <c r="B812" s="135" t="s">
        <v>1259</v>
      </c>
    </row>
    <row r="813" ht="15.75" customHeight="1">
      <c r="A813" s="135">
        <v>321.0</v>
      </c>
      <c r="B813" s="135" t="s">
        <v>1260</v>
      </c>
    </row>
    <row r="814" ht="15.75" customHeight="1">
      <c r="A814" s="135">
        <v>10303.0</v>
      </c>
      <c r="B814" s="135" t="s">
        <v>1261</v>
      </c>
    </row>
    <row r="815" ht="15.75" customHeight="1">
      <c r="A815" s="135">
        <v>340.0</v>
      </c>
      <c r="B815" s="135" t="s">
        <v>1262</v>
      </c>
    </row>
    <row r="816" ht="15.75" customHeight="1">
      <c r="A816" s="135">
        <v>353.0</v>
      </c>
      <c r="B816" s="135" t="s">
        <v>1263</v>
      </c>
    </row>
    <row r="817" ht="15.75" customHeight="1">
      <c r="A817" s="135">
        <v>350.0</v>
      </c>
      <c r="B817" s="135" t="s">
        <v>1264</v>
      </c>
    </row>
    <row r="818" ht="15.75" customHeight="1">
      <c r="A818" s="135">
        <v>351.0</v>
      </c>
      <c r="B818" s="135" t="s">
        <v>1265</v>
      </c>
    </row>
    <row r="819" ht="15.75" customHeight="1">
      <c r="A819" s="135">
        <v>352.0</v>
      </c>
      <c r="B819" s="135" t="s">
        <v>1266</v>
      </c>
    </row>
    <row r="820" ht="15.75" customHeight="1">
      <c r="A820" s="135">
        <v>10307.0</v>
      </c>
      <c r="B820" s="135" t="s">
        <v>1267</v>
      </c>
    </row>
    <row r="821" ht="15.75" customHeight="1">
      <c r="A821" s="135">
        <v>360.0</v>
      </c>
      <c r="B821" s="135" t="s">
        <v>1268</v>
      </c>
    </row>
    <row r="822" ht="15.75" customHeight="1">
      <c r="A822" s="135">
        <v>361.0</v>
      </c>
      <c r="B822" s="135" t="s">
        <v>1269</v>
      </c>
    </row>
    <row r="823" ht="15.75" customHeight="1">
      <c r="A823" s="135">
        <v>10308.0</v>
      </c>
      <c r="B823" s="135" t="s">
        <v>1270</v>
      </c>
    </row>
    <row r="824" ht="15.75" customHeight="1">
      <c r="A824" s="135">
        <v>362.0</v>
      </c>
      <c r="B824" s="135" t="s">
        <v>1271</v>
      </c>
    </row>
    <row r="825" ht="15.75" customHeight="1">
      <c r="A825" s="135">
        <v>10309.0</v>
      </c>
      <c r="B825" s="135" t="s">
        <v>1272</v>
      </c>
    </row>
    <row r="826" ht="15.75" customHeight="1">
      <c r="A826" s="135">
        <v>13117.0</v>
      </c>
      <c r="B826" s="135" t="s">
        <v>1273</v>
      </c>
    </row>
    <row r="827" ht="15.75" customHeight="1">
      <c r="A827" s="135">
        <v>13116.0</v>
      </c>
      <c r="B827" s="135" t="s">
        <v>1274</v>
      </c>
    </row>
    <row r="828" ht="15.75" customHeight="1">
      <c r="A828" s="135">
        <v>13102.0</v>
      </c>
      <c r="B828" s="135" t="s">
        <v>1275</v>
      </c>
    </row>
    <row r="829" ht="15.75" customHeight="1">
      <c r="A829" s="135">
        <v>13118.0</v>
      </c>
      <c r="B829" s="135" t="s">
        <v>1276</v>
      </c>
    </row>
    <row r="830" ht="15.75" customHeight="1">
      <c r="A830" s="135">
        <v>13103.0</v>
      </c>
      <c r="B830" s="135" t="s">
        <v>1277</v>
      </c>
    </row>
    <row r="831" ht="15.75" customHeight="1">
      <c r="A831" s="135">
        <v>13104.0</v>
      </c>
      <c r="B831" s="135" t="s">
        <v>1278</v>
      </c>
    </row>
    <row r="832" ht="15.75" customHeight="1">
      <c r="A832" s="135">
        <v>13120.0</v>
      </c>
      <c r="B832" s="135" t="s">
        <v>1279</v>
      </c>
    </row>
    <row r="833" ht="15.75" customHeight="1">
      <c r="A833" s="135">
        <v>13122.0</v>
      </c>
      <c r="B833" s="135" t="s">
        <v>1280</v>
      </c>
    </row>
    <row r="834" ht="15.75" customHeight="1">
      <c r="A834" s="135">
        <v>13121.0</v>
      </c>
      <c r="B834" s="135" t="s">
        <v>1281</v>
      </c>
    </row>
    <row r="835" ht="15.75" customHeight="1">
      <c r="A835" s="135">
        <v>13101.0</v>
      </c>
      <c r="B835" s="135" t="s">
        <v>492</v>
      </c>
    </row>
    <row r="836" ht="15.75" customHeight="1">
      <c r="A836" s="135">
        <v>13105.0</v>
      </c>
      <c r="B836" s="135" t="s">
        <v>492</v>
      </c>
    </row>
    <row r="837" ht="15.75" customHeight="1">
      <c r="A837" s="135">
        <v>13106.0</v>
      </c>
      <c r="B837" s="135" t="s">
        <v>492</v>
      </c>
    </row>
    <row r="838" ht="15.75" customHeight="1">
      <c r="A838" s="135">
        <v>13107.0</v>
      </c>
      <c r="B838" s="135" t="s">
        <v>492</v>
      </c>
    </row>
    <row r="839" ht="15.75" customHeight="1">
      <c r="A839" s="135">
        <v>13114.0</v>
      </c>
      <c r="B839" s="135" t="s">
        <v>492</v>
      </c>
    </row>
    <row r="840" ht="15.75" customHeight="1">
      <c r="A840" s="135">
        <v>13115.0</v>
      </c>
      <c r="B840" s="135" t="s">
        <v>492</v>
      </c>
    </row>
    <row r="841" ht="15.75" customHeight="1">
      <c r="A841" s="135">
        <v>13108.0</v>
      </c>
      <c r="B841" s="135" t="s">
        <v>1282</v>
      </c>
    </row>
    <row r="842" ht="15.75" customHeight="1">
      <c r="A842" s="135">
        <v>13111.0</v>
      </c>
      <c r="B842" s="135" t="s">
        <v>1283</v>
      </c>
    </row>
    <row r="843" ht="15.75" customHeight="1">
      <c r="A843" s="135">
        <v>13113.0</v>
      </c>
      <c r="B843" s="135" t="s">
        <v>1284</v>
      </c>
    </row>
    <row r="844" ht="15.75" customHeight="1">
      <c r="A844" s="135">
        <v>13109.0</v>
      </c>
      <c r="B844" s="135" t="s">
        <v>1285</v>
      </c>
    </row>
    <row r="845" ht="15.75" customHeight="1">
      <c r="A845" s="135">
        <v>13112.0</v>
      </c>
      <c r="B845" s="135" t="s">
        <v>1286</v>
      </c>
    </row>
    <row r="846" ht="15.75" customHeight="1">
      <c r="A846" s="135">
        <v>13110.0</v>
      </c>
      <c r="B846" s="135" t="s">
        <v>1287</v>
      </c>
    </row>
    <row r="847" ht="15.75" customHeight="1">
      <c r="A847" s="135">
        <v>13119.0</v>
      </c>
      <c r="B847" s="135" t="s">
        <v>1288</v>
      </c>
    </row>
    <row r="848" ht="15.75" customHeight="1">
      <c r="A848" s="135">
        <v>13100.0</v>
      </c>
      <c r="B848" s="135" t="s">
        <v>1289</v>
      </c>
    </row>
    <row r="849" ht="15.75" customHeight="1">
      <c r="A849" s="135">
        <v>13701.0</v>
      </c>
      <c r="B849" s="135" t="s">
        <v>1290</v>
      </c>
    </row>
    <row r="850" ht="15.75" customHeight="1">
      <c r="A850" s="135">
        <v>13700.0</v>
      </c>
      <c r="B850" s="135" t="s">
        <v>1291</v>
      </c>
    </row>
    <row r="851" ht="15.75" customHeight="1">
      <c r="A851" s="135">
        <v>13200.0</v>
      </c>
      <c r="B851" s="135" t="s">
        <v>1292</v>
      </c>
    </row>
    <row r="852" ht="15.75" customHeight="1">
      <c r="A852" s="135">
        <v>13201.0</v>
      </c>
      <c r="B852" s="135" t="s">
        <v>1293</v>
      </c>
    </row>
    <row r="853" ht="15.75" customHeight="1">
      <c r="A853" s="135">
        <v>13301.0</v>
      </c>
      <c r="B853" s="135" t="s">
        <v>1294</v>
      </c>
    </row>
    <row r="854" ht="15.75" customHeight="1">
      <c r="A854" s="135">
        <v>13300.0</v>
      </c>
      <c r="B854" s="135" t="s">
        <v>1295</v>
      </c>
    </row>
    <row r="855" ht="15.75" customHeight="1">
      <c r="A855" s="135">
        <v>13303.0</v>
      </c>
      <c r="B855" s="135" t="s">
        <v>1296</v>
      </c>
    </row>
    <row r="856" ht="15.75" customHeight="1">
      <c r="A856" s="135">
        <v>13302.0</v>
      </c>
      <c r="B856" s="135" t="s">
        <v>1297</v>
      </c>
    </row>
    <row r="857" ht="15.75" customHeight="1">
      <c r="A857" s="135">
        <v>600.0</v>
      </c>
      <c r="B857" s="135" t="s">
        <v>1298</v>
      </c>
    </row>
    <row r="858" ht="15.75" customHeight="1">
      <c r="A858" s="135">
        <v>618.0</v>
      </c>
      <c r="B858" s="135" t="s">
        <v>1299</v>
      </c>
    </row>
    <row r="859" ht="15.75" customHeight="1">
      <c r="A859" s="135">
        <v>13408.0</v>
      </c>
      <c r="B859" s="135" t="s">
        <v>492</v>
      </c>
    </row>
    <row r="860" ht="15.75" customHeight="1">
      <c r="A860" s="135">
        <v>13409.0</v>
      </c>
      <c r="B860" s="135" t="s">
        <v>492</v>
      </c>
    </row>
    <row r="861" ht="15.75" customHeight="1">
      <c r="A861" s="135">
        <v>13410.0</v>
      </c>
      <c r="B861" s="135" t="s">
        <v>492</v>
      </c>
    </row>
    <row r="862" ht="15.75" customHeight="1">
      <c r="A862" s="135">
        <v>13412.0</v>
      </c>
      <c r="B862" s="135" t="s">
        <v>492</v>
      </c>
    </row>
    <row r="863" ht="15.75" customHeight="1">
      <c r="A863" s="135">
        <v>13416.0</v>
      </c>
      <c r="B863" s="135" t="s">
        <v>492</v>
      </c>
    </row>
    <row r="864" ht="15.75" customHeight="1">
      <c r="A864" s="135">
        <v>13401.0</v>
      </c>
      <c r="B864" s="135" t="s">
        <v>1300</v>
      </c>
    </row>
    <row r="865" ht="15.75" customHeight="1">
      <c r="A865" s="135">
        <v>13402.0</v>
      </c>
      <c r="B865" s="135" t="s">
        <v>1301</v>
      </c>
    </row>
    <row r="866" ht="15.75" customHeight="1">
      <c r="A866" s="135">
        <v>13403.0</v>
      </c>
      <c r="B866" s="135" t="s">
        <v>1302</v>
      </c>
    </row>
    <row r="867" ht="15.75" customHeight="1">
      <c r="A867" s="135">
        <v>13404.0</v>
      </c>
      <c r="B867" s="135" t="s">
        <v>1303</v>
      </c>
    </row>
    <row r="868" ht="15.75" customHeight="1">
      <c r="A868" s="135">
        <v>13405.0</v>
      </c>
      <c r="B868" s="135" t="s">
        <v>1304</v>
      </c>
    </row>
    <row r="869" ht="15.75" customHeight="1">
      <c r="A869" s="135">
        <v>13406.0</v>
      </c>
      <c r="B869" s="135" t="s">
        <v>1305</v>
      </c>
    </row>
    <row r="870" ht="15.75" customHeight="1">
      <c r="A870" s="135">
        <v>13407.0</v>
      </c>
      <c r="B870" s="135" t="s">
        <v>1306</v>
      </c>
    </row>
    <row r="871" ht="15.75" customHeight="1">
      <c r="A871" s="135">
        <v>13411.0</v>
      </c>
      <c r="B871" s="135" t="s">
        <v>1307</v>
      </c>
    </row>
    <row r="872" ht="15.75" customHeight="1">
      <c r="A872" s="135">
        <v>13414.0</v>
      </c>
      <c r="B872" s="135" t="s">
        <v>1308</v>
      </c>
    </row>
    <row r="873" ht="15.75" customHeight="1">
      <c r="A873" s="135">
        <v>13413.0</v>
      </c>
      <c r="B873" s="135" t="s">
        <v>1309</v>
      </c>
    </row>
    <row r="874" ht="15.75" customHeight="1">
      <c r="A874" s="135">
        <v>13415.0</v>
      </c>
      <c r="B874" s="135" t="s">
        <v>1310</v>
      </c>
    </row>
    <row r="875" ht="15.75" customHeight="1">
      <c r="A875" s="135">
        <v>13417.0</v>
      </c>
      <c r="B875" s="135" t="s">
        <v>1311</v>
      </c>
    </row>
    <row r="876" ht="15.75" customHeight="1">
      <c r="A876" s="135">
        <v>13812.0</v>
      </c>
      <c r="B876" s="135" t="s">
        <v>1312</v>
      </c>
    </row>
    <row r="877" ht="15.75" customHeight="1">
      <c r="A877" s="135">
        <v>13800.0</v>
      </c>
      <c r="B877" s="135" t="s">
        <v>492</v>
      </c>
    </row>
    <row r="878" ht="15.75" customHeight="1">
      <c r="A878" s="135">
        <v>13805.0</v>
      </c>
      <c r="B878" s="135" t="s">
        <v>492</v>
      </c>
    </row>
    <row r="879" ht="15.75" customHeight="1">
      <c r="A879" s="135">
        <v>13810.0</v>
      </c>
      <c r="B879" s="135" t="s">
        <v>492</v>
      </c>
    </row>
    <row r="880" ht="15.75" customHeight="1">
      <c r="A880" s="135">
        <v>13813.0</v>
      </c>
      <c r="B880" s="135" t="s">
        <v>492</v>
      </c>
    </row>
    <row r="881" ht="15.75" customHeight="1">
      <c r="A881" s="135">
        <v>13816.0</v>
      </c>
      <c r="B881" s="135" t="s">
        <v>492</v>
      </c>
    </row>
    <row r="882" ht="15.75" customHeight="1">
      <c r="A882" s="135">
        <v>13817.0</v>
      </c>
      <c r="B882" s="135" t="s">
        <v>492</v>
      </c>
    </row>
    <row r="883" ht="15.75" customHeight="1">
      <c r="A883" s="135">
        <v>13809.0</v>
      </c>
      <c r="B883" s="135" t="s">
        <v>1313</v>
      </c>
    </row>
    <row r="884" ht="15.75" customHeight="1">
      <c r="A884" s="135">
        <v>13811.0</v>
      </c>
      <c r="B884" s="135" t="s">
        <v>1314</v>
      </c>
    </row>
    <row r="885" ht="15.75" customHeight="1">
      <c r="A885" s="135">
        <v>13803.0</v>
      </c>
      <c r="B885" s="135" t="s">
        <v>1315</v>
      </c>
    </row>
    <row r="886" ht="15.75" customHeight="1">
      <c r="A886" s="135">
        <v>13808.0</v>
      </c>
      <c r="B886" s="135" t="s">
        <v>1316</v>
      </c>
    </row>
    <row r="887" ht="15.75" customHeight="1">
      <c r="A887" s="135">
        <v>13801.0</v>
      </c>
      <c r="B887" s="135" t="s">
        <v>1317</v>
      </c>
    </row>
    <row r="888" ht="15.75" customHeight="1">
      <c r="A888" s="135">
        <v>13802.0</v>
      </c>
      <c r="B888" s="135" t="s">
        <v>1318</v>
      </c>
    </row>
    <row r="889" ht="15.75" customHeight="1">
      <c r="A889" s="135">
        <v>13804.0</v>
      </c>
      <c r="B889" s="135" t="s">
        <v>1319</v>
      </c>
    </row>
    <row r="890" ht="15.75" customHeight="1">
      <c r="A890" s="135">
        <v>13807.0</v>
      </c>
      <c r="B890" s="135" t="s">
        <v>1320</v>
      </c>
    </row>
    <row r="891" ht="15.75" customHeight="1">
      <c r="A891" s="135">
        <v>13806.0</v>
      </c>
      <c r="B891" s="135" t="s">
        <v>1321</v>
      </c>
    </row>
    <row r="892" ht="15.75" customHeight="1">
      <c r="A892" s="135">
        <v>13814.0</v>
      </c>
      <c r="B892" s="135" t="s">
        <v>1322</v>
      </c>
    </row>
    <row r="893" ht="15.75" customHeight="1">
      <c r="A893" s="135">
        <v>13815.0</v>
      </c>
      <c r="B893" s="135" t="s">
        <v>1323</v>
      </c>
    </row>
    <row r="894" ht="15.75" customHeight="1">
      <c r="A894" s="135">
        <v>13400.0</v>
      </c>
      <c r="B894" s="135" t="s">
        <v>1324</v>
      </c>
    </row>
    <row r="895" ht="15.75" customHeight="1">
      <c r="A895" s="135">
        <v>13350.0</v>
      </c>
      <c r="B895" s="135" t="s">
        <v>1325</v>
      </c>
    </row>
    <row r="896" ht="15.75" customHeight="1">
      <c r="A896" s="135">
        <v>13512.0</v>
      </c>
      <c r="B896" s="135" t="s">
        <v>1326</v>
      </c>
    </row>
    <row r="897" ht="15.75" customHeight="1">
      <c r="A897" s="135">
        <v>13500.0</v>
      </c>
      <c r="B897" s="135" t="s">
        <v>492</v>
      </c>
    </row>
    <row r="898" ht="15.75" customHeight="1">
      <c r="A898" s="135">
        <v>13501.0</v>
      </c>
      <c r="B898" s="135" t="s">
        <v>492</v>
      </c>
    </row>
    <row r="899" ht="15.75" customHeight="1">
      <c r="A899" s="135">
        <v>13502.0</v>
      </c>
      <c r="B899" s="135" t="s">
        <v>492</v>
      </c>
    </row>
    <row r="900" ht="15.75" customHeight="1">
      <c r="A900" s="135">
        <v>13503.0</v>
      </c>
      <c r="B900" s="135" t="s">
        <v>492</v>
      </c>
    </row>
    <row r="901" ht="15.75" customHeight="1">
      <c r="A901" s="135">
        <v>13504.0</v>
      </c>
      <c r="B901" s="135" t="s">
        <v>492</v>
      </c>
    </row>
    <row r="902" ht="15.75" customHeight="1">
      <c r="A902" s="135">
        <v>13505.0</v>
      </c>
      <c r="B902" s="135" t="s">
        <v>492</v>
      </c>
    </row>
    <row r="903" ht="15.75" customHeight="1">
      <c r="A903" s="135">
        <v>13510.0</v>
      </c>
      <c r="B903" s="135" t="s">
        <v>1327</v>
      </c>
    </row>
    <row r="904" ht="15.75" customHeight="1">
      <c r="A904" s="135">
        <v>13511.0</v>
      </c>
      <c r="B904" s="135" t="s">
        <v>1328</v>
      </c>
    </row>
    <row r="905" ht="15.75" customHeight="1">
      <c r="A905" s="135">
        <v>13509.0</v>
      </c>
      <c r="B905" s="135" t="s">
        <v>1329</v>
      </c>
    </row>
    <row r="906" ht="15.75" customHeight="1">
      <c r="A906" s="135">
        <v>13506.0</v>
      </c>
      <c r="B906" s="135" t="s">
        <v>1330</v>
      </c>
    </row>
    <row r="907" ht="15.75" customHeight="1">
      <c r="A907" s="135">
        <v>13507.0</v>
      </c>
      <c r="B907" s="135" t="s">
        <v>1331</v>
      </c>
    </row>
    <row r="908" ht="15.75" customHeight="1">
      <c r="A908" s="135">
        <v>13514.0</v>
      </c>
      <c r="B908" s="135" t="s">
        <v>1332</v>
      </c>
    </row>
    <row r="909" ht="15.75" customHeight="1">
      <c r="A909" s="135">
        <v>13513.0</v>
      </c>
      <c r="B909" s="135" t="s">
        <v>1333</v>
      </c>
    </row>
    <row r="910" ht="15.75" customHeight="1">
      <c r="A910" s="135">
        <v>13508.0</v>
      </c>
      <c r="B910" s="135" t="s">
        <v>1334</v>
      </c>
    </row>
    <row r="911" ht="15.75" customHeight="1">
      <c r="A911" s="135">
        <v>13610.0</v>
      </c>
      <c r="B911" s="135" t="s">
        <v>1335</v>
      </c>
    </row>
    <row r="912" ht="15.75" customHeight="1">
      <c r="A912" s="135">
        <v>13609.0</v>
      </c>
      <c r="B912" s="135" t="s">
        <v>1336</v>
      </c>
    </row>
    <row r="913" ht="15.75" customHeight="1">
      <c r="A913" s="135">
        <v>13608.0</v>
      </c>
      <c r="B913" s="135" t="s">
        <v>1337</v>
      </c>
    </row>
    <row r="914" ht="15.75" customHeight="1">
      <c r="A914" s="135">
        <v>13613.0</v>
      </c>
      <c r="B914" s="135" t="s">
        <v>1338</v>
      </c>
    </row>
    <row r="915" ht="15.75" customHeight="1">
      <c r="A915" s="135">
        <v>13614.0</v>
      </c>
      <c r="B915" s="135" t="s">
        <v>1339</v>
      </c>
    </row>
    <row r="916" ht="15.75" customHeight="1">
      <c r="A916" s="135">
        <v>13611.0</v>
      </c>
      <c r="B916" s="135" t="s">
        <v>1340</v>
      </c>
    </row>
    <row r="917" ht="15.75" customHeight="1">
      <c r="A917" s="135">
        <v>13612.0</v>
      </c>
      <c r="B917" s="135" t="s">
        <v>1341</v>
      </c>
    </row>
    <row r="918" ht="15.75" customHeight="1">
      <c r="A918" s="135">
        <v>13600.0</v>
      </c>
      <c r="B918" s="135" t="s">
        <v>1342</v>
      </c>
    </row>
    <row r="919" ht="15.75" customHeight="1">
      <c r="A919" s="135">
        <v>13601.0</v>
      </c>
      <c r="B919" s="135" t="s">
        <v>1343</v>
      </c>
    </row>
    <row r="920" ht="15.75" customHeight="1">
      <c r="A920" s="135">
        <v>13605.0</v>
      </c>
      <c r="B920" s="135" t="s">
        <v>1344</v>
      </c>
    </row>
    <row r="921" ht="15.75" customHeight="1">
      <c r="A921" s="135">
        <v>13602.0</v>
      </c>
      <c r="B921" s="135" t="s">
        <v>1345</v>
      </c>
    </row>
    <row r="922" ht="15.75" customHeight="1">
      <c r="A922" s="135">
        <v>13603.0</v>
      </c>
      <c r="B922" s="135" t="s">
        <v>1346</v>
      </c>
    </row>
    <row r="923" ht="15.75" customHeight="1">
      <c r="A923" s="135">
        <v>13604.0</v>
      </c>
      <c r="B923" s="135" t="s">
        <v>1347</v>
      </c>
    </row>
    <row r="924" ht="15.75" customHeight="1">
      <c r="A924" s="135">
        <v>13606.0</v>
      </c>
      <c r="B924" s="135" t="s">
        <v>1348</v>
      </c>
    </row>
    <row r="925" ht="15.75" customHeight="1">
      <c r="A925" s="135">
        <v>13607.0</v>
      </c>
      <c r="B925" s="135" t="s">
        <v>1349</v>
      </c>
    </row>
    <row r="926" ht="15.75" customHeight="1">
      <c r="A926" s="135">
        <v>10660.0</v>
      </c>
      <c r="B926" s="135" t="s">
        <v>1350</v>
      </c>
    </row>
    <row r="927" ht="15.75" customHeight="1">
      <c r="A927" s="135">
        <v>10661.0</v>
      </c>
      <c r="B927" s="135" t="s">
        <v>1351</v>
      </c>
    </row>
    <row r="928" ht="15.75" customHeight="1">
      <c r="A928" s="135">
        <v>10692.0</v>
      </c>
      <c r="B928" s="135" t="s">
        <v>1352</v>
      </c>
    </row>
    <row r="929" ht="15.75" customHeight="1">
      <c r="A929" s="135">
        <v>10650.0</v>
      </c>
      <c r="B929" s="135" t="s">
        <v>1353</v>
      </c>
    </row>
    <row r="930" ht="15.75" customHeight="1">
      <c r="A930" s="135">
        <v>10651.0</v>
      </c>
      <c r="B930" s="135" t="s">
        <v>1354</v>
      </c>
    </row>
    <row r="931" ht="15.75" customHeight="1">
      <c r="A931" s="135">
        <v>10653.0</v>
      </c>
      <c r="B931" s="135" t="s">
        <v>1355</v>
      </c>
    </row>
    <row r="932" ht="15.75" customHeight="1">
      <c r="A932" s="135">
        <v>10652.0</v>
      </c>
      <c r="B932" s="135" t="s">
        <v>1356</v>
      </c>
    </row>
    <row r="933" ht="15.75" customHeight="1">
      <c r="A933" s="135">
        <v>10695.0</v>
      </c>
      <c r="B933" s="135" t="s">
        <v>1357</v>
      </c>
    </row>
    <row r="934" ht="15.75" customHeight="1">
      <c r="A934" s="135">
        <v>10668.0</v>
      </c>
      <c r="B934" s="135" t="s">
        <v>1358</v>
      </c>
    </row>
    <row r="935" ht="15.75" customHeight="1">
      <c r="A935" s="135">
        <v>10690.0</v>
      </c>
      <c r="B935" s="135" t="s">
        <v>1359</v>
      </c>
    </row>
    <row r="936" ht="15.75" customHeight="1">
      <c r="A936" s="135">
        <v>10670.0</v>
      </c>
      <c r="B936" s="135" t="s">
        <v>1360</v>
      </c>
    </row>
    <row r="937" ht="15.75" customHeight="1">
      <c r="A937" s="135">
        <v>10691.0</v>
      </c>
      <c r="B937" s="135" t="s">
        <v>1361</v>
      </c>
    </row>
    <row r="938" ht="15.75" customHeight="1">
      <c r="A938" s="135">
        <v>10694.0</v>
      </c>
      <c r="B938" s="135" t="s">
        <v>1362</v>
      </c>
    </row>
    <row r="939" ht="15.75" customHeight="1">
      <c r="A939" s="135">
        <v>10655.0</v>
      </c>
      <c r="B939" s="135" t="s">
        <v>1363</v>
      </c>
    </row>
    <row r="940" ht="15.75" customHeight="1">
      <c r="A940" s="135">
        <v>10654.0</v>
      </c>
      <c r="B940" s="135" t="s">
        <v>1364</v>
      </c>
    </row>
    <row r="941" ht="15.75" customHeight="1">
      <c r="A941" s="135">
        <v>10687.0</v>
      </c>
      <c r="B941" s="135" t="s">
        <v>1365</v>
      </c>
    </row>
    <row r="942" ht="15.75" customHeight="1">
      <c r="A942" s="135">
        <v>10688.0</v>
      </c>
      <c r="B942" s="135" t="s">
        <v>1366</v>
      </c>
    </row>
    <row r="943" ht="15.75" customHeight="1">
      <c r="A943" s="135">
        <v>10689.0</v>
      </c>
      <c r="B943" s="135" t="s">
        <v>1367</v>
      </c>
    </row>
    <row r="944" ht="15.75" customHeight="1">
      <c r="A944" s="135">
        <v>10671.0</v>
      </c>
      <c r="B944" s="135" t="s">
        <v>1368</v>
      </c>
    </row>
    <row r="945" ht="15.75" customHeight="1">
      <c r="A945" s="135">
        <v>10657.0</v>
      </c>
      <c r="B945" s="135" t="s">
        <v>1369</v>
      </c>
    </row>
    <row r="946" ht="15.75" customHeight="1">
      <c r="A946" s="135">
        <v>10656.0</v>
      </c>
      <c r="B946" s="135" t="s">
        <v>1370</v>
      </c>
    </row>
    <row r="947" ht="15.75" customHeight="1">
      <c r="A947" s="135">
        <v>10693.0</v>
      </c>
      <c r="B947" s="135" t="s">
        <v>1371</v>
      </c>
    </row>
    <row r="948" ht="15.75" customHeight="1">
      <c r="A948" s="135">
        <v>10659.0</v>
      </c>
      <c r="B948" s="135" t="s">
        <v>1372</v>
      </c>
    </row>
    <row r="949" ht="15.75" customHeight="1">
      <c r="A949" s="135">
        <v>10658.0</v>
      </c>
      <c r="B949" s="135" t="s">
        <v>1373</v>
      </c>
    </row>
    <row r="950" ht="15.75" customHeight="1">
      <c r="A950" s="135">
        <v>500.0</v>
      </c>
      <c r="B950" s="135" t="s">
        <v>1374</v>
      </c>
    </row>
    <row r="951" ht="15.75" customHeight="1">
      <c r="A951" s="135">
        <v>501.0</v>
      </c>
      <c r="B951" s="135" t="s">
        <v>1375</v>
      </c>
    </row>
    <row r="952" ht="15.75" customHeight="1">
      <c r="A952" s="135">
        <v>10531.0</v>
      </c>
      <c r="B952" s="135" t="s">
        <v>1376</v>
      </c>
    </row>
    <row r="953" ht="15.75" customHeight="1">
      <c r="A953" s="135">
        <v>502.0</v>
      </c>
      <c r="B953" s="135" t="s">
        <v>1377</v>
      </c>
    </row>
    <row r="954" ht="15.75" customHeight="1">
      <c r="A954" s="135">
        <v>10534.0</v>
      </c>
      <c r="B954" s="135" t="s">
        <v>1378</v>
      </c>
    </row>
    <row r="955" ht="15.75" customHeight="1">
      <c r="A955" s="135">
        <v>10519.0</v>
      </c>
      <c r="B955" s="135" t="s">
        <v>1379</v>
      </c>
    </row>
    <row r="956" ht="15.75" customHeight="1">
      <c r="A956" s="135">
        <v>10517.0</v>
      </c>
      <c r="B956" s="135" t="s">
        <v>1380</v>
      </c>
    </row>
    <row r="957" ht="15.75" customHeight="1">
      <c r="A957" s="135">
        <v>10518.0</v>
      </c>
      <c r="B957" s="135" t="s">
        <v>1381</v>
      </c>
    </row>
    <row r="958" ht="15.75" customHeight="1">
      <c r="A958" s="135">
        <v>503.0</v>
      </c>
      <c r="B958" s="135" t="s">
        <v>1382</v>
      </c>
    </row>
    <row r="959" ht="15.75" customHeight="1">
      <c r="A959" s="135">
        <v>10522.0</v>
      </c>
      <c r="B959" s="135" t="s">
        <v>1383</v>
      </c>
    </row>
    <row r="960" ht="15.75" customHeight="1">
      <c r="A960" s="135">
        <v>10502.0</v>
      </c>
      <c r="B960" s="135" t="s">
        <v>1384</v>
      </c>
    </row>
    <row r="961" ht="15.75" customHeight="1">
      <c r="A961" s="135">
        <v>10520.0</v>
      </c>
      <c r="B961" s="135" t="s">
        <v>1385</v>
      </c>
    </row>
    <row r="962" ht="15.75" customHeight="1">
      <c r="A962" s="135">
        <v>504.0</v>
      </c>
      <c r="B962" s="135" t="s">
        <v>1386</v>
      </c>
    </row>
    <row r="963" ht="15.75" customHeight="1">
      <c r="A963" s="135">
        <v>10535.0</v>
      </c>
      <c r="B963" s="135" t="s">
        <v>1387</v>
      </c>
    </row>
    <row r="964" ht="15.75" customHeight="1">
      <c r="A964" s="135">
        <v>505.0</v>
      </c>
      <c r="B964" s="135" t="s">
        <v>423</v>
      </c>
    </row>
    <row r="965" ht="15.75" customHeight="1">
      <c r="A965" s="135">
        <v>506.0</v>
      </c>
      <c r="B965" s="135" t="s">
        <v>1388</v>
      </c>
    </row>
    <row r="966" ht="15.75" customHeight="1">
      <c r="A966" s="135">
        <v>507.0</v>
      </c>
      <c r="B966" s="135" t="s">
        <v>392</v>
      </c>
    </row>
    <row r="967" ht="15.75" customHeight="1">
      <c r="A967" s="135">
        <v>10521.0</v>
      </c>
      <c r="B967" s="135" t="s">
        <v>1389</v>
      </c>
    </row>
    <row r="968" ht="15.75" customHeight="1">
      <c r="A968" s="135">
        <v>10504.0</v>
      </c>
      <c r="B968" s="135" t="s">
        <v>1390</v>
      </c>
    </row>
    <row r="969" ht="15.75" customHeight="1">
      <c r="A969" s="135">
        <v>10505.0</v>
      </c>
      <c r="B969" s="135" t="s">
        <v>1391</v>
      </c>
    </row>
    <row r="970" ht="15.75" customHeight="1">
      <c r="A970" s="135">
        <v>10506.0</v>
      </c>
      <c r="B970" s="135" t="s">
        <v>1392</v>
      </c>
    </row>
    <row r="971" ht="15.75" customHeight="1">
      <c r="A971" s="135">
        <v>523.0</v>
      </c>
      <c r="B971" s="135" t="s">
        <v>1393</v>
      </c>
    </row>
    <row r="972" ht="15.75" customHeight="1">
      <c r="A972" s="135">
        <v>10503.0</v>
      </c>
      <c r="B972" s="135" t="s">
        <v>1394</v>
      </c>
    </row>
    <row r="973" ht="15.75" customHeight="1">
      <c r="A973" s="135">
        <v>508.0</v>
      </c>
      <c r="B973" s="135" t="s">
        <v>426</v>
      </c>
    </row>
    <row r="974" ht="15.75" customHeight="1">
      <c r="A974" s="135">
        <v>10528.0</v>
      </c>
      <c r="B974" s="135" t="s">
        <v>1395</v>
      </c>
    </row>
    <row r="975" ht="15.75" customHeight="1">
      <c r="A975" s="135">
        <v>509.0</v>
      </c>
      <c r="B975" s="135" t="s">
        <v>420</v>
      </c>
    </row>
    <row r="976" ht="15.75" customHeight="1">
      <c r="A976" s="135">
        <v>510.0</v>
      </c>
      <c r="B976" s="135" t="s">
        <v>1396</v>
      </c>
    </row>
    <row r="977" ht="15.75" customHeight="1">
      <c r="A977" s="135">
        <v>10500.0</v>
      </c>
      <c r="B977" s="135" t="s">
        <v>1397</v>
      </c>
    </row>
    <row r="978" ht="15.75" customHeight="1">
      <c r="A978" s="135">
        <v>10540.0</v>
      </c>
      <c r="B978" s="135" t="s">
        <v>1398</v>
      </c>
    </row>
    <row r="979" ht="15.75" customHeight="1">
      <c r="A979" s="135">
        <v>10507.0</v>
      </c>
      <c r="B979" s="135" t="s">
        <v>1399</v>
      </c>
    </row>
    <row r="980" ht="15.75" customHeight="1">
      <c r="A980" s="135">
        <v>10536.0</v>
      </c>
      <c r="B980" s="135" t="s">
        <v>1400</v>
      </c>
    </row>
    <row r="981" ht="15.75" customHeight="1">
      <c r="A981" s="135">
        <v>511.0</v>
      </c>
      <c r="B981" s="135" t="s">
        <v>1401</v>
      </c>
    </row>
    <row r="982" ht="15.75" customHeight="1">
      <c r="A982" s="135">
        <v>10508.0</v>
      </c>
      <c r="B982" s="135" t="s">
        <v>1402</v>
      </c>
    </row>
    <row r="983" ht="15.75" customHeight="1">
      <c r="A983" s="135">
        <v>512.0</v>
      </c>
      <c r="B983" s="135" t="s">
        <v>1403</v>
      </c>
    </row>
    <row r="984" ht="15.75" customHeight="1">
      <c r="A984" s="135">
        <v>513.0</v>
      </c>
      <c r="B984" s="135" t="s">
        <v>1404</v>
      </c>
    </row>
    <row r="985" ht="15.75" customHeight="1">
      <c r="A985" s="135">
        <v>10501.0</v>
      </c>
      <c r="B985" s="135" t="s">
        <v>492</v>
      </c>
    </row>
    <row r="986" ht="15.75" customHeight="1">
      <c r="A986" s="135">
        <v>10509.0</v>
      </c>
      <c r="B986" s="135" t="s">
        <v>1405</v>
      </c>
    </row>
    <row r="987" ht="15.75" customHeight="1">
      <c r="A987" s="135">
        <v>10510.0</v>
      </c>
      <c r="B987" s="135" t="s">
        <v>1406</v>
      </c>
    </row>
    <row r="988" ht="15.75" customHeight="1">
      <c r="A988" s="135">
        <v>10539.0</v>
      </c>
      <c r="B988" s="135" t="s">
        <v>1407</v>
      </c>
    </row>
    <row r="989" ht="15.75" customHeight="1">
      <c r="A989" s="135">
        <v>10523.0</v>
      </c>
      <c r="B989" s="135" t="s">
        <v>1408</v>
      </c>
    </row>
    <row r="990" ht="15.75" customHeight="1">
      <c r="A990" s="135">
        <v>514.0</v>
      </c>
      <c r="B990" s="135" t="s">
        <v>1409</v>
      </c>
    </row>
    <row r="991" ht="15.75" customHeight="1">
      <c r="A991" s="135">
        <v>10525.0</v>
      </c>
      <c r="B991" s="135" t="s">
        <v>1410</v>
      </c>
    </row>
    <row r="992" ht="15.75" customHeight="1">
      <c r="A992" s="135">
        <v>10524.0</v>
      </c>
      <c r="B992" s="135" t="s">
        <v>1411</v>
      </c>
    </row>
    <row r="993" ht="15.75" customHeight="1">
      <c r="A993" s="135">
        <v>10537.0</v>
      </c>
      <c r="B993" s="135" t="s">
        <v>1412</v>
      </c>
    </row>
    <row r="994" ht="15.75" customHeight="1">
      <c r="A994" s="135">
        <v>515.0</v>
      </c>
      <c r="B994" s="135" t="s">
        <v>1413</v>
      </c>
    </row>
    <row r="995" ht="15.75" customHeight="1">
      <c r="A995" s="135">
        <v>10533.0</v>
      </c>
      <c r="B995" s="135" t="s">
        <v>1414</v>
      </c>
    </row>
    <row r="996" ht="15.75" customHeight="1">
      <c r="A996" s="135">
        <v>517.0</v>
      </c>
      <c r="B996" s="135" t="s">
        <v>1415</v>
      </c>
    </row>
    <row r="997" ht="15.75" customHeight="1">
      <c r="A997" s="135">
        <v>516.0</v>
      </c>
      <c r="B997" s="135" t="s">
        <v>1416</v>
      </c>
    </row>
    <row r="998" ht="15.75" customHeight="1">
      <c r="A998" s="135">
        <v>524.0</v>
      </c>
      <c r="B998" s="135" t="s">
        <v>1417</v>
      </c>
    </row>
    <row r="999" ht="15.75" customHeight="1">
      <c r="A999" s="135">
        <v>525.0</v>
      </c>
      <c r="B999" s="135" t="s">
        <v>1418</v>
      </c>
    </row>
    <row r="1000" ht="15.75" customHeight="1">
      <c r="A1000" s="135">
        <v>518.0</v>
      </c>
      <c r="B1000" s="135" t="s">
        <v>1419</v>
      </c>
    </row>
    <row r="1001" ht="15.75" customHeight="1">
      <c r="A1001" s="135">
        <v>519.0</v>
      </c>
      <c r="B1001" s="135" t="s">
        <v>1420</v>
      </c>
    </row>
    <row r="1002" ht="15.75" customHeight="1">
      <c r="A1002" s="135">
        <v>10532.0</v>
      </c>
      <c r="B1002" s="135" t="s">
        <v>1421</v>
      </c>
    </row>
    <row r="1003" ht="15.75" customHeight="1">
      <c r="A1003" s="135">
        <v>10526.0</v>
      </c>
      <c r="B1003" s="135" t="s">
        <v>1422</v>
      </c>
    </row>
    <row r="1004" ht="15.75" customHeight="1">
      <c r="A1004" s="135">
        <v>10511.0</v>
      </c>
      <c r="B1004" s="135" t="s">
        <v>1423</v>
      </c>
    </row>
    <row r="1005" ht="15.75" customHeight="1">
      <c r="A1005" s="135">
        <v>10527.0</v>
      </c>
      <c r="B1005" s="135" t="s">
        <v>1424</v>
      </c>
    </row>
    <row r="1006" ht="15.75" customHeight="1">
      <c r="A1006" s="135">
        <v>10512.0</v>
      </c>
      <c r="B1006" s="135" t="s">
        <v>1425</v>
      </c>
    </row>
    <row r="1007" ht="15.75" customHeight="1">
      <c r="A1007" s="135">
        <v>520.0</v>
      </c>
      <c r="B1007" s="135" t="s">
        <v>1426</v>
      </c>
    </row>
    <row r="1008" ht="15.75" customHeight="1">
      <c r="A1008" s="135">
        <v>521.0</v>
      </c>
      <c r="B1008" s="135" t="s">
        <v>1427</v>
      </c>
    </row>
    <row r="1009" ht="15.75" customHeight="1">
      <c r="A1009" s="135">
        <v>522.0</v>
      </c>
      <c r="B1009" s="135" t="s">
        <v>1428</v>
      </c>
    </row>
    <row r="1010" ht="15.75" customHeight="1">
      <c r="A1010" s="135">
        <v>10538.0</v>
      </c>
      <c r="B1010" s="135" t="s">
        <v>1429</v>
      </c>
    </row>
    <row r="1011" ht="15.75" customHeight="1">
      <c r="A1011" s="135">
        <v>10513.0</v>
      </c>
      <c r="B1011" s="135" t="s">
        <v>1430</v>
      </c>
    </row>
    <row r="1012" ht="15.75" customHeight="1">
      <c r="A1012" s="135">
        <v>10514.0</v>
      </c>
      <c r="B1012" s="135" t="s">
        <v>1431</v>
      </c>
    </row>
    <row r="1013" ht="15.75" customHeight="1">
      <c r="A1013" s="135">
        <v>10515.0</v>
      </c>
      <c r="B1013" s="135" t="s">
        <v>1432</v>
      </c>
    </row>
    <row r="1014" ht="15.75" customHeight="1">
      <c r="A1014" s="135">
        <v>10516.0</v>
      </c>
      <c r="B1014" s="135" t="s">
        <v>1433</v>
      </c>
    </row>
    <row r="1015" ht="15.75" customHeight="1">
      <c r="A1015" s="135">
        <v>10529.0</v>
      </c>
      <c r="B1015" s="135" t="s">
        <v>1434</v>
      </c>
    </row>
    <row r="1016" ht="15.75" customHeight="1">
      <c r="A1016" s="135">
        <v>10530.0</v>
      </c>
      <c r="B1016" s="135" t="s">
        <v>1435</v>
      </c>
    </row>
    <row r="1017" ht="15.75" customHeight="1">
      <c r="A1017" s="135">
        <v>12334.0</v>
      </c>
      <c r="B1017" s="135" t="s">
        <v>1436</v>
      </c>
    </row>
    <row r="1018" ht="15.75" customHeight="1">
      <c r="A1018" s="135">
        <v>12333.0</v>
      </c>
      <c r="B1018" s="135" t="s">
        <v>1437</v>
      </c>
    </row>
    <row r="1019" ht="15.75" customHeight="1">
      <c r="A1019" s="135">
        <v>12335.0</v>
      </c>
      <c r="B1019" s="135" t="s">
        <v>1438</v>
      </c>
    </row>
    <row r="1020" ht="15.75" customHeight="1">
      <c r="A1020" s="135">
        <v>12336.0</v>
      </c>
      <c r="B1020" s="135" t="s">
        <v>1439</v>
      </c>
    </row>
    <row r="1021" ht="15.75" customHeight="1">
      <c r="A1021" s="135">
        <v>12305.0</v>
      </c>
      <c r="B1021" s="135" t="s">
        <v>1440</v>
      </c>
    </row>
    <row r="1022" ht="15.75" customHeight="1">
      <c r="A1022" s="135">
        <v>12306.0</v>
      </c>
      <c r="B1022" s="135" t="s">
        <v>1441</v>
      </c>
    </row>
    <row r="1023" ht="15.75" customHeight="1">
      <c r="A1023" s="135">
        <v>12331.0</v>
      </c>
      <c r="B1023" s="135" t="s">
        <v>1442</v>
      </c>
    </row>
    <row r="1024" ht="15.75" customHeight="1">
      <c r="A1024" s="135">
        <v>12332.0</v>
      </c>
      <c r="B1024" s="135" t="s">
        <v>1443</v>
      </c>
    </row>
    <row r="1025" ht="15.75" customHeight="1">
      <c r="A1025" s="135">
        <v>12330.0</v>
      </c>
      <c r="B1025" s="135" t="s">
        <v>1444</v>
      </c>
    </row>
    <row r="1026" ht="15.75" customHeight="1">
      <c r="A1026" s="135">
        <v>12329.0</v>
      </c>
      <c r="B1026" s="135" t="s">
        <v>1445</v>
      </c>
    </row>
    <row r="1027" ht="15.75" customHeight="1">
      <c r="A1027" s="135">
        <v>12307.0</v>
      </c>
      <c r="B1027" s="135" t="s">
        <v>1446</v>
      </c>
    </row>
    <row r="1028" ht="15.75" customHeight="1">
      <c r="A1028" s="135">
        <v>12308.0</v>
      </c>
      <c r="B1028" s="135" t="s">
        <v>1447</v>
      </c>
    </row>
    <row r="1029" ht="15.75" customHeight="1">
      <c r="A1029" s="135">
        <v>12309.0</v>
      </c>
      <c r="B1029" s="135" t="s">
        <v>1448</v>
      </c>
    </row>
    <row r="1030" ht="15.75" customHeight="1">
      <c r="A1030" s="135">
        <v>12310.0</v>
      </c>
      <c r="B1030" s="135" t="s">
        <v>1449</v>
      </c>
    </row>
    <row r="1031" ht="15.75" customHeight="1">
      <c r="A1031" s="135">
        <v>12449.0</v>
      </c>
      <c r="B1031" s="135" t="s">
        <v>1450</v>
      </c>
    </row>
    <row r="1032" ht="15.75" customHeight="1">
      <c r="A1032" s="135">
        <v>12311.0</v>
      </c>
      <c r="B1032" s="135" t="s">
        <v>1451</v>
      </c>
    </row>
    <row r="1033" ht="15.75" customHeight="1">
      <c r="A1033" s="135">
        <v>12312.0</v>
      </c>
      <c r="B1033" s="135" t="s">
        <v>1452</v>
      </c>
    </row>
    <row r="1034" ht="15.75" customHeight="1">
      <c r="A1034" s="135">
        <v>12348.0</v>
      </c>
      <c r="B1034" s="135" t="s">
        <v>1453</v>
      </c>
    </row>
    <row r="1035" ht="15.75" customHeight="1">
      <c r="A1035" s="135">
        <v>12347.0</v>
      </c>
      <c r="B1035" s="135" t="s">
        <v>1454</v>
      </c>
    </row>
    <row r="1036" ht="15.75" customHeight="1">
      <c r="A1036" s="135">
        <v>12313.0</v>
      </c>
      <c r="B1036" s="135" t="s">
        <v>1455</v>
      </c>
    </row>
    <row r="1037" ht="15.75" customHeight="1">
      <c r="A1037" s="135">
        <v>12337.0</v>
      </c>
      <c r="B1037" s="135" t="s">
        <v>1456</v>
      </c>
    </row>
    <row r="1038" ht="15.75" customHeight="1">
      <c r="A1038" s="135">
        <v>12338.0</v>
      </c>
      <c r="B1038" s="135" t="s">
        <v>1457</v>
      </c>
    </row>
    <row r="1039" ht="15.75" customHeight="1">
      <c r="A1039" s="135">
        <v>12342.0</v>
      </c>
      <c r="B1039" s="135" t="s">
        <v>1458</v>
      </c>
    </row>
    <row r="1040" ht="15.75" customHeight="1">
      <c r="A1040" s="135">
        <v>12339.0</v>
      </c>
      <c r="B1040" s="135" t="s">
        <v>1459</v>
      </c>
    </row>
    <row r="1041" ht="15.75" customHeight="1">
      <c r="A1041" s="135">
        <v>12341.0</v>
      </c>
      <c r="B1041" s="135" t="s">
        <v>1460</v>
      </c>
    </row>
    <row r="1042" ht="15.75" customHeight="1">
      <c r="A1042" s="135">
        <v>12340.0</v>
      </c>
      <c r="B1042" s="135" t="s">
        <v>1461</v>
      </c>
    </row>
    <row r="1043" ht="15.75" customHeight="1">
      <c r="A1043" s="135">
        <v>12343.0</v>
      </c>
      <c r="B1043" s="135" t="s">
        <v>1462</v>
      </c>
    </row>
    <row r="1044" ht="15.75" customHeight="1">
      <c r="A1044" s="135">
        <v>12344.0</v>
      </c>
      <c r="B1044" s="135" t="s">
        <v>1463</v>
      </c>
    </row>
    <row r="1045" ht="15.75" customHeight="1">
      <c r="A1045" s="135">
        <v>12345.0</v>
      </c>
      <c r="B1045" s="135" t="s">
        <v>1464</v>
      </c>
    </row>
    <row r="1046" ht="15.75" customHeight="1">
      <c r="A1046" s="135">
        <v>12346.0</v>
      </c>
      <c r="B1046" s="135" t="s">
        <v>1465</v>
      </c>
    </row>
    <row r="1047" ht="15.75" customHeight="1">
      <c r="A1047" s="135">
        <v>12402.0</v>
      </c>
      <c r="B1047" s="135" t="s">
        <v>1466</v>
      </c>
    </row>
    <row r="1048" ht="15.75" customHeight="1">
      <c r="A1048" s="135">
        <v>12401.0</v>
      </c>
      <c r="B1048" s="135" t="s">
        <v>1467</v>
      </c>
    </row>
    <row r="1049" ht="15.75" customHeight="1">
      <c r="A1049" s="135">
        <v>12403.0</v>
      </c>
      <c r="B1049" s="135" t="s">
        <v>1468</v>
      </c>
    </row>
    <row r="1050" ht="15.75" customHeight="1">
      <c r="A1050" s="135">
        <v>12404.0</v>
      </c>
      <c r="B1050" s="135" t="s">
        <v>1469</v>
      </c>
    </row>
    <row r="1051" ht="15.75" customHeight="1">
      <c r="A1051" s="135">
        <v>12405.0</v>
      </c>
      <c r="B1051" s="135" t="s">
        <v>1470</v>
      </c>
    </row>
    <row r="1052" ht="15.75" customHeight="1">
      <c r="A1052" s="135">
        <v>12400.0</v>
      </c>
      <c r="B1052" s="135" t="s">
        <v>1471</v>
      </c>
    </row>
    <row r="1053" ht="15.75" customHeight="1">
      <c r="A1053" s="135">
        <v>12406.0</v>
      </c>
      <c r="B1053" s="135" t="s">
        <v>1472</v>
      </c>
    </row>
    <row r="1054" ht="15.75" customHeight="1">
      <c r="A1054" s="135">
        <v>12407.0</v>
      </c>
      <c r="B1054" s="135" t="s">
        <v>1473</v>
      </c>
    </row>
    <row r="1055" ht="15.75" customHeight="1">
      <c r="A1055" s="135">
        <v>12250.0</v>
      </c>
      <c r="B1055" s="135" t="s">
        <v>1474</v>
      </c>
    </row>
    <row r="1056" ht="15.75" customHeight="1">
      <c r="A1056" s="135">
        <v>12287.0</v>
      </c>
      <c r="B1056" s="135" t="s">
        <v>1475</v>
      </c>
    </row>
    <row r="1057" ht="15.75" customHeight="1">
      <c r="A1057" s="135">
        <v>12357.0</v>
      </c>
      <c r="B1057" s="135" t="s">
        <v>1476</v>
      </c>
    </row>
    <row r="1058" ht="15.75" customHeight="1">
      <c r="A1058" s="135">
        <v>12424.0</v>
      </c>
      <c r="B1058" s="135" t="s">
        <v>1477</v>
      </c>
    </row>
    <row r="1059" ht="15.75" customHeight="1">
      <c r="A1059" s="135">
        <v>12272.0</v>
      </c>
      <c r="B1059" s="135" t="s">
        <v>1478</v>
      </c>
    </row>
    <row r="1060" ht="15.75" customHeight="1">
      <c r="A1060" s="135">
        <v>12421.0</v>
      </c>
      <c r="B1060" s="135" t="s">
        <v>1479</v>
      </c>
    </row>
    <row r="1061" ht="15.75" customHeight="1">
      <c r="A1061" s="135">
        <v>12417.0</v>
      </c>
      <c r="B1061" s="135" t="s">
        <v>1480</v>
      </c>
    </row>
    <row r="1062" ht="15.75" customHeight="1">
      <c r="A1062" s="135">
        <v>12251.0</v>
      </c>
      <c r="B1062" s="135" t="s">
        <v>1481</v>
      </c>
    </row>
    <row r="1063" ht="15.75" customHeight="1">
      <c r="A1063" s="135">
        <v>12415.0</v>
      </c>
      <c r="B1063" s="135" t="s">
        <v>1482</v>
      </c>
    </row>
    <row r="1064" ht="15.75" customHeight="1">
      <c r="A1064" s="135">
        <v>12414.0</v>
      </c>
      <c r="B1064" s="135" t="s">
        <v>1483</v>
      </c>
    </row>
    <row r="1065" ht="15.75" customHeight="1">
      <c r="A1065" s="135">
        <v>12440.0</v>
      </c>
      <c r="B1065" s="135" t="s">
        <v>1484</v>
      </c>
    </row>
    <row r="1066" ht="15.75" customHeight="1">
      <c r="A1066" s="135">
        <v>12441.0</v>
      </c>
      <c r="B1066" s="135" t="s">
        <v>1485</v>
      </c>
    </row>
    <row r="1067" ht="15.75" customHeight="1">
      <c r="A1067" s="135">
        <v>12442.0</v>
      </c>
      <c r="B1067" s="135" t="s">
        <v>1486</v>
      </c>
    </row>
    <row r="1068" ht="15.75" customHeight="1">
      <c r="A1068" s="135">
        <v>12252.0</v>
      </c>
      <c r="B1068" s="135" t="s">
        <v>1487</v>
      </c>
    </row>
    <row r="1069" ht="15.75" customHeight="1">
      <c r="A1069" s="135">
        <v>12253.0</v>
      </c>
      <c r="B1069" s="135" t="s">
        <v>1488</v>
      </c>
    </row>
    <row r="1070" ht="15.75" customHeight="1">
      <c r="A1070" s="135">
        <v>12289.0</v>
      </c>
      <c r="B1070" s="135" t="s">
        <v>1489</v>
      </c>
    </row>
    <row r="1071" ht="15.75" customHeight="1">
      <c r="A1071" s="135">
        <v>12439.0</v>
      </c>
      <c r="B1071" s="135" t="s">
        <v>1490</v>
      </c>
    </row>
    <row r="1072" ht="15.75" customHeight="1">
      <c r="A1072" s="135">
        <v>12254.0</v>
      </c>
      <c r="B1072" s="135" t="s">
        <v>1491</v>
      </c>
    </row>
    <row r="1073" ht="15.75" customHeight="1">
      <c r="A1073" s="135">
        <v>12255.0</v>
      </c>
      <c r="B1073" s="135" t="s">
        <v>1492</v>
      </c>
    </row>
    <row r="1074" ht="15.75" customHeight="1">
      <c r="A1074" s="135">
        <v>12256.0</v>
      </c>
      <c r="B1074" s="135" t="s">
        <v>1493</v>
      </c>
    </row>
    <row r="1075" ht="15.75" customHeight="1">
      <c r="A1075" s="135">
        <v>12257.0</v>
      </c>
      <c r="B1075" s="135" t="s">
        <v>1494</v>
      </c>
    </row>
    <row r="1076" ht="15.75" customHeight="1">
      <c r="A1076" s="135">
        <v>12438.0</v>
      </c>
      <c r="B1076" s="135" t="s">
        <v>1495</v>
      </c>
    </row>
    <row r="1077" ht="15.75" customHeight="1">
      <c r="A1077" s="135">
        <v>12416.0</v>
      </c>
      <c r="B1077" s="135" t="s">
        <v>1496</v>
      </c>
    </row>
    <row r="1078" ht="15.75" customHeight="1">
      <c r="A1078" s="135">
        <v>12296.0</v>
      </c>
      <c r="B1078" s="135" t="s">
        <v>1497</v>
      </c>
    </row>
    <row r="1079" ht="15.75" customHeight="1">
      <c r="A1079" s="135">
        <v>12294.0</v>
      </c>
      <c r="B1079" s="135" t="s">
        <v>1498</v>
      </c>
    </row>
    <row r="1080" ht="15.75" customHeight="1">
      <c r="A1080" s="135">
        <v>12290.0</v>
      </c>
      <c r="B1080" s="135" t="s">
        <v>1499</v>
      </c>
    </row>
    <row r="1081" ht="15.75" customHeight="1">
      <c r="A1081" s="135">
        <v>12295.0</v>
      </c>
      <c r="B1081" s="135" t="s">
        <v>1500</v>
      </c>
    </row>
    <row r="1082" ht="15.75" customHeight="1">
      <c r="A1082" s="135">
        <v>12356.0</v>
      </c>
      <c r="B1082" s="135" t="s">
        <v>1501</v>
      </c>
    </row>
    <row r="1083" ht="15.75" customHeight="1">
      <c r="A1083" s="135">
        <v>12355.0</v>
      </c>
      <c r="B1083" s="135" t="s">
        <v>1502</v>
      </c>
    </row>
    <row r="1084" ht="15.75" customHeight="1">
      <c r="A1084" s="135">
        <v>12300.0</v>
      </c>
      <c r="B1084" s="135" t="s">
        <v>1503</v>
      </c>
    </row>
    <row r="1085" ht="15.75" customHeight="1">
      <c r="A1085" s="135">
        <v>12258.0</v>
      </c>
      <c r="B1085" s="135" t="s">
        <v>1504</v>
      </c>
    </row>
    <row r="1086" ht="15.75" customHeight="1">
      <c r="A1086" s="135">
        <v>12301.0</v>
      </c>
      <c r="B1086" s="135" t="s">
        <v>1505</v>
      </c>
    </row>
    <row r="1087" ht="15.75" customHeight="1">
      <c r="A1087" s="135">
        <v>12291.0</v>
      </c>
      <c r="B1087" s="135" t="s">
        <v>1506</v>
      </c>
    </row>
    <row r="1088" ht="15.75" customHeight="1">
      <c r="A1088" s="135">
        <v>12292.0</v>
      </c>
      <c r="B1088" s="135" t="s">
        <v>1507</v>
      </c>
    </row>
    <row r="1089" ht="15.75" customHeight="1">
      <c r="A1089" s="135">
        <v>12293.0</v>
      </c>
      <c r="B1089" s="135" t="s">
        <v>1508</v>
      </c>
    </row>
    <row r="1090" ht="15.75" customHeight="1">
      <c r="A1090" s="135">
        <v>12418.0</v>
      </c>
      <c r="B1090" s="135" t="s">
        <v>1509</v>
      </c>
    </row>
    <row r="1091" ht="15.75" customHeight="1">
      <c r="A1091" s="135">
        <v>12349.0</v>
      </c>
      <c r="B1091" s="135" t="s">
        <v>1510</v>
      </c>
    </row>
    <row r="1092" ht="15.75" customHeight="1">
      <c r="A1092" s="135">
        <v>12447.0</v>
      </c>
      <c r="B1092" s="135" t="s">
        <v>1511</v>
      </c>
    </row>
    <row r="1093" ht="15.75" customHeight="1">
      <c r="A1093" s="135">
        <v>12446.0</v>
      </c>
      <c r="B1093" s="135" t="s">
        <v>1512</v>
      </c>
    </row>
    <row r="1094" ht="15.75" customHeight="1">
      <c r="A1094" s="135">
        <v>12259.0</v>
      </c>
      <c r="B1094" s="135" t="s">
        <v>1513</v>
      </c>
    </row>
    <row r="1095" ht="15.75" customHeight="1">
      <c r="A1095" s="135">
        <v>12260.0</v>
      </c>
      <c r="B1095" s="135" t="s">
        <v>1514</v>
      </c>
    </row>
    <row r="1096" ht="15.75" customHeight="1">
      <c r="A1096" s="135">
        <v>12422.0</v>
      </c>
      <c r="B1096" s="135" t="s">
        <v>1515</v>
      </c>
    </row>
    <row r="1097" ht="15.75" customHeight="1">
      <c r="A1097" s="135">
        <v>12262.0</v>
      </c>
      <c r="B1097" s="135" t="s">
        <v>1516</v>
      </c>
    </row>
    <row r="1098" ht="15.75" customHeight="1">
      <c r="A1098" s="135">
        <v>12263.0</v>
      </c>
      <c r="B1098" s="135" t="s">
        <v>1517</v>
      </c>
    </row>
    <row r="1099" ht="15.75" customHeight="1">
      <c r="A1099" s="135">
        <v>12264.0</v>
      </c>
      <c r="B1099" s="135" t="s">
        <v>1518</v>
      </c>
    </row>
    <row r="1100" ht="15.75" customHeight="1">
      <c r="A1100" s="135">
        <v>12261.0</v>
      </c>
      <c r="B1100" s="135" t="s">
        <v>1519</v>
      </c>
    </row>
    <row r="1101" ht="15.75" customHeight="1">
      <c r="A1101" s="135">
        <v>12265.0</v>
      </c>
      <c r="B1101" s="135" t="s">
        <v>1520</v>
      </c>
    </row>
    <row r="1102" ht="15.75" customHeight="1">
      <c r="A1102" s="135">
        <v>12434.0</v>
      </c>
      <c r="B1102" s="135" t="s">
        <v>1521</v>
      </c>
    </row>
    <row r="1103" ht="15.75" customHeight="1">
      <c r="A1103" s="135">
        <v>12266.0</v>
      </c>
      <c r="B1103" s="135" t="s">
        <v>1522</v>
      </c>
    </row>
    <row r="1104" ht="15.75" customHeight="1">
      <c r="A1104" s="135">
        <v>12413.0</v>
      </c>
      <c r="B1104" s="135" t="s">
        <v>1523</v>
      </c>
    </row>
    <row r="1105" ht="15.75" customHeight="1">
      <c r="A1105" s="135">
        <v>12267.0</v>
      </c>
      <c r="B1105" s="135" t="s">
        <v>1524</v>
      </c>
    </row>
    <row r="1106" ht="15.75" customHeight="1">
      <c r="A1106" s="135">
        <v>12427.0</v>
      </c>
      <c r="B1106" s="135" t="s">
        <v>1525</v>
      </c>
    </row>
    <row r="1107" ht="15.75" customHeight="1">
      <c r="A1107" s="135">
        <v>12268.0</v>
      </c>
      <c r="B1107" s="135" t="s">
        <v>1526</v>
      </c>
    </row>
    <row r="1108" ht="15.75" customHeight="1">
      <c r="A1108" s="135">
        <v>12269.0</v>
      </c>
      <c r="B1108" s="135" t="s">
        <v>1527</v>
      </c>
    </row>
    <row r="1109" ht="15.75" customHeight="1">
      <c r="A1109" s="135">
        <v>12302.0</v>
      </c>
      <c r="B1109" s="135" t="s">
        <v>1528</v>
      </c>
    </row>
    <row r="1110" ht="15.75" customHeight="1">
      <c r="A1110" s="135">
        <v>12270.0</v>
      </c>
      <c r="B1110" s="135" t="s">
        <v>1529</v>
      </c>
    </row>
    <row r="1111" ht="15.75" customHeight="1">
      <c r="A1111" s="135">
        <v>12271.0</v>
      </c>
      <c r="B1111" s="135" t="s">
        <v>1530</v>
      </c>
    </row>
    <row r="1112" ht="15.75" customHeight="1">
      <c r="A1112" s="135">
        <v>12444.0</v>
      </c>
      <c r="B1112" s="135" t="s">
        <v>1531</v>
      </c>
    </row>
    <row r="1113" ht="15.75" customHeight="1">
      <c r="A1113" s="135">
        <v>12303.0</v>
      </c>
      <c r="B1113" s="135" t="s">
        <v>1532</v>
      </c>
    </row>
    <row r="1114" ht="15.75" customHeight="1">
      <c r="A1114" s="135">
        <v>12448.0</v>
      </c>
      <c r="B1114" s="135" t="s">
        <v>1533</v>
      </c>
    </row>
    <row r="1115" ht="15.75" customHeight="1">
      <c r="A1115" s="135">
        <v>12273.0</v>
      </c>
      <c r="B1115" s="135" t="s">
        <v>1534</v>
      </c>
    </row>
    <row r="1116" ht="15.75" customHeight="1">
      <c r="A1116" s="135">
        <v>12274.0</v>
      </c>
      <c r="B1116" s="135" t="s">
        <v>1535</v>
      </c>
    </row>
    <row r="1117" ht="15.75" customHeight="1">
      <c r="A1117" s="135">
        <v>12288.0</v>
      </c>
      <c r="B1117" s="135" t="s">
        <v>1536</v>
      </c>
    </row>
    <row r="1118" ht="15.75" customHeight="1">
      <c r="A1118" s="135">
        <v>12420.0</v>
      </c>
      <c r="B1118" s="135" t="s">
        <v>1537</v>
      </c>
    </row>
    <row r="1119" ht="15.75" customHeight="1">
      <c r="A1119" s="135">
        <v>12275.0</v>
      </c>
      <c r="B1119" s="135" t="s">
        <v>1538</v>
      </c>
    </row>
    <row r="1120" ht="15.75" customHeight="1">
      <c r="A1120" s="135">
        <v>12276.0</v>
      </c>
      <c r="B1120" s="135" t="s">
        <v>1539</v>
      </c>
    </row>
    <row r="1121" ht="15.75" customHeight="1">
      <c r="A1121" s="135">
        <v>12412.0</v>
      </c>
      <c r="B1121" s="135" t="s">
        <v>1540</v>
      </c>
    </row>
    <row r="1122" ht="15.75" customHeight="1">
      <c r="A1122" s="135">
        <v>12411.0</v>
      </c>
      <c r="B1122" s="135" t="s">
        <v>1541</v>
      </c>
    </row>
    <row r="1123" ht="15.75" customHeight="1">
      <c r="A1123" s="135">
        <v>12423.0</v>
      </c>
      <c r="B1123" s="135" t="s">
        <v>1542</v>
      </c>
    </row>
    <row r="1124" ht="15.75" customHeight="1">
      <c r="A1124" s="135">
        <v>12277.0</v>
      </c>
      <c r="B1124" s="135" t="s">
        <v>1543</v>
      </c>
    </row>
    <row r="1125" ht="15.75" customHeight="1">
      <c r="A1125" s="135">
        <v>12278.0</v>
      </c>
      <c r="B1125" s="135" t="s">
        <v>1544</v>
      </c>
    </row>
    <row r="1126" ht="15.75" customHeight="1">
      <c r="A1126" s="135">
        <v>12445.0</v>
      </c>
      <c r="B1126" s="135" t="s">
        <v>1545</v>
      </c>
    </row>
    <row r="1127" ht="15.75" customHeight="1">
      <c r="A1127" s="135">
        <v>12419.0</v>
      </c>
      <c r="B1127" s="135" t="s">
        <v>1546</v>
      </c>
    </row>
    <row r="1128" ht="15.75" customHeight="1">
      <c r="A1128" s="135">
        <v>12297.0</v>
      </c>
      <c r="B1128" s="135" t="s">
        <v>1547</v>
      </c>
    </row>
    <row r="1129" ht="15.75" customHeight="1">
      <c r="A1129" s="135">
        <v>12279.0</v>
      </c>
      <c r="B1129" s="135" t="s">
        <v>1548</v>
      </c>
    </row>
    <row r="1130" ht="15.75" customHeight="1">
      <c r="A1130" s="135">
        <v>12286.0</v>
      </c>
      <c r="B1130" s="135" t="s">
        <v>1549</v>
      </c>
    </row>
    <row r="1131" ht="15.75" customHeight="1">
      <c r="A1131" s="135">
        <v>12280.0</v>
      </c>
      <c r="B1131" s="135" t="s">
        <v>1550</v>
      </c>
    </row>
    <row r="1132" ht="15.75" customHeight="1">
      <c r="A1132" s="135">
        <v>12281.0</v>
      </c>
      <c r="B1132" s="135" t="s">
        <v>1551</v>
      </c>
    </row>
    <row r="1133" ht="15.75" customHeight="1">
      <c r="A1133" s="135">
        <v>12433.0</v>
      </c>
      <c r="B1133" s="135" t="s">
        <v>1552</v>
      </c>
    </row>
    <row r="1134" ht="15.75" customHeight="1">
      <c r="A1134" s="135">
        <v>12432.0</v>
      </c>
      <c r="B1134" s="135" t="s">
        <v>1553</v>
      </c>
    </row>
    <row r="1135" ht="15.75" customHeight="1">
      <c r="A1135" s="135">
        <v>12431.0</v>
      </c>
      <c r="B1135" s="135" t="s">
        <v>1554</v>
      </c>
    </row>
    <row r="1136" ht="15.75" customHeight="1">
      <c r="A1136" s="135">
        <v>12430.0</v>
      </c>
      <c r="B1136" s="135" t="s">
        <v>1555</v>
      </c>
    </row>
    <row r="1137" ht="15.75" customHeight="1">
      <c r="A1137" s="135">
        <v>12282.0</v>
      </c>
      <c r="B1137" s="135" t="s">
        <v>1556</v>
      </c>
    </row>
    <row r="1138" ht="15.75" customHeight="1">
      <c r="A1138" s="135">
        <v>12283.0</v>
      </c>
      <c r="B1138" s="135" t="s">
        <v>1557</v>
      </c>
    </row>
    <row r="1139" ht="15.75" customHeight="1">
      <c r="A1139" s="135">
        <v>12435.0</v>
      </c>
      <c r="B1139" s="135" t="s">
        <v>1558</v>
      </c>
    </row>
    <row r="1140" ht="15.75" customHeight="1">
      <c r="A1140" s="135">
        <v>12436.0</v>
      </c>
      <c r="B1140" s="135" t="s">
        <v>1559</v>
      </c>
    </row>
    <row r="1141" ht="15.75" customHeight="1">
      <c r="A1141" s="135">
        <v>12284.0</v>
      </c>
      <c r="B1141" s="135" t="s">
        <v>1560</v>
      </c>
    </row>
    <row r="1142" ht="15.75" customHeight="1">
      <c r="A1142" s="135">
        <v>12285.0</v>
      </c>
      <c r="B1142" s="135" t="s">
        <v>1561</v>
      </c>
    </row>
    <row r="1143" ht="15.75" customHeight="1">
      <c r="A1143" s="135">
        <v>12437.0</v>
      </c>
      <c r="B1143" s="135" t="s">
        <v>1562</v>
      </c>
    </row>
    <row r="1144" ht="15.75" customHeight="1">
      <c r="A1144" s="135">
        <v>12426.0</v>
      </c>
      <c r="B1144" s="135" t="s">
        <v>1563</v>
      </c>
    </row>
    <row r="1145" ht="15.75" customHeight="1">
      <c r="A1145" s="135">
        <v>12425.0</v>
      </c>
      <c r="B1145" s="135" t="s">
        <v>1564</v>
      </c>
    </row>
    <row r="1146" ht="15.75" customHeight="1">
      <c r="A1146" s="135">
        <v>12304.0</v>
      </c>
      <c r="B1146" s="135" t="s">
        <v>1565</v>
      </c>
    </row>
    <row r="1147" ht="15.75" customHeight="1">
      <c r="A1147" s="135">
        <v>12428.0</v>
      </c>
      <c r="B1147" s="135" t="s">
        <v>1566</v>
      </c>
    </row>
    <row r="1148" ht="15.75" customHeight="1">
      <c r="A1148" s="135">
        <v>12429.0</v>
      </c>
      <c r="B1148" s="135" t="s">
        <v>1567</v>
      </c>
    </row>
    <row r="1149" ht="15.75" customHeight="1">
      <c r="A1149" s="135">
        <v>12443.0</v>
      </c>
      <c r="B1149" s="135" t="s">
        <v>1568</v>
      </c>
    </row>
    <row r="1150" ht="15.75" customHeight="1">
      <c r="A1150" s="135">
        <v>12350.0</v>
      </c>
      <c r="B1150" s="135" t="s">
        <v>1569</v>
      </c>
    </row>
    <row r="1151" ht="15.75" customHeight="1">
      <c r="A1151" s="135">
        <v>12314.0</v>
      </c>
      <c r="B1151" s="135" t="s">
        <v>1570</v>
      </c>
    </row>
    <row r="1152" ht="15.75" customHeight="1">
      <c r="A1152" s="135">
        <v>12319.0</v>
      </c>
      <c r="B1152" s="135" t="s">
        <v>1571</v>
      </c>
    </row>
    <row r="1153" ht="15.75" customHeight="1">
      <c r="A1153" s="135">
        <v>12323.0</v>
      </c>
      <c r="B1153" s="135" t="s">
        <v>1572</v>
      </c>
    </row>
    <row r="1154" ht="15.75" customHeight="1">
      <c r="A1154" s="135">
        <v>12315.0</v>
      </c>
      <c r="B1154" s="135" t="s">
        <v>1573</v>
      </c>
    </row>
    <row r="1155" ht="15.75" customHeight="1">
      <c r="A1155" s="135">
        <v>12322.0</v>
      </c>
      <c r="B1155" s="135" t="s">
        <v>1574</v>
      </c>
    </row>
    <row r="1156" ht="15.75" customHeight="1">
      <c r="A1156" s="135">
        <v>12324.0</v>
      </c>
      <c r="B1156" s="135" t="s">
        <v>1575</v>
      </c>
    </row>
    <row r="1157" ht="15.75" customHeight="1">
      <c r="A1157" s="135">
        <v>12328.0</v>
      </c>
      <c r="B1157" s="135" t="s">
        <v>1576</v>
      </c>
    </row>
    <row r="1158" ht="15.75" customHeight="1">
      <c r="A1158" s="135">
        <v>12327.0</v>
      </c>
      <c r="B1158" s="135" t="s">
        <v>1577</v>
      </c>
    </row>
    <row r="1159" ht="15.75" customHeight="1">
      <c r="A1159" s="135">
        <v>12316.0</v>
      </c>
      <c r="B1159" s="135" t="s">
        <v>1578</v>
      </c>
    </row>
    <row r="1160" ht="15.75" customHeight="1">
      <c r="A1160" s="135">
        <v>12318.0</v>
      </c>
      <c r="B1160" s="135" t="s">
        <v>1579</v>
      </c>
    </row>
    <row r="1161" ht="15.75" customHeight="1">
      <c r="A1161" s="135">
        <v>12351.0</v>
      </c>
      <c r="B1161" s="135" t="s">
        <v>1580</v>
      </c>
    </row>
    <row r="1162" ht="15.75" customHeight="1">
      <c r="A1162" s="135">
        <v>12317.0</v>
      </c>
      <c r="B1162" s="135" t="s">
        <v>1581</v>
      </c>
    </row>
    <row r="1163" ht="15.75" customHeight="1">
      <c r="A1163" s="135">
        <v>12354.0</v>
      </c>
      <c r="B1163" s="135" t="s">
        <v>1582</v>
      </c>
    </row>
    <row r="1164" ht="15.75" customHeight="1">
      <c r="A1164" s="135">
        <v>12352.0</v>
      </c>
      <c r="B1164" s="135" t="s">
        <v>1583</v>
      </c>
    </row>
    <row r="1165" ht="15.75" customHeight="1">
      <c r="A1165" s="135">
        <v>12353.0</v>
      </c>
      <c r="B1165" s="135" t="s">
        <v>1584</v>
      </c>
    </row>
    <row r="1166" ht="15.75" customHeight="1">
      <c r="A1166" s="135">
        <v>12320.0</v>
      </c>
      <c r="B1166" s="135" t="s">
        <v>1585</v>
      </c>
    </row>
    <row r="1167" ht="15.75" customHeight="1">
      <c r="A1167" s="135">
        <v>12321.0</v>
      </c>
      <c r="B1167" s="135" t="s">
        <v>1586</v>
      </c>
    </row>
    <row r="1168" ht="15.75" customHeight="1">
      <c r="A1168" s="135">
        <v>12326.0</v>
      </c>
      <c r="B1168" s="135" t="s">
        <v>1587</v>
      </c>
    </row>
    <row r="1169" ht="15.75" customHeight="1">
      <c r="A1169" s="135">
        <v>12325.0</v>
      </c>
      <c r="B1169" s="135" t="s">
        <v>1588</v>
      </c>
    </row>
    <row r="1170" ht="15.75" customHeight="1">
      <c r="A1170" s="135">
        <v>12208.0</v>
      </c>
      <c r="B1170" s="135" t="s">
        <v>1589</v>
      </c>
    </row>
    <row r="1171" ht="15.75" customHeight="1">
      <c r="A1171" s="135">
        <v>12209.0</v>
      </c>
      <c r="B1171" s="135" t="s">
        <v>1590</v>
      </c>
    </row>
    <row r="1172" ht="15.75" customHeight="1">
      <c r="A1172" s="135">
        <v>12210.0</v>
      </c>
      <c r="B1172" s="135" t="s">
        <v>1591</v>
      </c>
    </row>
    <row r="1173" ht="15.75" customHeight="1">
      <c r="A1173" s="135">
        <v>12211.0</v>
      </c>
      <c r="B1173" s="135" t="s">
        <v>1592</v>
      </c>
    </row>
    <row r="1174" ht="15.75" customHeight="1">
      <c r="A1174" s="135">
        <v>12212.0</v>
      </c>
      <c r="B1174" s="135" t="s">
        <v>1593</v>
      </c>
    </row>
    <row r="1175" ht="15.75" customHeight="1">
      <c r="A1175" s="135">
        <v>12213.0</v>
      </c>
      <c r="B1175" s="135" t="s">
        <v>1594</v>
      </c>
    </row>
    <row r="1176" ht="15.75" customHeight="1">
      <c r="A1176" s="135">
        <v>12214.0</v>
      </c>
      <c r="B1176" s="135" t="s">
        <v>1595</v>
      </c>
    </row>
    <row r="1177" ht="15.75" customHeight="1">
      <c r="A1177" s="135">
        <v>12215.0</v>
      </c>
      <c r="B1177" s="135" t="s">
        <v>1596</v>
      </c>
    </row>
    <row r="1178" ht="15.75" customHeight="1">
      <c r="A1178" s="135">
        <v>12216.0</v>
      </c>
      <c r="B1178" s="135" t="s">
        <v>1597</v>
      </c>
    </row>
    <row r="1179" ht="15.75" customHeight="1">
      <c r="A1179" s="135">
        <v>12205.0</v>
      </c>
      <c r="B1179" s="135" t="s">
        <v>1598</v>
      </c>
    </row>
    <row r="1180" ht="15.75" customHeight="1">
      <c r="A1180" s="135">
        <v>12206.0</v>
      </c>
      <c r="B1180" s="135" t="s">
        <v>1599</v>
      </c>
    </row>
    <row r="1181" ht="15.75" customHeight="1">
      <c r="A1181" s="135">
        <v>12207.0</v>
      </c>
      <c r="B1181" s="135" t="s">
        <v>1600</v>
      </c>
    </row>
    <row r="1182" ht="15.75" customHeight="1">
      <c r="A1182" s="135">
        <v>12203.0</v>
      </c>
      <c r="B1182" s="135" t="s">
        <v>1601</v>
      </c>
    </row>
    <row r="1183" ht="15.75" customHeight="1">
      <c r="A1183" s="135">
        <v>12204.0</v>
      </c>
      <c r="B1183" s="135" t="s">
        <v>1602</v>
      </c>
    </row>
    <row r="1184" ht="15.75" customHeight="1">
      <c r="A1184" s="135">
        <v>12217.0</v>
      </c>
      <c r="B1184" s="135" t="s">
        <v>1603</v>
      </c>
    </row>
    <row r="1185" ht="15.75" customHeight="1">
      <c r="A1185" s="135">
        <v>12218.0</v>
      </c>
      <c r="B1185" s="135" t="s">
        <v>1604</v>
      </c>
    </row>
    <row r="1186" ht="15.75" customHeight="1">
      <c r="A1186" s="135">
        <v>12228.0</v>
      </c>
      <c r="B1186" s="135" t="s">
        <v>1605</v>
      </c>
    </row>
    <row r="1187" ht="15.75" customHeight="1">
      <c r="A1187" s="135">
        <v>12219.0</v>
      </c>
      <c r="B1187" s="135" t="s">
        <v>1606</v>
      </c>
    </row>
    <row r="1188" ht="15.75" customHeight="1">
      <c r="A1188" s="135">
        <v>12220.0</v>
      </c>
      <c r="B1188" s="135" t="s">
        <v>1607</v>
      </c>
    </row>
    <row r="1189" ht="15.75" customHeight="1">
      <c r="A1189" s="135">
        <v>12221.0</v>
      </c>
      <c r="B1189" s="135" t="s">
        <v>1608</v>
      </c>
    </row>
    <row r="1190" ht="15.75" customHeight="1">
      <c r="A1190" s="135">
        <v>12222.0</v>
      </c>
      <c r="B1190" s="135" t="s">
        <v>1609</v>
      </c>
    </row>
    <row r="1191" ht="15.75" customHeight="1">
      <c r="A1191" s="135">
        <v>12224.0</v>
      </c>
      <c r="B1191" s="135" t="s">
        <v>1610</v>
      </c>
    </row>
    <row r="1192" ht="15.75" customHeight="1">
      <c r="A1192" s="135">
        <v>12223.0</v>
      </c>
      <c r="B1192" s="135" t="s">
        <v>1611</v>
      </c>
    </row>
    <row r="1193" ht="15.75" customHeight="1">
      <c r="A1193" s="135">
        <v>12225.0</v>
      </c>
      <c r="B1193" s="135" t="s">
        <v>1612</v>
      </c>
    </row>
    <row r="1194" ht="15.75" customHeight="1">
      <c r="A1194" s="135">
        <v>12226.0</v>
      </c>
      <c r="B1194" s="135" t="s">
        <v>1613</v>
      </c>
    </row>
    <row r="1195" ht="15.75" customHeight="1">
      <c r="A1195" s="135">
        <v>12227.0</v>
      </c>
      <c r="B1195" s="135" t="s">
        <v>1614</v>
      </c>
    </row>
    <row r="1196" ht="15.75" customHeight="1">
      <c r="A1196" s="135">
        <v>12409.0</v>
      </c>
      <c r="B1196" s="135" t="s">
        <v>1615</v>
      </c>
    </row>
    <row r="1197" ht="15.75" customHeight="1">
      <c r="A1197" s="135">
        <v>12410.0</v>
      </c>
      <c r="B1197" s="135" t="s">
        <v>1616</v>
      </c>
    </row>
    <row r="1198" ht="15.75" customHeight="1">
      <c r="A1198" s="135">
        <v>12408.0</v>
      </c>
      <c r="B1198" s="135" t="s">
        <v>1617</v>
      </c>
    </row>
    <row r="1199" ht="15.75" customHeight="1">
      <c r="A1199" s="135">
        <v>451.0</v>
      </c>
      <c r="B1199" s="135" t="s">
        <v>1618</v>
      </c>
    </row>
    <row r="1200" ht="15.75" customHeight="1">
      <c r="A1200" s="135">
        <v>483.0</v>
      </c>
      <c r="B1200" s="135" t="s">
        <v>365</v>
      </c>
    </row>
    <row r="1201" ht="15.75" customHeight="1">
      <c r="A1201" s="135">
        <v>10457.0</v>
      </c>
      <c r="B1201" s="135" t="s">
        <v>1619</v>
      </c>
    </row>
    <row r="1202" ht="15.75" customHeight="1">
      <c r="A1202" s="135">
        <v>486.0</v>
      </c>
      <c r="B1202" s="135" t="s">
        <v>1620</v>
      </c>
    </row>
    <row r="1203" ht="15.75" customHeight="1">
      <c r="A1203" s="135">
        <v>462.0</v>
      </c>
      <c r="B1203" s="135" t="s">
        <v>1621</v>
      </c>
    </row>
    <row r="1204" ht="15.75" customHeight="1">
      <c r="A1204" s="135">
        <v>463.0</v>
      </c>
      <c r="B1204" s="135" t="s">
        <v>1622</v>
      </c>
    </row>
    <row r="1205" ht="15.75" customHeight="1">
      <c r="A1205" s="135">
        <v>476.0</v>
      </c>
      <c r="B1205" s="135" t="s">
        <v>387</v>
      </c>
    </row>
    <row r="1206" ht="15.75" customHeight="1">
      <c r="A1206" s="135">
        <v>478.0</v>
      </c>
      <c r="B1206" s="135" t="s">
        <v>1623</v>
      </c>
    </row>
    <row r="1207" ht="15.75" customHeight="1">
      <c r="A1207" s="135">
        <v>477.0</v>
      </c>
      <c r="B1207" s="135" t="s">
        <v>390</v>
      </c>
    </row>
    <row r="1208" ht="15.75" customHeight="1">
      <c r="A1208" s="135">
        <v>10458.0</v>
      </c>
      <c r="B1208" s="135" t="s">
        <v>1624</v>
      </c>
    </row>
    <row r="1209" ht="15.75" customHeight="1">
      <c r="A1209" s="135">
        <v>490.0</v>
      </c>
      <c r="B1209" s="135" t="s">
        <v>1625</v>
      </c>
    </row>
    <row r="1210" ht="15.75" customHeight="1">
      <c r="A1210" s="135">
        <v>487.0</v>
      </c>
      <c r="B1210" s="135" t="s">
        <v>1626</v>
      </c>
    </row>
    <row r="1211" ht="15.75" customHeight="1">
      <c r="A1211" s="135">
        <v>488.0</v>
      </c>
      <c r="B1211" s="135" t="s">
        <v>1627</v>
      </c>
    </row>
    <row r="1212" ht="15.75" customHeight="1">
      <c r="A1212" s="135">
        <v>489.0</v>
      </c>
      <c r="B1212" s="135" t="s">
        <v>1628</v>
      </c>
    </row>
    <row r="1213" ht="15.75" customHeight="1">
      <c r="A1213" s="135">
        <v>471.0</v>
      </c>
      <c r="B1213" s="135" t="s">
        <v>1629</v>
      </c>
    </row>
    <row r="1214" ht="15.75" customHeight="1">
      <c r="A1214" s="135">
        <v>485.0</v>
      </c>
      <c r="B1214" s="135" t="s">
        <v>1630</v>
      </c>
    </row>
    <row r="1215" ht="15.75" customHeight="1">
      <c r="A1215" s="135">
        <v>472.0</v>
      </c>
      <c r="B1215" s="135" t="s">
        <v>1631</v>
      </c>
    </row>
    <row r="1216" ht="15.75" customHeight="1">
      <c r="A1216" s="135">
        <v>473.0</v>
      </c>
      <c r="B1216" s="135" t="s">
        <v>1632</v>
      </c>
    </row>
    <row r="1217" ht="15.75" customHeight="1">
      <c r="A1217" s="135">
        <v>450.0</v>
      </c>
      <c r="B1217" s="135" t="s">
        <v>1633</v>
      </c>
    </row>
    <row r="1218" ht="15.75" customHeight="1">
      <c r="A1218" s="135">
        <v>452.0</v>
      </c>
      <c r="B1218" s="135" t="s">
        <v>1634</v>
      </c>
    </row>
    <row r="1219" ht="15.75" customHeight="1">
      <c r="A1219" s="135">
        <v>453.0</v>
      </c>
      <c r="B1219" s="135" t="s">
        <v>440</v>
      </c>
    </row>
    <row r="1220" ht="15.75" customHeight="1">
      <c r="A1220" s="135">
        <v>454.0</v>
      </c>
      <c r="B1220" s="135" t="s">
        <v>1635</v>
      </c>
    </row>
    <row r="1221" ht="15.75" customHeight="1">
      <c r="A1221" s="135">
        <v>10455.0</v>
      </c>
      <c r="B1221" s="135" t="s">
        <v>1636</v>
      </c>
    </row>
    <row r="1222" ht="15.75" customHeight="1">
      <c r="A1222" s="135">
        <v>455.0</v>
      </c>
      <c r="B1222" s="135" t="s">
        <v>1637</v>
      </c>
    </row>
    <row r="1223" ht="15.75" customHeight="1">
      <c r="A1223" s="135">
        <v>456.0</v>
      </c>
      <c r="B1223" s="135" t="s">
        <v>1638</v>
      </c>
    </row>
    <row r="1224" ht="15.75" customHeight="1">
      <c r="A1224" s="135">
        <v>457.0</v>
      </c>
      <c r="B1224" s="135" t="s">
        <v>1639</v>
      </c>
    </row>
    <row r="1225" ht="15.75" customHeight="1">
      <c r="A1225" s="135">
        <v>458.0</v>
      </c>
      <c r="B1225" s="135" t="s">
        <v>377</v>
      </c>
    </row>
    <row r="1226" ht="15.75" customHeight="1">
      <c r="A1226" s="135">
        <v>459.0</v>
      </c>
      <c r="B1226" s="135" t="s">
        <v>1640</v>
      </c>
    </row>
    <row r="1227" ht="15.75" customHeight="1">
      <c r="A1227" s="135">
        <v>460.0</v>
      </c>
      <c r="B1227" s="135" t="s">
        <v>1641</v>
      </c>
    </row>
    <row r="1228" ht="15.75" customHeight="1">
      <c r="A1228" s="135">
        <v>10465.0</v>
      </c>
      <c r="B1228" s="135" t="s">
        <v>1642</v>
      </c>
    </row>
    <row r="1229" ht="15.75" customHeight="1">
      <c r="A1229" s="135">
        <v>461.0</v>
      </c>
      <c r="B1229" s="135" t="s">
        <v>1643</v>
      </c>
    </row>
    <row r="1230" ht="15.75" customHeight="1">
      <c r="A1230" s="135">
        <v>10450.0</v>
      </c>
      <c r="B1230" s="135" t="s">
        <v>1644</v>
      </c>
    </row>
    <row r="1231" ht="15.75" customHeight="1">
      <c r="A1231" s="135">
        <v>10451.0</v>
      </c>
      <c r="B1231" s="135" t="s">
        <v>1645</v>
      </c>
    </row>
    <row r="1232" ht="15.75" customHeight="1">
      <c r="A1232" s="135">
        <v>10454.0</v>
      </c>
      <c r="B1232" s="135" t="s">
        <v>1646</v>
      </c>
    </row>
    <row r="1233" ht="15.75" customHeight="1">
      <c r="A1233" s="135">
        <v>465.0</v>
      </c>
      <c r="B1233" s="135" t="s">
        <v>1647</v>
      </c>
    </row>
    <row r="1234" ht="15.75" customHeight="1">
      <c r="A1234" s="135">
        <v>481.0</v>
      </c>
      <c r="B1234" s="135" t="s">
        <v>1648</v>
      </c>
    </row>
    <row r="1235" ht="15.75" customHeight="1">
      <c r="A1235" s="135">
        <v>10459.0</v>
      </c>
      <c r="B1235" s="135" t="s">
        <v>1649</v>
      </c>
    </row>
    <row r="1236" ht="15.75" customHeight="1">
      <c r="A1236" s="135">
        <v>479.0</v>
      </c>
      <c r="B1236" s="135" t="s">
        <v>1650</v>
      </c>
    </row>
    <row r="1237" ht="15.75" customHeight="1">
      <c r="A1237" s="135">
        <v>466.0</v>
      </c>
      <c r="B1237" s="135" t="s">
        <v>1651</v>
      </c>
    </row>
    <row r="1238" ht="15.75" customHeight="1">
      <c r="A1238" s="135">
        <v>467.0</v>
      </c>
      <c r="B1238" s="135" t="s">
        <v>1652</v>
      </c>
    </row>
    <row r="1239" ht="15.75" customHeight="1">
      <c r="A1239" s="135">
        <v>482.0</v>
      </c>
      <c r="B1239" s="135" t="s">
        <v>395</v>
      </c>
    </row>
    <row r="1240" ht="15.75" customHeight="1">
      <c r="A1240" s="135">
        <v>464.0</v>
      </c>
      <c r="B1240" s="135" t="s">
        <v>1653</v>
      </c>
    </row>
    <row r="1241" ht="15.75" customHeight="1">
      <c r="A1241" s="135">
        <v>10462.0</v>
      </c>
      <c r="B1241" s="135" t="s">
        <v>1654</v>
      </c>
    </row>
    <row r="1242" ht="15.75" customHeight="1">
      <c r="A1242" s="135">
        <v>491.0</v>
      </c>
      <c r="B1242" s="135" t="s">
        <v>408</v>
      </c>
    </row>
    <row r="1243" ht="15.75" customHeight="1">
      <c r="A1243" s="135">
        <v>10461.0</v>
      </c>
      <c r="B1243" s="135" t="s">
        <v>1655</v>
      </c>
    </row>
    <row r="1244" ht="15.75" customHeight="1">
      <c r="A1244" s="135">
        <v>468.0</v>
      </c>
      <c r="B1244" s="135" t="s">
        <v>1656</v>
      </c>
    </row>
    <row r="1245" ht="15.75" customHeight="1">
      <c r="A1245" s="135">
        <v>469.0</v>
      </c>
      <c r="B1245" s="135" t="s">
        <v>1657</v>
      </c>
    </row>
    <row r="1246" ht="15.75" customHeight="1">
      <c r="A1246" s="135">
        <v>480.0</v>
      </c>
      <c r="B1246" s="135" t="s">
        <v>1658</v>
      </c>
    </row>
    <row r="1247" ht="15.75" customHeight="1">
      <c r="A1247" s="135">
        <v>470.0</v>
      </c>
      <c r="B1247" s="135" t="s">
        <v>429</v>
      </c>
    </row>
    <row r="1248" ht="15.75" customHeight="1">
      <c r="A1248" s="135">
        <v>10456.0</v>
      </c>
      <c r="B1248" s="135" t="s">
        <v>1659</v>
      </c>
    </row>
    <row r="1249" ht="15.75" customHeight="1">
      <c r="A1249" s="135">
        <v>10452.0</v>
      </c>
      <c r="B1249" s="135" t="s">
        <v>1660</v>
      </c>
    </row>
    <row r="1250" ht="15.75" customHeight="1">
      <c r="A1250" s="135">
        <v>10453.0</v>
      </c>
      <c r="B1250" s="135" t="s">
        <v>1661</v>
      </c>
    </row>
    <row r="1251" ht="15.75" customHeight="1">
      <c r="A1251" s="135">
        <v>10380.0</v>
      </c>
      <c r="B1251" s="135" t="s">
        <v>1662</v>
      </c>
    </row>
    <row r="1252" ht="15.75" customHeight="1">
      <c r="A1252" s="135">
        <v>484.0</v>
      </c>
      <c r="B1252" s="135" t="s">
        <v>1663</v>
      </c>
    </row>
    <row r="1253" ht="15.75" customHeight="1">
      <c r="A1253" s="135">
        <v>403.0</v>
      </c>
      <c r="B1253" s="135" t="s">
        <v>1664</v>
      </c>
    </row>
    <row r="1254" ht="15.75" customHeight="1">
      <c r="A1254" s="135">
        <v>474.0</v>
      </c>
      <c r="B1254" s="135" t="s">
        <v>1665</v>
      </c>
    </row>
    <row r="1255" ht="15.75" customHeight="1">
      <c r="A1255" s="135">
        <v>475.0</v>
      </c>
      <c r="B1255" s="135" t="s">
        <v>1666</v>
      </c>
    </row>
    <row r="1256" ht="15.75" customHeight="1">
      <c r="A1256" s="135">
        <v>601.0</v>
      </c>
      <c r="B1256" s="135" t="s">
        <v>1667</v>
      </c>
    </row>
    <row r="1257" ht="15.75" customHeight="1">
      <c r="A1257" s="135">
        <v>602.0</v>
      </c>
      <c r="B1257" s="135" t="s">
        <v>1668</v>
      </c>
    </row>
    <row r="1258" ht="15.75" customHeight="1">
      <c r="A1258" s="135">
        <v>603.0</v>
      </c>
      <c r="B1258" s="135" t="s">
        <v>1669</v>
      </c>
    </row>
    <row r="1259" ht="15.75" customHeight="1">
      <c r="A1259" s="135">
        <v>604.0</v>
      </c>
      <c r="B1259" s="135" t="s">
        <v>1670</v>
      </c>
    </row>
    <row r="1260" ht="15.75" customHeight="1">
      <c r="A1260" s="135">
        <v>605.0</v>
      </c>
      <c r="B1260" s="135" t="s">
        <v>1671</v>
      </c>
    </row>
    <row r="1261" ht="15.75" customHeight="1">
      <c r="A1261" s="135">
        <v>606.0</v>
      </c>
      <c r="B1261" s="135" t="s">
        <v>1672</v>
      </c>
    </row>
    <row r="1262" ht="15.75" customHeight="1">
      <c r="A1262" s="135">
        <v>607.0</v>
      </c>
      <c r="B1262" s="135" t="s">
        <v>1673</v>
      </c>
    </row>
    <row r="1263" ht="15.75" customHeight="1">
      <c r="A1263" s="135">
        <v>608.0</v>
      </c>
      <c r="B1263" s="135" t="s">
        <v>1674</v>
      </c>
    </row>
    <row r="1264" ht="15.75" customHeight="1">
      <c r="A1264" s="135">
        <v>609.0</v>
      </c>
      <c r="B1264" s="135" t="s">
        <v>1675</v>
      </c>
    </row>
    <row r="1265" ht="15.75" customHeight="1">
      <c r="A1265" s="135">
        <v>610.0</v>
      </c>
      <c r="B1265" s="135" t="s">
        <v>1676</v>
      </c>
    </row>
    <row r="1266" ht="15.75" customHeight="1">
      <c r="A1266" s="135">
        <v>10666.0</v>
      </c>
      <c r="B1266" s="135" t="s">
        <v>1677</v>
      </c>
    </row>
    <row r="1267" ht="15.75" customHeight="1">
      <c r="A1267" s="135">
        <v>10667.0</v>
      </c>
      <c r="B1267" s="135" t="s">
        <v>1678</v>
      </c>
    </row>
    <row r="1268" ht="15.75" customHeight="1">
      <c r="A1268" s="135">
        <v>611.0</v>
      </c>
      <c r="B1268" s="135" t="s">
        <v>1679</v>
      </c>
    </row>
    <row r="1269" ht="15.75" customHeight="1">
      <c r="A1269" s="135">
        <v>612.0</v>
      </c>
      <c r="B1269" s="135" t="s">
        <v>1680</v>
      </c>
    </row>
    <row r="1270" ht="15.75" customHeight="1">
      <c r="A1270" s="135">
        <v>617.0</v>
      </c>
      <c r="B1270" s="135" t="s">
        <v>1681</v>
      </c>
    </row>
    <row r="1271" ht="15.75" customHeight="1">
      <c r="A1271" s="135">
        <v>613.0</v>
      </c>
      <c r="B1271" s="135" t="s">
        <v>1682</v>
      </c>
    </row>
    <row r="1272" ht="15.75" customHeight="1">
      <c r="A1272" s="135">
        <v>614.0</v>
      </c>
      <c r="B1272" s="135" t="s">
        <v>442</v>
      </c>
    </row>
    <row r="1273" ht="15.75" customHeight="1">
      <c r="A1273" s="135">
        <v>615.0</v>
      </c>
      <c r="B1273" s="135" t="s">
        <v>1683</v>
      </c>
    </row>
    <row r="1274" ht="15.75" customHeight="1">
      <c r="A1274" s="135">
        <v>616.0</v>
      </c>
      <c r="B1274" s="135" t="s">
        <v>1684</v>
      </c>
    </row>
    <row r="1275" ht="15.75" customHeight="1">
      <c r="A1275" s="135">
        <v>2103.0</v>
      </c>
      <c r="B1275" s="135" t="s">
        <v>1685</v>
      </c>
    </row>
    <row r="1276" ht="15.75" customHeight="1">
      <c r="A1276" s="135">
        <v>2101.0</v>
      </c>
      <c r="B1276" s="135" t="s">
        <v>1686</v>
      </c>
    </row>
    <row r="1277" ht="15.75" customHeight="1">
      <c r="A1277" s="135">
        <v>2102.0</v>
      </c>
      <c r="B1277" s="135" t="s">
        <v>1687</v>
      </c>
    </row>
    <row r="1278" ht="15.75" customHeight="1">
      <c r="A1278" s="135">
        <v>2104.0</v>
      </c>
      <c r="B1278" s="135" t="s">
        <v>1688</v>
      </c>
    </row>
    <row r="1279" ht="15.75" customHeight="1">
      <c r="A1279" s="135">
        <v>2100.0</v>
      </c>
      <c r="B1279" s="135" t="s">
        <v>1689</v>
      </c>
    </row>
    <row r="1280" ht="15.75" customHeight="1">
      <c r="A1280" s="135">
        <v>1981.0</v>
      </c>
      <c r="B1280" s="135" t="s">
        <v>1690</v>
      </c>
    </row>
    <row r="1281" ht="15.75" customHeight="1">
      <c r="A1281" s="135">
        <v>550.0</v>
      </c>
      <c r="B1281" s="135" t="s">
        <v>1691</v>
      </c>
    </row>
    <row r="1282" ht="15.75" customHeight="1">
      <c r="A1282" s="135">
        <v>551.0</v>
      </c>
      <c r="B1282" s="135" t="s">
        <v>1692</v>
      </c>
    </row>
    <row r="1283" ht="15.75" customHeight="1">
      <c r="A1283" s="135">
        <v>552.0</v>
      </c>
      <c r="B1283" s="135" t="s">
        <v>1693</v>
      </c>
    </row>
    <row r="1284" ht="15.75" customHeight="1">
      <c r="A1284" s="135">
        <v>572.0</v>
      </c>
      <c r="B1284" s="135" t="s">
        <v>1694</v>
      </c>
    </row>
    <row r="1285" ht="15.75" customHeight="1">
      <c r="A1285" s="135">
        <v>553.0</v>
      </c>
      <c r="B1285" s="135" t="s">
        <v>1695</v>
      </c>
    </row>
    <row r="1286" ht="15.75" customHeight="1">
      <c r="A1286" s="135">
        <v>554.0</v>
      </c>
      <c r="B1286" s="135" t="s">
        <v>1696</v>
      </c>
    </row>
    <row r="1287" ht="15.75" customHeight="1">
      <c r="A1287" s="135">
        <v>570.0</v>
      </c>
      <c r="B1287" s="135" t="s">
        <v>1697</v>
      </c>
    </row>
    <row r="1288" ht="15.75" customHeight="1">
      <c r="A1288" s="135">
        <v>555.0</v>
      </c>
      <c r="B1288" s="135" t="s">
        <v>1698</v>
      </c>
    </row>
    <row r="1289" ht="15.75" customHeight="1">
      <c r="A1289" s="135">
        <v>556.0</v>
      </c>
      <c r="B1289" s="135" t="s">
        <v>1699</v>
      </c>
    </row>
    <row r="1290" ht="15.75" customHeight="1">
      <c r="A1290" s="135">
        <v>557.0</v>
      </c>
      <c r="B1290" s="135" t="s">
        <v>1700</v>
      </c>
    </row>
    <row r="1291" ht="15.75" customHeight="1">
      <c r="A1291" s="135">
        <v>558.0</v>
      </c>
      <c r="B1291" s="135" t="s">
        <v>1701</v>
      </c>
    </row>
    <row r="1292" ht="15.75" customHeight="1">
      <c r="A1292" s="135">
        <v>565.0</v>
      </c>
      <c r="B1292" s="135" t="s">
        <v>1702</v>
      </c>
    </row>
    <row r="1293" ht="15.75" customHeight="1">
      <c r="A1293" s="135">
        <v>561.0</v>
      </c>
      <c r="B1293" s="135" t="s">
        <v>1703</v>
      </c>
    </row>
    <row r="1294" ht="15.75" customHeight="1">
      <c r="A1294" s="135">
        <v>566.0</v>
      </c>
      <c r="B1294" s="135" t="s">
        <v>1704</v>
      </c>
    </row>
    <row r="1295" ht="15.75" customHeight="1">
      <c r="A1295" s="135">
        <v>564.0</v>
      </c>
      <c r="B1295" s="135" t="s">
        <v>1705</v>
      </c>
    </row>
    <row r="1296" ht="15.75" customHeight="1">
      <c r="A1296" s="135">
        <v>562.0</v>
      </c>
      <c r="B1296" s="135" t="s">
        <v>1706</v>
      </c>
    </row>
    <row r="1297" ht="15.75" customHeight="1">
      <c r="A1297" s="135">
        <v>563.0</v>
      </c>
      <c r="B1297" s="135" t="s">
        <v>1707</v>
      </c>
    </row>
    <row r="1298" ht="15.75" customHeight="1">
      <c r="A1298" s="135">
        <v>567.0</v>
      </c>
      <c r="B1298" s="135" t="s">
        <v>1708</v>
      </c>
    </row>
    <row r="1299" ht="15.75" customHeight="1">
      <c r="A1299" s="135">
        <v>568.0</v>
      </c>
      <c r="B1299" s="135" t="s">
        <v>1709</v>
      </c>
    </row>
    <row r="1300" ht="15.75" customHeight="1">
      <c r="A1300" s="135">
        <v>569.0</v>
      </c>
      <c r="B1300" s="135" t="s">
        <v>1710</v>
      </c>
    </row>
    <row r="1301" ht="15.75" customHeight="1">
      <c r="A1301" s="135">
        <v>559.0</v>
      </c>
      <c r="B1301" s="135" t="s">
        <v>1711</v>
      </c>
    </row>
    <row r="1302" ht="15.75" customHeight="1">
      <c r="A1302" s="135">
        <v>571.0</v>
      </c>
      <c r="B1302" s="135" t="s">
        <v>1712</v>
      </c>
    </row>
    <row r="1303" ht="15.75" customHeight="1">
      <c r="A1303" s="135">
        <v>560.0</v>
      </c>
      <c r="B1303" s="135" t="s">
        <v>1713</v>
      </c>
    </row>
    <row r="1304" ht="15.75" customHeight="1">
      <c r="A1304" s="135">
        <v>573.0</v>
      </c>
      <c r="B1304" s="135" t="s">
        <v>1714</v>
      </c>
    </row>
    <row r="1305" ht="15.75" customHeight="1">
      <c r="A1305" s="135">
        <v>700.0</v>
      </c>
      <c r="B1305" s="135" t="s">
        <v>1715</v>
      </c>
    </row>
    <row r="1306" ht="15.75" customHeight="1">
      <c r="A1306" s="135">
        <v>701.0</v>
      </c>
      <c r="B1306" s="135" t="s">
        <v>1716</v>
      </c>
    </row>
    <row r="1307" ht="15.75" customHeight="1">
      <c r="A1307" s="135">
        <v>702.0</v>
      </c>
      <c r="B1307" s="135" t="s">
        <v>1717</v>
      </c>
    </row>
    <row r="1308" ht="15.75" customHeight="1">
      <c r="A1308" s="135">
        <v>703.0</v>
      </c>
      <c r="B1308" s="135" t="s">
        <v>1718</v>
      </c>
    </row>
    <row r="1309" ht="15.75" customHeight="1">
      <c r="A1309" s="135">
        <v>704.0</v>
      </c>
      <c r="B1309" s="135" t="s">
        <v>398</v>
      </c>
    </row>
    <row r="1310" ht="15.75" customHeight="1">
      <c r="A1310" s="135">
        <v>705.0</v>
      </c>
      <c r="B1310" s="135" t="s">
        <v>1719</v>
      </c>
    </row>
    <row r="1311" ht="15.75" customHeight="1">
      <c r="A1311" s="135">
        <v>707.0</v>
      </c>
      <c r="B1311" s="135" t="s">
        <v>1720</v>
      </c>
    </row>
    <row r="1312" ht="15.75" customHeight="1">
      <c r="A1312" s="135">
        <v>10471.0</v>
      </c>
      <c r="B1312" s="135" t="s">
        <v>1721</v>
      </c>
    </row>
    <row r="1313" ht="15.75" customHeight="1">
      <c r="A1313" s="135">
        <v>708.0</v>
      </c>
      <c r="B1313" s="135" t="s">
        <v>1722</v>
      </c>
    </row>
    <row r="1314" ht="15.75" customHeight="1">
      <c r="A1314" s="135">
        <v>706.0</v>
      </c>
      <c r="B1314" s="135" t="s">
        <v>492</v>
      </c>
    </row>
    <row r="1315" ht="15.75" customHeight="1">
      <c r="A1315" s="135">
        <v>726.0</v>
      </c>
      <c r="B1315" s="135" t="s">
        <v>1723</v>
      </c>
    </row>
    <row r="1316" ht="15.75" customHeight="1">
      <c r="A1316" s="135">
        <v>709.0</v>
      </c>
      <c r="B1316" s="135" t="s">
        <v>1724</v>
      </c>
    </row>
    <row r="1317" ht="15.75" customHeight="1">
      <c r="A1317" s="135">
        <v>710.0</v>
      </c>
      <c r="B1317" s="135" t="s">
        <v>1725</v>
      </c>
    </row>
    <row r="1318" ht="15.75" customHeight="1">
      <c r="A1318" s="135">
        <v>10700.0</v>
      </c>
      <c r="B1318" s="135" t="s">
        <v>1726</v>
      </c>
    </row>
    <row r="1319" ht="15.75" customHeight="1">
      <c r="A1319" s="135">
        <v>711.0</v>
      </c>
      <c r="B1319" s="135" t="s">
        <v>1727</v>
      </c>
    </row>
    <row r="1320" ht="15.75" customHeight="1">
      <c r="A1320" s="135">
        <v>712.0</v>
      </c>
      <c r="B1320" s="135" t="s">
        <v>1728</v>
      </c>
    </row>
    <row r="1321" ht="15.75" customHeight="1">
      <c r="A1321" s="135">
        <v>713.0</v>
      </c>
      <c r="B1321" s="135" t="s">
        <v>1729</v>
      </c>
    </row>
    <row r="1322" ht="15.75" customHeight="1">
      <c r="A1322" s="135">
        <v>714.0</v>
      </c>
      <c r="B1322" s="135" t="s">
        <v>1730</v>
      </c>
    </row>
    <row r="1323" ht="15.75" customHeight="1">
      <c r="A1323" s="135">
        <v>715.0</v>
      </c>
      <c r="B1323" s="135" t="s">
        <v>1731</v>
      </c>
    </row>
    <row r="1324" ht="15.75" customHeight="1">
      <c r="A1324" s="135">
        <v>716.0</v>
      </c>
      <c r="B1324" s="135" t="s">
        <v>1732</v>
      </c>
    </row>
    <row r="1325" ht="15.75" customHeight="1">
      <c r="A1325" s="135">
        <v>717.0</v>
      </c>
      <c r="B1325" s="135" t="s">
        <v>1733</v>
      </c>
    </row>
    <row r="1326" ht="15.75" customHeight="1">
      <c r="A1326" s="135">
        <v>718.0</v>
      </c>
      <c r="B1326" s="135" t="s">
        <v>1734</v>
      </c>
    </row>
    <row r="1327" ht="15.75" customHeight="1">
      <c r="A1327" s="135">
        <v>719.0</v>
      </c>
      <c r="B1327" s="135" t="s">
        <v>1735</v>
      </c>
    </row>
    <row r="1328" ht="15.75" customHeight="1">
      <c r="A1328" s="135">
        <v>720.0</v>
      </c>
      <c r="B1328" s="135" t="s">
        <v>414</v>
      </c>
    </row>
    <row r="1329" ht="15.75" customHeight="1">
      <c r="A1329" s="135">
        <v>721.0</v>
      </c>
      <c r="B1329" s="135" t="s">
        <v>1736</v>
      </c>
    </row>
    <row r="1330" ht="15.75" customHeight="1">
      <c r="A1330" s="135">
        <v>722.0</v>
      </c>
      <c r="B1330" s="135" t="s">
        <v>368</v>
      </c>
    </row>
    <row r="1331" ht="15.75" customHeight="1">
      <c r="A1331" s="135">
        <v>723.0</v>
      </c>
      <c r="B1331" s="135" t="s">
        <v>417</v>
      </c>
    </row>
    <row r="1332" ht="15.75" customHeight="1">
      <c r="A1332" s="135">
        <v>724.0</v>
      </c>
      <c r="B1332" s="135" t="s">
        <v>1737</v>
      </c>
    </row>
    <row r="1333" ht="15.75" customHeight="1">
      <c r="A1333" s="135">
        <v>725.0</v>
      </c>
      <c r="B1333" s="135" t="s">
        <v>1738</v>
      </c>
    </row>
    <row r="1334" ht="15.75" customHeight="1">
      <c r="A1334" s="135">
        <v>10662.0</v>
      </c>
      <c r="B1334" s="135" t="s">
        <v>1739</v>
      </c>
    </row>
    <row r="1335" ht="15.75" customHeight="1">
      <c r="A1335" s="135">
        <v>650.0</v>
      </c>
      <c r="B1335" s="135" t="s">
        <v>1740</v>
      </c>
    </row>
    <row r="1336" ht="15.75" customHeight="1">
      <c r="A1336" s="135">
        <v>10681.0</v>
      </c>
      <c r="B1336" s="135" t="s">
        <v>1741</v>
      </c>
    </row>
    <row r="1337" ht="15.75" customHeight="1">
      <c r="A1337" s="135">
        <v>672.0</v>
      </c>
      <c r="B1337" s="135" t="s">
        <v>1742</v>
      </c>
    </row>
    <row r="1338" ht="15.75" customHeight="1">
      <c r="A1338" s="135">
        <v>673.0</v>
      </c>
      <c r="B1338" s="135" t="s">
        <v>1743</v>
      </c>
    </row>
    <row r="1339" ht="15.75" customHeight="1">
      <c r="A1339" s="135">
        <v>671.0</v>
      </c>
      <c r="B1339" s="135" t="s">
        <v>1744</v>
      </c>
    </row>
    <row r="1340" ht="15.75" customHeight="1">
      <c r="A1340" s="135">
        <v>10669.0</v>
      </c>
      <c r="B1340" s="135" t="s">
        <v>411</v>
      </c>
    </row>
    <row r="1341" ht="15.75" customHeight="1">
      <c r="A1341" s="135">
        <v>670.0</v>
      </c>
      <c r="B1341" s="135" t="s">
        <v>1745</v>
      </c>
    </row>
    <row r="1342" ht="15.75" customHeight="1">
      <c r="A1342" s="135">
        <v>674.0</v>
      </c>
      <c r="B1342" s="135" t="s">
        <v>1746</v>
      </c>
    </row>
    <row r="1343" ht="15.75" customHeight="1">
      <c r="A1343" s="135">
        <v>675.0</v>
      </c>
      <c r="B1343" s="135" t="s">
        <v>1747</v>
      </c>
    </row>
    <row r="1344" ht="15.75" customHeight="1">
      <c r="A1344" s="135">
        <v>676.0</v>
      </c>
      <c r="B1344" s="135" t="s">
        <v>1748</v>
      </c>
    </row>
    <row r="1345" ht="15.75" customHeight="1">
      <c r="A1345" s="135">
        <v>657.0</v>
      </c>
      <c r="B1345" s="135" t="s">
        <v>1749</v>
      </c>
    </row>
    <row r="1346" ht="15.75" customHeight="1">
      <c r="A1346" s="135">
        <v>10683.0</v>
      </c>
      <c r="B1346" s="135" t="s">
        <v>1750</v>
      </c>
    </row>
    <row r="1347" ht="15.75" customHeight="1">
      <c r="A1347" s="135">
        <v>10686.0</v>
      </c>
      <c r="B1347" s="135" t="s">
        <v>1751</v>
      </c>
    </row>
    <row r="1348" ht="15.75" customHeight="1">
      <c r="A1348" s="135">
        <v>10684.0</v>
      </c>
      <c r="B1348" s="135" t="s">
        <v>1752</v>
      </c>
    </row>
    <row r="1349" ht="15.75" customHeight="1">
      <c r="A1349" s="135">
        <v>10682.0</v>
      </c>
      <c r="B1349" s="135" t="s">
        <v>1753</v>
      </c>
    </row>
    <row r="1350" ht="15.75" customHeight="1">
      <c r="A1350" s="135">
        <v>10685.0</v>
      </c>
      <c r="B1350" s="135" t="s">
        <v>1754</v>
      </c>
    </row>
    <row r="1351" ht="15.75" customHeight="1">
      <c r="A1351" s="135">
        <v>651.0</v>
      </c>
      <c r="B1351" s="135" t="s">
        <v>1755</v>
      </c>
    </row>
    <row r="1352" ht="15.75" customHeight="1">
      <c r="A1352" s="135">
        <v>652.0</v>
      </c>
      <c r="B1352" s="135" t="s">
        <v>1756</v>
      </c>
    </row>
    <row r="1353" ht="15.75" customHeight="1">
      <c r="A1353" s="135">
        <v>653.0</v>
      </c>
      <c r="B1353" s="135" t="s">
        <v>1757</v>
      </c>
    </row>
    <row r="1354" ht="15.75" customHeight="1">
      <c r="A1354" s="135">
        <v>10676.0</v>
      </c>
      <c r="B1354" s="135" t="s">
        <v>1758</v>
      </c>
    </row>
    <row r="1355" ht="15.75" customHeight="1">
      <c r="A1355" s="135">
        <v>10677.0</v>
      </c>
      <c r="B1355" s="135" t="s">
        <v>1759</v>
      </c>
    </row>
    <row r="1356" ht="15.75" customHeight="1">
      <c r="A1356" s="135">
        <v>665.0</v>
      </c>
      <c r="B1356" s="135" t="s">
        <v>1760</v>
      </c>
    </row>
    <row r="1357" ht="15.75" customHeight="1">
      <c r="A1357" s="135">
        <v>666.0</v>
      </c>
      <c r="B1357" s="135" t="s">
        <v>1761</v>
      </c>
    </row>
    <row r="1358" ht="15.75" customHeight="1">
      <c r="A1358" s="135">
        <v>654.0</v>
      </c>
      <c r="B1358" s="135" t="s">
        <v>1761</v>
      </c>
    </row>
    <row r="1359" ht="15.75" customHeight="1">
      <c r="A1359" s="135">
        <v>10679.0</v>
      </c>
      <c r="B1359" s="135" t="s">
        <v>1761</v>
      </c>
    </row>
    <row r="1360" ht="15.75" customHeight="1">
      <c r="A1360" s="135">
        <v>668.0</v>
      </c>
      <c r="B1360" s="135" t="s">
        <v>1761</v>
      </c>
    </row>
    <row r="1361" ht="15.75" customHeight="1">
      <c r="A1361" s="135">
        <v>659.0</v>
      </c>
      <c r="B1361" s="135" t="s">
        <v>1761</v>
      </c>
    </row>
    <row r="1362" ht="15.75" customHeight="1">
      <c r="A1362" s="135">
        <v>10678.0</v>
      </c>
      <c r="B1362" s="135" t="s">
        <v>1761</v>
      </c>
    </row>
    <row r="1363" ht="15.75" customHeight="1">
      <c r="A1363" s="135">
        <v>10672.0</v>
      </c>
      <c r="B1363" s="135" t="s">
        <v>1762</v>
      </c>
    </row>
    <row r="1364" ht="15.75" customHeight="1">
      <c r="A1364" s="135">
        <v>658.0</v>
      </c>
      <c r="B1364" s="135" t="s">
        <v>1761</v>
      </c>
    </row>
    <row r="1365" ht="15.75" customHeight="1">
      <c r="A1365" s="135">
        <v>677.0</v>
      </c>
      <c r="B1365" s="135" t="s">
        <v>1761</v>
      </c>
    </row>
    <row r="1366" ht="15.75" customHeight="1">
      <c r="A1366" s="135">
        <v>667.0</v>
      </c>
      <c r="B1366" s="135" t="s">
        <v>1761</v>
      </c>
    </row>
    <row r="1367" ht="15.75" customHeight="1">
      <c r="A1367" s="135">
        <v>655.0</v>
      </c>
      <c r="B1367" s="135" t="s">
        <v>1763</v>
      </c>
    </row>
    <row r="1368" ht="15.75" customHeight="1">
      <c r="A1368" s="135">
        <v>10663.0</v>
      </c>
      <c r="B1368" s="135" t="s">
        <v>1761</v>
      </c>
    </row>
    <row r="1369" ht="15.75" customHeight="1">
      <c r="A1369" s="135">
        <v>664.0</v>
      </c>
      <c r="B1369" s="135" t="s">
        <v>1761</v>
      </c>
    </row>
    <row r="1370" ht="15.75" customHeight="1">
      <c r="A1370" s="135">
        <v>10675.0</v>
      </c>
      <c r="B1370" s="135" t="s">
        <v>1761</v>
      </c>
    </row>
    <row r="1371" ht="15.75" customHeight="1">
      <c r="A1371" s="135">
        <v>10673.0</v>
      </c>
      <c r="B1371" s="135" t="s">
        <v>1761</v>
      </c>
    </row>
    <row r="1372" ht="15.75" customHeight="1">
      <c r="A1372" s="135">
        <v>663.0</v>
      </c>
      <c r="B1372" s="135" t="s">
        <v>1761</v>
      </c>
    </row>
    <row r="1373" ht="15.75" customHeight="1">
      <c r="A1373" s="135">
        <v>661.0</v>
      </c>
      <c r="B1373" s="135" t="s">
        <v>1764</v>
      </c>
    </row>
    <row r="1374" ht="15.75" customHeight="1">
      <c r="A1374" s="135">
        <v>10674.0</v>
      </c>
      <c r="B1374" s="135" t="s">
        <v>1761</v>
      </c>
    </row>
    <row r="1375" ht="15.75" customHeight="1">
      <c r="A1375" s="135">
        <v>662.0</v>
      </c>
      <c r="B1375" s="135" t="s">
        <v>1765</v>
      </c>
    </row>
    <row r="1376" ht="15.75" customHeight="1">
      <c r="A1376" s="135">
        <v>678.0</v>
      </c>
      <c r="B1376" s="135" t="s">
        <v>1761</v>
      </c>
    </row>
    <row r="1377" ht="15.75" customHeight="1">
      <c r="A1377" s="135">
        <v>656.0</v>
      </c>
      <c r="B1377" s="135" t="s">
        <v>1761</v>
      </c>
    </row>
    <row r="1378" ht="15.75" customHeight="1">
      <c r="A1378" s="135">
        <v>10680.0</v>
      </c>
      <c r="B1378" s="135" t="s">
        <v>1761</v>
      </c>
    </row>
    <row r="1379" ht="15.75" customHeight="1">
      <c r="A1379" s="135">
        <v>660.0</v>
      </c>
      <c r="B1379" s="135" t="s">
        <v>1761</v>
      </c>
    </row>
    <row r="1380" ht="15.75" customHeight="1">
      <c r="A1380" s="135">
        <v>669.0</v>
      </c>
      <c r="B1380" s="135" t="s">
        <v>1761</v>
      </c>
    </row>
    <row r="1381" ht="15.75" customHeight="1">
      <c r="A1381" s="135">
        <v>10664.0</v>
      </c>
      <c r="B1381" s="135" t="s">
        <v>1761</v>
      </c>
    </row>
    <row r="1382" ht="15.75" customHeight="1">
      <c r="A1382" s="135">
        <v>10665.0</v>
      </c>
      <c r="B1382" s="135" t="s">
        <v>1761</v>
      </c>
    </row>
    <row r="1383" ht="15.75" customHeight="1">
      <c r="A1383" s="135">
        <v>13819.0</v>
      </c>
      <c r="B1383" s="135" t="s">
        <v>1761</v>
      </c>
    </row>
    <row r="1384" ht="15.75" customHeight="1">
      <c r="A1384" s="135">
        <v>13818.0</v>
      </c>
      <c r="B1384" s="135" t="s">
        <v>1761</v>
      </c>
    </row>
    <row r="1385" ht="15.75" customHeight="1">
      <c r="A1385" s="135">
        <v>12201.0</v>
      </c>
      <c r="B1385" s="135" t="s">
        <v>1761</v>
      </c>
    </row>
    <row r="1386" ht="15.75" customHeight="1">
      <c r="A1386" s="135">
        <v>1001.0</v>
      </c>
      <c r="B1386" s="135" t="s">
        <v>1761</v>
      </c>
    </row>
    <row r="1387" ht="15.75" customHeight="1">
      <c r="A1387" s="135">
        <v>527.0</v>
      </c>
      <c r="B1387" s="135" t="s">
        <v>1420</v>
      </c>
    </row>
    <row r="1388" ht="15.75" customHeight="1">
      <c r="A1388" s="135">
        <v>40.0</v>
      </c>
      <c r="B1388" s="135" t="s">
        <v>1226</v>
      </c>
    </row>
    <row r="1389" ht="15.75" customHeight="1">
      <c r="A1389" s="135">
        <v>131.0</v>
      </c>
      <c r="B1389" s="135" t="s">
        <v>434</v>
      </c>
    </row>
    <row r="1390" ht="15.75" customHeight="1">
      <c r="A1390" s="135">
        <v>1009.0</v>
      </c>
      <c r="B1390" s="135" t="s">
        <v>1766</v>
      </c>
    </row>
    <row r="1391" ht="15.75" customHeight="1">
      <c r="A1391" s="135">
        <v>215.0</v>
      </c>
      <c r="B1391" s="135" t="s">
        <v>1767</v>
      </c>
    </row>
    <row r="1392" ht="15.75" customHeight="1">
      <c r="A1392" s="135">
        <v>194.0</v>
      </c>
      <c r="B1392" s="135" t="s">
        <v>1768</v>
      </c>
    </row>
    <row r="1393" ht="15.75" customHeight="1">
      <c r="A1393" s="135">
        <v>185.0</v>
      </c>
      <c r="B1393" s="135" t="s">
        <v>1769</v>
      </c>
    </row>
    <row r="1394" ht="15.75" customHeight="1">
      <c r="A1394" s="135">
        <v>233.0</v>
      </c>
      <c r="B1394" s="135" t="s">
        <v>1770</v>
      </c>
    </row>
    <row r="1395" ht="15.75" customHeight="1">
      <c r="A1395" s="135">
        <v>231.0</v>
      </c>
      <c r="B1395" s="135" t="s">
        <v>1771</v>
      </c>
    </row>
    <row r="1396" ht="15.75" customHeight="1">
      <c r="A1396" s="135">
        <v>2003.0</v>
      </c>
      <c r="B1396" s="135" t="s">
        <v>1772</v>
      </c>
    </row>
    <row r="1397" ht="15.75" customHeight="1">
      <c r="A1397" s="135">
        <v>2009.0</v>
      </c>
      <c r="B1397" s="135" t="s">
        <v>1773</v>
      </c>
    </row>
    <row r="1398" ht="15.75" customHeight="1">
      <c r="A1398" s="135">
        <v>365.0</v>
      </c>
      <c r="B1398" s="135" t="s">
        <v>1774</v>
      </c>
    </row>
    <row r="1399" ht="15.75" customHeight="1">
      <c r="A1399" s="135">
        <v>366.0</v>
      </c>
      <c r="B1399" s="135" t="s">
        <v>1775</v>
      </c>
    </row>
    <row r="1400" ht="15.75" customHeight="1">
      <c r="A1400" s="135">
        <v>528.0</v>
      </c>
      <c r="B1400" s="135" t="s">
        <v>1776</v>
      </c>
    </row>
    <row r="1401" ht="15.75" customHeight="1">
      <c r="A1401" s="135">
        <v>526.0</v>
      </c>
      <c r="B1401" s="69" t="s">
        <v>1777</v>
      </c>
    </row>
    <row r="1402" ht="15.75" customHeight="1">
      <c r="A1402" s="135">
        <v>371.0</v>
      </c>
      <c r="B1402" s="135" t="s">
        <v>1778</v>
      </c>
    </row>
    <row r="1403" ht="15.75" customHeight="1">
      <c r="A1403" s="135">
        <v>370.0</v>
      </c>
      <c r="B1403" s="135" t="s">
        <v>1779</v>
      </c>
    </row>
    <row r="1404" ht="15.75" customHeight="1">
      <c r="A1404" s="135">
        <v>368.0</v>
      </c>
      <c r="B1404" s="135" t="s">
        <v>1780</v>
      </c>
    </row>
    <row r="1405" ht="15.75" customHeight="1">
      <c r="A1405" s="135">
        <v>367.0</v>
      </c>
      <c r="B1405" s="135" t="s">
        <v>1781</v>
      </c>
    </row>
    <row r="1406" ht="15.75" customHeight="1">
      <c r="A1406" s="135">
        <v>374.0</v>
      </c>
      <c r="B1406" s="135" t="s">
        <v>1782</v>
      </c>
    </row>
    <row r="1407" ht="15.75" customHeight="1">
      <c r="A1407" s="135">
        <v>364.0</v>
      </c>
      <c r="B1407" s="135" t="s">
        <v>1783</v>
      </c>
    </row>
    <row r="1408" ht="15.75" customHeight="1">
      <c r="A1408" s="135">
        <v>373.0</v>
      </c>
      <c r="B1408" s="135" t="s">
        <v>1784</v>
      </c>
    </row>
    <row r="1409" ht="15.75" customHeight="1">
      <c r="B1409" s="69" t="s">
        <v>1785</v>
      </c>
    </row>
    <row r="1410" ht="15.75" customHeight="1">
      <c r="A1410" s="135">
        <v>619.0</v>
      </c>
      <c r="B1410" s="135" t="s">
        <v>1786</v>
      </c>
    </row>
    <row r="1411" ht="15.75" customHeight="1">
      <c r="A1411" s="135">
        <v>679.0</v>
      </c>
      <c r="B1411" s="69" t="s">
        <v>1787</v>
      </c>
    </row>
    <row r="1412" ht="15.75" customHeight="1">
      <c r="A1412" s="135">
        <v>234.0</v>
      </c>
      <c r="B1412" s="135" t="s">
        <v>1788</v>
      </c>
    </row>
    <row r="1413" ht="15.75" customHeight="1">
      <c r="A1413" s="135">
        <v>235.0</v>
      </c>
      <c r="B1413" s="69" t="s">
        <v>325</v>
      </c>
    </row>
    <row r="1414" ht="15.75" customHeight="1">
      <c r="A1414" s="135">
        <v>1016.0</v>
      </c>
      <c r="B1414" s="69" t="s">
        <v>1789</v>
      </c>
    </row>
    <row r="1415" ht="15.75" customHeight="1">
      <c r="A1415" s="135">
        <v>236.0</v>
      </c>
      <c r="B1415" s="69" t="s">
        <v>1790</v>
      </c>
    </row>
    <row r="1416" ht="15.75" customHeight="1">
      <c r="A1416" s="135">
        <v>232.0</v>
      </c>
      <c r="B1416" s="69" t="s">
        <v>380</v>
      </c>
    </row>
    <row r="1417" ht="15.75" customHeight="1">
      <c r="A1417" s="135">
        <v>685.0</v>
      </c>
      <c r="B1417" s="69" t="s">
        <v>1791</v>
      </c>
    </row>
    <row r="1418" ht="15.75" customHeight="1">
      <c r="A1418" s="135">
        <v>689.0</v>
      </c>
      <c r="B1418" s="69" t="s">
        <v>1792</v>
      </c>
    </row>
    <row r="1419" ht="15.75" customHeight="1">
      <c r="A1419" s="135">
        <v>692.0</v>
      </c>
      <c r="B1419" s="69" t="s">
        <v>1793</v>
      </c>
    </row>
    <row r="1420" ht="15.75" customHeight="1">
      <c r="A1420" s="135">
        <v>119.0</v>
      </c>
      <c r="B1420" s="69" t="s">
        <v>1794</v>
      </c>
    </row>
    <row r="1421" ht="15.75" customHeight="1">
      <c r="A1421" s="135">
        <v>696.0</v>
      </c>
      <c r="B1421" s="69" t="s">
        <v>1795</v>
      </c>
    </row>
    <row r="1422" ht="15.75" customHeight="1">
      <c r="A1422" s="135">
        <v>727.0</v>
      </c>
      <c r="B1422" s="69" t="s">
        <v>1796</v>
      </c>
    </row>
    <row r="1423" ht="15.75" customHeight="1">
      <c r="A1423" s="135">
        <v>2004.0</v>
      </c>
      <c r="B1423" s="69" t="s">
        <v>1797</v>
      </c>
    </row>
    <row r="1424" ht="15.75" customHeight="1">
      <c r="A1424" s="135">
        <v>2002.0</v>
      </c>
      <c r="B1424" s="69" t="s">
        <v>1798</v>
      </c>
    </row>
    <row r="1425" ht="15.75" customHeight="1">
      <c r="A1425" s="135">
        <v>695.0</v>
      </c>
      <c r="B1425" s="69" t="s">
        <v>1799</v>
      </c>
    </row>
    <row r="1426" ht="15.75" customHeight="1">
      <c r="A1426" s="135">
        <v>730.0</v>
      </c>
      <c r="B1426" s="69" t="s">
        <v>1800</v>
      </c>
    </row>
    <row r="1427" ht="15.75" customHeight="1">
      <c r="A1427" s="135">
        <v>2015.0</v>
      </c>
      <c r="B1427" s="69" t="s">
        <v>1801</v>
      </c>
    </row>
    <row r="1428" ht="15.75" customHeight="1">
      <c r="A1428" s="135">
        <v>2014.0</v>
      </c>
      <c r="B1428" s="69" t="s">
        <v>1802</v>
      </c>
    </row>
  </sheetData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3.71"/>
    <col customWidth="1" min="8" max="9" width="14.57"/>
    <col customWidth="1" min="10" max="26" width="13.71"/>
  </cols>
  <sheetData>
    <row r="1" ht="20.25" customHeight="1">
      <c r="A1" s="136" t="s">
        <v>1803</v>
      </c>
      <c r="B1" s="137"/>
      <c r="C1" s="137"/>
      <c r="D1" s="137"/>
      <c r="E1" s="137"/>
      <c r="F1" s="137"/>
      <c r="G1" s="137"/>
      <c r="H1" s="138"/>
      <c r="I1" s="139"/>
    </row>
    <row r="2" ht="12.0" customHeight="1">
      <c r="A2" s="140"/>
      <c r="B2" s="56"/>
      <c r="C2" s="56"/>
      <c r="D2" s="56"/>
      <c r="E2" s="56"/>
      <c r="F2" s="56"/>
      <c r="G2" s="56"/>
      <c r="H2" s="141"/>
      <c r="I2" s="139"/>
    </row>
    <row r="3" ht="12.0" customHeight="1">
      <c r="A3" s="142" t="s">
        <v>1804</v>
      </c>
      <c r="B3" s="143" t="s">
        <v>74</v>
      </c>
      <c r="C3" s="143" t="s">
        <v>92</v>
      </c>
      <c r="D3" s="143" t="s">
        <v>31</v>
      </c>
      <c r="E3" s="143" t="s">
        <v>21</v>
      </c>
      <c r="F3" s="143" t="s">
        <v>13</v>
      </c>
      <c r="G3" s="143" t="s">
        <v>1805</v>
      </c>
      <c r="H3" s="144" t="s">
        <v>9</v>
      </c>
      <c r="I3" s="145"/>
    </row>
    <row r="4" ht="12.0" customHeight="1">
      <c r="A4" s="146" t="s">
        <v>1806</v>
      </c>
      <c r="B4" s="147">
        <v>186091.0</v>
      </c>
      <c r="C4" s="147">
        <v>0.0</v>
      </c>
      <c r="D4" s="147">
        <v>371700.0</v>
      </c>
      <c r="E4" s="147">
        <v>340012.0</v>
      </c>
      <c r="F4" s="147">
        <v>5001716.0</v>
      </c>
      <c r="G4" s="147"/>
      <c r="H4" s="148">
        <f t="shared" ref="H4:H15" si="1">SUM(A4:G4)</f>
        <v>5899519</v>
      </c>
      <c r="I4" s="149"/>
    </row>
    <row r="5" ht="12.0" customHeight="1">
      <c r="A5" s="146" t="s">
        <v>1807</v>
      </c>
      <c r="B5" s="147">
        <v>858581.0</v>
      </c>
      <c r="C5" s="147">
        <v>1470178.0</v>
      </c>
      <c r="D5" s="147">
        <v>994702.0</v>
      </c>
      <c r="E5" s="147">
        <v>619623.0</v>
      </c>
      <c r="F5" s="147">
        <v>2940179.0</v>
      </c>
      <c r="G5" s="147">
        <v>605739.0</v>
      </c>
      <c r="H5" s="148">
        <f t="shared" si="1"/>
        <v>7489002</v>
      </c>
      <c r="I5" s="149"/>
    </row>
    <row r="6" ht="12.0" customHeight="1">
      <c r="A6" s="146" t="s">
        <v>1808</v>
      </c>
      <c r="B6" s="147">
        <v>225552.0</v>
      </c>
      <c r="C6" s="147">
        <v>242819.0</v>
      </c>
      <c r="D6" s="147">
        <v>96381.0</v>
      </c>
      <c r="E6" s="147">
        <v>1083233.0</v>
      </c>
      <c r="F6" s="147">
        <v>2254330.0</v>
      </c>
      <c r="G6" s="147">
        <v>1347130.0</v>
      </c>
      <c r="H6" s="148">
        <f t="shared" si="1"/>
        <v>5249445</v>
      </c>
      <c r="I6" s="149"/>
    </row>
    <row r="7" ht="12.0" customHeight="1">
      <c r="A7" s="146" t="s">
        <v>1809</v>
      </c>
      <c r="B7" s="147"/>
      <c r="C7" s="147"/>
      <c r="D7" s="147"/>
      <c r="E7" s="147"/>
      <c r="F7" s="147"/>
      <c r="G7" s="147"/>
      <c r="H7" s="148">
        <f t="shared" si="1"/>
        <v>0</v>
      </c>
      <c r="I7" s="149"/>
    </row>
    <row r="8" ht="12.0" customHeight="1">
      <c r="A8" s="146" t="s">
        <v>1810</v>
      </c>
      <c r="B8" s="147"/>
      <c r="C8" s="147"/>
      <c r="D8" s="147"/>
      <c r="E8" s="147"/>
      <c r="F8" s="147"/>
      <c r="G8" s="147"/>
      <c r="H8" s="148">
        <f t="shared" si="1"/>
        <v>0</v>
      </c>
      <c r="I8" s="149"/>
    </row>
    <row r="9" ht="12.0" customHeight="1">
      <c r="A9" s="146" t="s">
        <v>1811</v>
      </c>
      <c r="B9" s="147"/>
      <c r="C9" s="147"/>
      <c r="D9" s="147"/>
      <c r="E9" s="147"/>
      <c r="F9" s="147"/>
      <c r="G9" s="147"/>
      <c r="H9" s="148">
        <f t="shared" si="1"/>
        <v>0</v>
      </c>
      <c r="I9" s="149"/>
    </row>
    <row r="10" ht="12.0" customHeight="1">
      <c r="A10" s="146" t="s">
        <v>11</v>
      </c>
      <c r="B10" s="147"/>
      <c r="C10" s="147"/>
      <c r="D10" s="147"/>
      <c r="E10" s="147"/>
      <c r="F10" s="147"/>
      <c r="G10" s="147"/>
      <c r="H10" s="148">
        <f t="shared" si="1"/>
        <v>0</v>
      </c>
      <c r="I10" s="149"/>
    </row>
    <row r="11" ht="12.0" customHeight="1">
      <c r="A11" s="146" t="s">
        <v>1812</v>
      </c>
      <c r="B11" s="147"/>
      <c r="C11" s="147"/>
      <c r="D11" s="147"/>
      <c r="E11" s="147"/>
      <c r="F11" s="147"/>
      <c r="G11" s="147"/>
      <c r="H11" s="148">
        <f t="shared" si="1"/>
        <v>0</v>
      </c>
      <c r="I11" s="149"/>
    </row>
    <row r="12" ht="12.0" customHeight="1">
      <c r="A12" s="146" t="s">
        <v>1813</v>
      </c>
      <c r="B12" s="147"/>
      <c r="C12" s="147"/>
      <c r="D12" s="147"/>
      <c r="E12" s="147"/>
      <c r="F12" s="147"/>
      <c r="G12" s="147"/>
      <c r="H12" s="148">
        <f t="shared" si="1"/>
        <v>0</v>
      </c>
      <c r="I12" s="149"/>
    </row>
    <row r="13" ht="12.0" customHeight="1">
      <c r="A13" s="146" t="s">
        <v>1814</v>
      </c>
      <c r="B13" s="147"/>
      <c r="C13" s="147"/>
      <c r="D13" s="147"/>
      <c r="E13" s="147"/>
      <c r="F13" s="147"/>
      <c r="G13" s="147"/>
      <c r="H13" s="148">
        <f t="shared" si="1"/>
        <v>0</v>
      </c>
      <c r="I13" s="149"/>
    </row>
    <row r="14" ht="12.0" customHeight="1">
      <c r="A14" s="146" t="s">
        <v>1815</v>
      </c>
      <c r="B14" s="147"/>
      <c r="C14" s="147"/>
      <c r="D14" s="147"/>
      <c r="E14" s="147"/>
      <c r="F14" s="147"/>
      <c r="G14" s="147"/>
      <c r="H14" s="148">
        <f t="shared" si="1"/>
        <v>0</v>
      </c>
      <c r="I14" s="149"/>
    </row>
    <row r="15" ht="12.0" customHeight="1">
      <c r="A15" s="150" t="s">
        <v>1816</v>
      </c>
      <c r="B15" s="151"/>
      <c r="C15" s="151"/>
      <c r="D15" s="151"/>
      <c r="E15" s="151"/>
      <c r="F15" s="151"/>
      <c r="G15" s="151"/>
      <c r="H15" s="148">
        <f t="shared" si="1"/>
        <v>0</v>
      </c>
      <c r="I15" s="149"/>
    </row>
    <row r="16" ht="12.0" customHeight="1">
      <c r="A16" s="9"/>
      <c r="B16" s="9"/>
      <c r="C16" s="9"/>
      <c r="D16" s="9"/>
      <c r="E16" s="9"/>
      <c r="F16" s="9"/>
      <c r="G16" s="152" t="s">
        <v>9</v>
      </c>
      <c r="H16" s="153">
        <f>SUM(H3:H15)</f>
        <v>18637966</v>
      </c>
    </row>
    <row r="17" ht="12.0" customHeight="1">
      <c r="B17" s="154"/>
    </row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">
    <mergeCell ref="A1:H2"/>
    <mergeCell ref="B17:F17"/>
  </mergeCells>
  <printOptions/>
  <pageMargins bottom="0.75" footer="0.0" header="0.0" left="0.7" right="0.7" top="0.75"/>
  <pageSetup paperSize="9" orientation="landscape"/>
  <drawing r:id="rId1"/>
</worksheet>
</file>