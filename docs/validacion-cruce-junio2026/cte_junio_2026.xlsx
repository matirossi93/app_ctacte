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Hoja 16" sheetId="2" r:id="rId6"/>
    <sheet state="visible" name="SISTEMA" sheetId="3" r:id="rId7"/>
    <sheet state="visible" name="JULIO" sheetId="4" r:id="rId8"/>
    <sheet state="visible" name="MARCELO" sheetId="5" r:id="rId9"/>
    <sheet state="visible" name="ANDREA" sheetId="6" r:id="rId10"/>
    <sheet state="visible" name="SEBA" sheetId="7" r:id="rId11"/>
    <sheet state="visible" name="BRIAN" sheetId="8" r:id="rId12"/>
    <sheet state="visible" name="Hoja 15" sheetId="9" r:id="rId13"/>
  </sheets>
  <definedNames>
    <definedName hidden="1" localSheetId="0" name="_xlnm._FilterDatabase">CLIENTES!$A$2:$C$277</definedName>
    <definedName hidden="1" localSheetId="2" name="_xlnm._FilterDatabase">SISTEMA!$A$2:$D$300</definedName>
    <definedName hidden="1" localSheetId="3" name="_xlnm._FilterDatabase">JULIO!$A$2:$C$63</definedName>
    <definedName hidden="1" localSheetId="4" name="_xlnm._FilterDatabase">MARCELO!$A$2:$E$58</definedName>
    <definedName hidden="1" localSheetId="5" name="_xlnm._FilterDatabase">ANDREA!$A$2:$C$32</definedName>
    <definedName hidden="1" localSheetId="6" name="_xlnm._FilterDatabase">SEBA!$A$2:$C$40</definedName>
    <definedName hidden="1" localSheetId="7" name="_xlnm._FilterDatabase">BRIAN!$A$2:$C$49</definedName>
  </definedNames>
  <calcPr/>
</workbook>
</file>

<file path=xl/sharedStrings.xml><?xml version="1.0" encoding="utf-8"?>
<sst xmlns="http://schemas.openxmlformats.org/spreadsheetml/2006/main" count="2923" uniqueCount="789">
  <si>
    <t>CABRERA, Olga (Oeste II)</t>
  </si>
  <si>
    <t>BRUNO, Mayra (Alderetes)</t>
  </si>
  <si>
    <t>AUAD, Mariana (Oeste II)</t>
  </si>
  <si>
    <t>CORDOBA, David  (Jujuy)</t>
  </si>
  <si>
    <t>ALVARADO, Julio (Jujuy)</t>
  </si>
  <si>
    <t>AMADO, Graciela (Lules)</t>
  </si>
  <si>
    <t>ESQUENDEFE, Joaquin (Simoca)</t>
  </si>
  <si>
    <t>ANDRADES ( Este)</t>
  </si>
  <si>
    <t>ANTA, Margarita (Jujuy)</t>
  </si>
  <si>
    <t>ARON, David (Lules)</t>
  </si>
  <si>
    <t>ARTAZA, Romina (Ciudadela)</t>
  </si>
  <si>
    <t>AVILA, Sergio (157)</t>
  </si>
  <si>
    <t>AVILA, Dolores (Jujuy)</t>
  </si>
  <si>
    <t>CASERES, Maria (Centro)</t>
  </si>
  <si>
    <t>BALBOA, Roque (157)</t>
  </si>
  <si>
    <t>BALCEDA, Fabiana (Oeste II)</t>
  </si>
  <si>
    <t>QUIPILDOR MIGUEL (LEALES)</t>
  </si>
  <si>
    <t>BEJAS, Diego  (Centro)</t>
  </si>
  <si>
    <t>BEJAS, Matias (Oeste II)</t>
  </si>
  <si>
    <t>BEKI, Yanina  (CONTADO)</t>
  </si>
  <si>
    <t>SUPER TANIA (Concepci¾n)</t>
  </si>
  <si>
    <t>BRABE, Manuel (Lules)</t>
  </si>
  <si>
    <t>BRAIN, Hugo (Famaillß)</t>
  </si>
  <si>
    <t>BRITO, Brahian (157)</t>
  </si>
  <si>
    <t>BRIZUELA, Fabian (Ciudadela)</t>
  </si>
  <si>
    <t>BUSTOS, Cesar (Banda)</t>
  </si>
  <si>
    <t>BUSTOS, Javier (Villa)</t>
  </si>
  <si>
    <t>BUSTOS, Luis (Banda)</t>
  </si>
  <si>
    <t>BUSTOS, Maria (Banda)</t>
  </si>
  <si>
    <t>BUSTOS, Roberto (Banda)</t>
  </si>
  <si>
    <t>BUSTOS, Sebastißn (Este)</t>
  </si>
  <si>
    <t>BUSTOS, Denisse (Banda)</t>
  </si>
  <si>
    <t>CAJCHAYA, Pina (Jujuy)</t>
  </si>
  <si>
    <t>SORIA, Rosario  (Y. B.)</t>
  </si>
  <si>
    <t>BRANDAN, Maria Laura (Banda)</t>
  </si>
  <si>
    <t>CHAHLE, Marcos (Leales)</t>
  </si>
  <si>
    <t>OVIEDO, Pablo (Jujuy)</t>
  </si>
  <si>
    <t>MONTERO, Fernando (Monteros)</t>
  </si>
  <si>
    <t>CORDOBA, Carlos (Lules)</t>
  </si>
  <si>
    <t>CORDOBA, Marcelo (Oeste II)</t>
  </si>
  <si>
    <t>COSTILLA, Claudia (Alderetes)</t>
  </si>
  <si>
    <t>ELIAS, Jorge (Jujuy)</t>
  </si>
  <si>
    <t>DANUN, Juan (Monteros)</t>
  </si>
  <si>
    <t>DARUIS, Dario (Jujuy)</t>
  </si>
  <si>
    <t>DARWICH, Mariela (Sur)</t>
  </si>
  <si>
    <t>EL GAUCHO (Ciudadela)</t>
  </si>
  <si>
    <t>GONZALEZ, Gonzalo ( Y. B.)</t>
  </si>
  <si>
    <t>DECIMA, Diego (Banda)</t>
  </si>
  <si>
    <t>DIAZ, Abrahan (Jujuy)</t>
  </si>
  <si>
    <t>DIAZ, Ariel (Alderetes)</t>
  </si>
  <si>
    <t>DIAZ, Rosa (Banda)</t>
  </si>
  <si>
    <t>GRAMAJO, Marcela (Monteros)</t>
  </si>
  <si>
    <t>BIANCONI, Paola ( ESTE)</t>
  </si>
  <si>
    <t>SALVATIERRA, Romina (Simoca)</t>
  </si>
  <si>
    <t>JIMENEZ, JosÚ Leandro (La Cocha)</t>
  </si>
  <si>
    <t>FORRAJERIA, San Francisco (Oeste II)</t>
  </si>
  <si>
    <t>VICENTE, JosÚ (Simoca)</t>
  </si>
  <si>
    <t>EL BAGUAL (Centro)</t>
  </si>
  <si>
    <t>EL CEBILAR (Centro)</t>
  </si>
  <si>
    <t>EL CEIBAL (Oeste II)</t>
  </si>
  <si>
    <t>EL ESTABLO (Ciudadela)</t>
  </si>
  <si>
    <t>ISA, Cristian (Famaillß)</t>
  </si>
  <si>
    <t>ELJATIB, Dario (Tafi Viejo)</t>
  </si>
  <si>
    <t>ESCOBAR, Sergio (Banda)</t>
  </si>
  <si>
    <t>ESPINOZA, Alexis (Jujuy)</t>
  </si>
  <si>
    <t>ESTRADA, Victor (Jujuy)</t>
  </si>
  <si>
    <t>FIGUEREDO, Lidia (Y. B.)</t>
  </si>
  <si>
    <t>FIGUEROA, Enzo (Famaillß)</t>
  </si>
  <si>
    <t>FILGUEIRAS, Maria (Y. B.)</t>
  </si>
  <si>
    <t>FIOL, Maria (Jujuy)</t>
  </si>
  <si>
    <t>FIORENZA, Gustavo (Oeste II)</t>
  </si>
  <si>
    <t>FORRAJERIA Don Blas</t>
  </si>
  <si>
    <t>FORRAJERIA Los Changos  (Oeste II)</t>
  </si>
  <si>
    <t>FORRAJERIA, San Cayetano (Lules)</t>
  </si>
  <si>
    <t>SARACHO, Jonathan (Cruz Alta)</t>
  </si>
  <si>
    <t>MORENO, JosÚ MarÝa (Sur)</t>
  </si>
  <si>
    <t>FRENTE NORTE AGRO COMERCIAL</t>
  </si>
  <si>
    <t>RUIZ, MarÝa (Oeste II)</t>
  </si>
  <si>
    <t>FORRAJERIA Do±a Negrita (Trinidad)</t>
  </si>
  <si>
    <t>RODRIGUEZ, Sergio (Monteros)</t>
  </si>
  <si>
    <t>GIMENEZ, Romina (Ciudadela)</t>
  </si>
  <si>
    <t>GOMEZ, Angel (157)</t>
  </si>
  <si>
    <t>GOMEZ, Fabian (Ciudadela)</t>
  </si>
  <si>
    <t>GONZALES, Facundo (Banda)</t>
  </si>
  <si>
    <t>GONZALEZ, Jorge (Oeste II)</t>
  </si>
  <si>
    <t>GONZALEZ, Juan David (Leales)</t>
  </si>
  <si>
    <t>GONZALEZ, MarÝa Cristina (Jujuy)</t>
  </si>
  <si>
    <t>GRAMAJO, Maria Constanza (Centro)</t>
  </si>
  <si>
    <t>ANDOAIN, Amalia (Centro)</t>
  </si>
  <si>
    <t>GUERRA, Javier (Sur)</t>
  </si>
  <si>
    <t>GUERRA, Juan (Sur)</t>
  </si>
  <si>
    <t>REYES ROLDAN, JULIETA (Villa)</t>
  </si>
  <si>
    <t>HARO, Trinidad (Tafi Viejo)</t>
  </si>
  <si>
    <t>HERRERA, Fernando (Centro)</t>
  </si>
  <si>
    <t>HERRERA, Maxi (Lules)</t>
  </si>
  <si>
    <t>HUERTA   NORA (Oeste II)</t>
  </si>
  <si>
    <t>FIGUEROA, Walter (Ciudadela)</t>
  </si>
  <si>
    <t>IBAÐEZ, Nahuel (Villa)</t>
  </si>
  <si>
    <t>ISLA VERDE (Centro)</t>
  </si>
  <si>
    <t>JACOBO ALVARO</t>
  </si>
  <si>
    <t>JUAREZ, Daniel (Ciudadela)</t>
  </si>
  <si>
    <t>LA ESTANCIA</t>
  </si>
  <si>
    <t>LANGELLA, Antonio (Centro)</t>
  </si>
  <si>
    <t>LAVAQUE, Nieves (Jujuy)</t>
  </si>
  <si>
    <t>LOBO, Ignacio (Alderetes)</t>
  </si>
  <si>
    <t>AVELLANEDA, Gisel (Alderetes)</t>
  </si>
  <si>
    <t>URUEÐA, Francisco (Monteros)</t>
  </si>
  <si>
    <t>LOPEZ, Daniel (Ciudadela)</t>
  </si>
  <si>
    <t>LUCERO, Daniel (Jujuy)</t>
  </si>
  <si>
    <t>LUNA JAVIER</t>
  </si>
  <si>
    <t>JUAREZ, Federico (Monteros)</t>
  </si>
  <si>
    <t>OTTONELLI , Lucas ( Villa)</t>
  </si>
  <si>
    <t>COCO Forrajeria (Lomas de Tafi)</t>
  </si>
  <si>
    <t>SUPER ASIA (Lamadrid)</t>
  </si>
  <si>
    <t>MANTARAS, Mariano (Centro)</t>
  </si>
  <si>
    <t>GIBILISCO, Domingo (Manantial)</t>
  </si>
  <si>
    <t>MARQUEZ, Carolina (Lules)</t>
  </si>
  <si>
    <t>MARRADES, Benito (Leales)</t>
  </si>
  <si>
    <t>MARTIN, Marcelo (Y. B)</t>
  </si>
  <si>
    <t>MARTINEZ, JosÚ (Y. B.)</t>
  </si>
  <si>
    <t>LUNA, Diana (Lules)</t>
  </si>
  <si>
    <t>SARAVIA, Laura (Oeste II)</t>
  </si>
  <si>
    <t>MAZZONE, Maria (Lules)</t>
  </si>
  <si>
    <t>MEDINA DORA (Jujuy)</t>
  </si>
  <si>
    <t>MEJIAS, Nestor (Alderetes)</t>
  </si>
  <si>
    <t>MONESTEROLO, Mercedes (Monteros)</t>
  </si>
  <si>
    <t>BUSTOS, Rafael (La Florida)</t>
  </si>
  <si>
    <t>DIP, Ezequiel (Alberdi)</t>
  </si>
  <si>
    <t>NAVARRO, Rosa (Banda)</t>
  </si>
  <si>
    <t>PALAVECINO, Viviana (Villa)</t>
  </si>
  <si>
    <t>NUESTRO CAMPO</t>
  </si>
  <si>
    <t>NUTRIMUNDO (Ciudadela)</t>
  </si>
  <si>
    <t>OBEID LAUTARO (CONTADO)</t>
  </si>
  <si>
    <t>OVIEDO, Enrique (Leales)</t>
  </si>
  <si>
    <t>PAZ, Maria (Banda)</t>
  </si>
  <si>
    <t>PAZ, Vanesa (Jujuy)</t>
  </si>
  <si>
    <t>PEDRAZA, Sergio (Jujuy)</t>
  </si>
  <si>
    <t>PEREZ, Hernan (Jujuy)</t>
  </si>
  <si>
    <t>PEREZ, Marcos (Lules)</t>
  </si>
  <si>
    <t>PEREZ, Pedro (Villa)</t>
  </si>
  <si>
    <t>TOLVA SAS (Centro)</t>
  </si>
  <si>
    <t>NARCHER, Pamela (Este)</t>
  </si>
  <si>
    <t>QUIROZ, Vanesa (Jujuy)</t>
  </si>
  <si>
    <t>RADINO, Susana (Concepci¾n)</t>
  </si>
  <si>
    <t>RAMIREZ MATIAS (Oeste II)</t>
  </si>
  <si>
    <t>RENGEL, Fernando (Famaillß)</t>
  </si>
  <si>
    <t>CANO, Alejandra (Centro)</t>
  </si>
  <si>
    <t>ROCHA, Silvia (Villa)</t>
  </si>
  <si>
    <t>ALVAREZ, Matias (Ciudadela)</t>
  </si>
  <si>
    <t>A┌N, Nicolßs (Concepci¾n)</t>
  </si>
  <si>
    <t>DANDE, MarÝa (Alderetes)</t>
  </si>
  <si>
    <t>ESCOBAR, Yohana (Lules)</t>
  </si>
  <si>
    <t>GUZM┴N, MatÝas (Banda)</t>
  </si>
  <si>
    <t>SANCHEZ TELLO (Monteros)</t>
  </si>
  <si>
    <t>LOPEZ, Javier (Acheral)</t>
  </si>
  <si>
    <t>SIR, Victor (Villa)</t>
  </si>
  <si>
    <t>SORIA, Rosalia (Oeste II)</t>
  </si>
  <si>
    <t>SILVA, Patricia (Lules)</t>
  </si>
  <si>
    <t>SUPPA, Victorio (Jujuy)</t>
  </si>
  <si>
    <t>TALAMAZZI, Fabio (Ciudadela)</t>
  </si>
  <si>
    <t>MERCADO, Osvaldo (GarcÝa Fernandez)</t>
  </si>
  <si>
    <t>FORRAJERIA Mi Pipita (Alderetes)</t>
  </si>
  <si>
    <t>FORRAJERIA Huellitas (Lules)</t>
  </si>
  <si>
    <t>VALLEJO, Esteban (Leales)</t>
  </si>
  <si>
    <t>VARGAS (Concepci¾n)</t>
  </si>
  <si>
    <t>VARGAS, Cintia (Marcelo)</t>
  </si>
  <si>
    <t>VARGAS, Emilio (Lules)</t>
  </si>
  <si>
    <t>VEGAS, David (Lules)</t>
  </si>
  <si>
    <t>VELEZ, Marcos (Yerba Buena)</t>
  </si>
  <si>
    <t>VERGARA, Ra·l (Yerba Buena)</t>
  </si>
  <si>
    <t>SUPER DEYUV (Concepci¾n)</t>
  </si>
  <si>
    <t>FORRAJERIA ORDOÐEZ (Oeste II)</t>
  </si>
  <si>
    <t>CEREALES SAN VICENTE (Alberdi)</t>
  </si>
  <si>
    <t>VILLALBA, Iris (Ciudadela)</t>
  </si>
  <si>
    <t>WALDO, Lucas  (Oeste II)</t>
  </si>
  <si>
    <t>MARTIN, Facundo  (Y. B.)</t>
  </si>
  <si>
    <t>LOGARZO, JosÚ (Monteros)</t>
  </si>
  <si>
    <t>CARDENES, Walter (Alberdi)</t>
  </si>
  <si>
    <t>HERRERA, Silvio  (SIMOCA)</t>
  </si>
  <si>
    <t>SUPER Herrera Maxi (Simoca)</t>
  </si>
  <si>
    <t>AUTOSERVICIO Family (Concepci¾n)</t>
  </si>
  <si>
    <t>AUTOSERVICIO Jaime (Aguilares)</t>
  </si>
  <si>
    <t>FORRAJERIA Lanzy (Aguilares)</t>
  </si>
  <si>
    <t>SUPERMERCADO Seranil (Lules)</t>
  </si>
  <si>
    <t>POTOLICCHIO, Juan (Centro)</t>
  </si>
  <si>
    <t>SUPER Abasto (Concepci¾n)</t>
  </si>
  <si>
    <t>FORRAJERIA  Moreno (La Cocha)</t>
  </si>
  <si>
    <t>GIMENEZ, Cecilia (Concepci¾n)</t>
  </si>
  <si>
    <t>TORRES, Fernando (Y. B.)</t>
  </si>
  <si>
    <t>GRAMAJO, Paula (Centro)</t>
  </si>
  <si>
    <t>NAVARRO, Andrea (Centro)</t>
  </si>
  <si>
    <t>SUPER Emanuel (Simoca)</t>
  </si>
  <si>
    <t>IBRAHIN, Zulema (Monteros)</t>
  </si>
  <si>
    <t>VIOJO, Esteban (Villa)</t>
  </si>
  <si>
    <t>MINISERVICE, El Le¾n (Alberdi)</t>
  </si>
  <si>
    <t>El Escobero (Alberdi)</t>
  </si>
  <si>
    <t>MAYORISTA Reyes (Concepci¾n)</t>
  </si>
  <si>
    <t>MINISERVICE Laura (Santa Lucia)</t>
  </si>
  <si>
    <t>DIAZ, Alfredo (Este)</t>
  </si>
  <si>
    <t>FRADEJAS, MarÝa Lucia (Rosario de la Frontera)</t>
  </si>
  <si>
    <t>MORELLI MAYORISTA (Concepcion)</t>
  </si>
  <si>
    <t>MORALES, MarÝa Celeste (Salta)</t>
  </si>
  <si>
    <t>CASAS, Pablo (Banda)</t>
  </si>
  <si>
    <t>AUTOSERVICIO El sigal (Concepci¾n)</t>
  </si>
  <si>
    <t>ROMANO, Debora (Leales)</t>
  </si>
  <si>
    <t>ERAZO, Victor (Lules)</t>
  </si>
  <si>
    <t>BURGOS, Hernan (Santa Lucia)</t>
  </si>
  <si>
    <t>LA PERLA Mini Market (Concepci¾n)</t>
  </si>
  <si>
    <t>REYNOSO, Roberto (Alderetes)</t>
  </si>
  <si>
    <t>SUPER Chino (Concepci¾n)</t>
  </si>
  <si>
    <t>BAZAN,Diego (Santa Lucia)</t>
  </si>
  <si>
    <t>ARGAÐARAZ, Susana (Alberdi)</t>
  </si>
  <si>
    <t>DIAZ, Patricia (Banda)</t>
  </si>
  <si>
    <t>GALVAN, Adrian (Taco Ralo)</t>
  </si>
  <si>
    <t>FERNANDEZ, Lucas (Oeste II)</t>
  </si>
  <si>
    <t>RUIZ, Nadia (Concepci¾n)</t>
  </si>
  <si>
    <t>DAVILA, ┴ngel (Aguilares)</t>
  </si>
  <si>
    <t>HERNANDEZ, Emilse (Aguilares)</t>
  </si>
  <si>
    <t>HERRERA, Jonathan (Las Talitas)</t>
  </si>
  <si>
    <t>DELGADO, Josefina (Yerba Buena)</t>
  </si>
  <si>
    <t>Cereales y Legumbres del Norte   S.A.S (Concepci¾n)</t>
  </si>
  <si>
    <t>VALLEJO, Agustina (Leales)</t>
  </si>
  <si>
    <t>ACOSTA, Alvaro (Centro)</t>
  </si>
  <si>
    <t>ANIMA GROUP S.R.L (Yerba Buena)</t>
  </si>
  <si>
    <t>YAPURA, Elias (Ciudadela)</t>
  </si>
  <si>
    <t>MONTES, Liliana (Ciudadela)</t>
  </si>
  <si>
    <t>IBAÐEZ, Nancy Roxana (Alderetes)</t>
  </si>
  <si>
    <t>ARRIETA, Yaquelin (Monteros)</t>
  </si>
  <si>
    <t>EL CARDENAL</t>
  </si>
  <si>
    <t>FERNANDEZ, Daniel Gustavo (Este)</t>
  </si>
  <si>
    <t>Rodriguez, Silvia Roxana (Centro)</t>
  </si>
  <si>
    <t>Aranda, Rafela (Jujuy)</t>
  </si>
  <si>
    <t>EL PICANTE (Concepci¾n)</t>
  </si>
  <si>
    <t>PASTERIS, Luis (Centro)</t>
  </si>
  <si>
    <t>CABRERA, Roque (Concepci¾n)</t>
  </si>
  <si>
    <t>GOMEZ, Cintya (Las Talitas)</t>
  </si>
  <si>
    <t>SORIA, Soledad (Simoca)</t>
  </si>
  <si>
    <t>BRIAN</t>
  </si>
  <si>
    <t>Veliz Marcelo</t>
  </si>
  <si>
    <t>Brandan Julio</t>
  </si>
  <si>
    <t>El eter Sebastian</t>
  </si>
  <si>
    <t>VEliz Marcelo</t>
  </si>
  <si>
    <t>Niño</t>
  </si>
  <si>
    <t>veliz Marcelo</t>
  </si>
  <si>
    <t>NIÑO</t>
  </si>
  <si>
    <t>CUENTA CORRIENTE CLIENTES JUNIO 2026 - SISTEMA</t>
  </si>
  <si>
    <t>CODIGO</t>
  </si>
  <si>
    <t>VENDEDOR</t>
  </si>
  <si>
    <t>NOMBRE</t>
  </si>
  <si>
    <t>SALDO</t>
  </si>
  <si>
    <t>ANDREA</t>
  </si>
  <si>
    <t>CONSUMIDOR FINAL</t>
  </si>
  <si>
    <t>$ 270,088,047.01</t>
  </si>
  <si>
    <t>$ 3.41</t>
  </si>
  <si>
    <t>$ 0.87</t>
  </si>
  <si>
    <t>-$ 348.32</t>
  </si>
  <si>
    <t>$ 999,149.09</t>
  </si>
  <si>
    <t>MANOLO</t>
  </si>
  <si>
    <t>$ 20,760.00</t>
  </si>
  <si>
    <t>$ 1,707,024.49</t>
  </si>
  <si>
    <t>$ 0.00</t>
  </si>
  <si>
    <t>ALVARADO, Olga (Banda)</t>
  </si>
  <si>
    <t>$ 111,604.31</t>
  </si>
  <si>
    <t>$ 231,396.74</t>
  </si>
  <si>
    <t>AUTOSERVICIO  V Y H   (LEON ROUGES)</t>
  </si>
  <si>
    <t>$ 252,675.62</t>
  </si>
  <si>
    <t>ANDRADE LUIS</t>
  </si>
  <si>
    <t>$ 199,210.08</t>
  </si>
  <si>
    <t>$ 1,464,412.20</t>
  </si>
  <si>
    <t>ANDREA M</t>
  </si>
  <si>
    <t>$ 30,604.53</t>
  </si>
  <si>
    <t>$ 40.28</t>
  </si>
  <si>
    <t>ARMANDO (BANDA)</t>
  </si>
  <si>
    <t>$ 86,274.00</t>
  </si>
  <si>
    <t>$ 252,433.78</t>
  </si>
  <si>
    <t>ARON, Jorge (Lules)</t>
  </si>
  <si>
    <t>-$ 9,581.00</t>
  </si>
  <si>
    <t>$ 162,476.45</t>
  </si>
  <si>
    <t>$ 1,290,378.57</t>
  </si>
  <si>
    <t>-$ 0.00</t>
  </si>
  <si>
    <t>$ 658,663.14</t>
  </si>
  <si>
    <t>-$ 0.02</t>
  </si>
  <si>
    <t>$ 384,217.24</t>
  </si>
  <si>
    <t>$ 425,970.49</t>
  </si>
  <si>
    <t>$ 570,681.89</t>
  </si>
  <si>
    <t>-$ 0.01</t>
  </si>
  <si>
    <t>AUTOSERVICIO Andrada  (SIMOCA)</t>
  </si>
  <si>
    <t>$ 1,416,554.22</t>
  </si>
  <si>
    <t>$ 214,375.88</t>
  </si>
  <si>
    <t>$ 791,640.20</t>
  </si>
  <si>
    <t>$ 259,092.61</t>
  </si>
  <si>
    <t>$ 919,798.23</t>
  </si>
  <si>
    <t>$ 912,533.00</t>
  </si>
  <si>
    <t>$ 254,081.25</t>
  </si>
  <si>
    <t>$ 262,745.21</t>
  </si>
  <si>
    <t>$ 913,867.38</t>
  </si>
  <si>
    <t>$ 280,746.22</t>
  </si>
  <si>
    <t>CAMINO, Mario (157)</t>
  </si>
  <si>
    <t>$ 0.14</t>
  </si>
  <si>
    <t>$ 199,274.09</t>
  </si>
  <si>
    <t>CASAL GONZALO</t>
  </si>
  <si>
    <t>-$ 0.03</t>
  </si>
  <si>
    <t>$ 1.13</t>
  </si>
  <si>
    <t>$ 1,358,487.42</t>
  </si>
  <si>
    <t>$ 655,322.18</t>
  </si>
  <si>
    <t>CASTRO EDUARDO</t>
  </si>
  <si>
    <t>$ 63,113.17</t>
  </si>
  <si>
    <t>$ 495,363.71</t>
  </si>
  <si>
    <t>$ 585,677.98</t>
  </si>
  <si>
    <t>$ 815,374.29</t>
  </si>
  <si>
    <t>$ 343,768.95</t>
  </si>
  <si>
    <t>$ 634,773.53</t>
  </si>
  <si>
    <t>DANIEL</t>
  </si>
  <si>
    <t>$ 90,886.38</t>
  </si>
  <si>
    <t>$ 298,040.81</t>
  </si>
  <si>
    <t>$ 113,426.28</t>
  </si>
  <si>
    <t>BARRIONUEVO, Ingrid (Simoca)</t>
  </si>
  <si>
    <t>$ 0.20</t>
  </si>
  <si>
    <t>$ 237,787.18</t>
  </si>
  <si>
    <t>$ 811,278.54</t>
  </si>
  <si>
    <t>$ 236,994.29</t>
  </si>
  <si>
    <t>RODRIGO</t>
  </si>
  <si>
    <t>$ 857,586.89</t>
  </si>
  <si>
    <t>GONZALEZ, Vilma (Lules)</t>
  </si>
  <si>
    <t>$ 0.80</t>
  </si>
  <si>
    <t>$ 5,143,513.68</t>
  </si>
  <si>
    <t>$ 1,036,537.96</t>
  </si>
  <si>
    <t>$ 266,177.60</t>
  </si>
  <si>
    <t>$ 0.37</t>
  </si>
  <si>
    <t>$ 295,000.64</t>
  </si>
  <si>
    <t>-$ 49,127.43</t>
  </si>
  <si>
    <t>$ 180,781.39</t>
  </si>
  <si>
    <t>DISTRI CANIN (Yeba Buena)</t>
  </si>
  <si>
    <t>$ 133,108.47</t>
  </si>
  <si>
    <t>$ 0.01</t>
  </si>
  <si>
    <t>BIMA S.A.S (Concepci¾n)</t>
  </si>
  <si>
    <t>$ 0.72</t>
  </si>
  <si>
    <t>-$ 0.42</t>
  </si>
  <si>
    <t>$ 542,920.97</t>
  </si>
  <si>
    <t>$ 164,946.23</t>
  </si>
  <si>
    <t>$ 187,032.75</t>
  </si>
  <si>
    <t>$ 315,444.17</t>
  </si>
  <si>
    <t>$ 803,621.77</t>
  </si>
  <si>
    <t>ESCOBAR, Javier Jujuy)</t>
  </si>
  <si>
    <t>$ 0.27</t>
  </si>
  <si>
    <t>-$ 5,900.00</t>
  </si>
  <si>
    <t>ESPIN, Ely (Oeste II)</t>
  </si>
  <si>
    <t>$ 0.85</t>
  </si>
  <si>
    <t>$ 493,011.76</t>
  </si>
  <si>
    <t>$ 1,109,771.29</t>
  </si>
  <si>
    <t>$ 320,226.93</t>
  </si>
  <si>
    <t>$ 222,089.60</t>
  </si>
  <si>
    <t>-$ 497.07</t>
  </si>
  <si>
    <t>$ 119,262.64</t>
  </si>
  <si>
    <t>-$ 17,550.00</t>
  </si>
  <si>
    <t>-$ 0.38</t>
  </si>
  <si>
    <t>$ 195,535.69</t>
  </si>
  <si>
    <t>-$ 8,858.03</t>
  </si>
  <si>
    <t>$ 965,073.76</t>
  </si>
  <si>
    <t>$ 707,257.75</t>
  </si>
  <si>
    <t>$ 610,727.90</t>
  </si>
  <si>
    <t>$ 8.38</t>
  </si>
  <si>
    <t>$ 321,281.75</t>
  </si>
  <si>
    <t>CASTILLO, Pancho (157)</t>
  </si>
  <si>
    <t>$ 348,625.00</t>
  </si>
  <si>
    <t>$ 100,219.37</t>
  </si>
  <si>
    <t>$ 519,417.34</t>
  </si>
  <si>
    <t>-$ 4.21</t>
  </si>
  <si>
    <t>$ 99,965.89</t>
  </si>
  <si>
    <t>$ 427,706.42</t>
  </si>
  <si>
    <t>$ 78,449.75</t>
  </si>
  <si>
    <t>$ 409,542.21</t>
  </si>
  <si>
    <t>$ 184,682.12</t>
  </si>
  <si>
    <t>$ 107,705.05</t>
  </si>
  <si>
    <t>$ 113,915.44</t>
  </si>
  <si>
    <t>$ 678,088.78</t>
  </si>
  <si>
    <t>-$ 1.58</t>
  </si>
  <si>
    <t>$ 656,770.66</t>
  </si>
  <si>
    <t>OLIVARES, Luis (Monteros)</t>
  </si>
  <si>
    <t>$ 431,598.72</t>
  </si>
  <si>
    <t>$ 1,980,038.14</t>
  </si>
  <si>
    <t>$ 716,965.70</t>
  </si>
  <si>
    <t>JORGELINA</t>
  </si>
  <si>
    <t>$ 38,351.00</t>
  </si>
  <si>
    <t>$ 8.40</t>
  </si>
  <si>
    <t>JULIO</t>
  </si>
  <si>
    <t>$ 28,967.00</t>
  </si>
  <si>
    <t>$ 317,523.67</t>
  </si>
  <si>
    <t>$ 184,672.66</t>
  </si>
  <si>
    <t>$ 426,327.96</t>
  </si>
  <si>
    <t>$ 555,235.72</t>
  </si>
  <si>
    <t>$ 227,247.39</t>
  </si>
  <si>
    <t>$ 1.03</t>
  </si>
  <si>
    <t>ROSEDO, Guillermo (Acheral)</t>
  </si>
  <si>
    <t>$ 744,048.14</t>
  </si>
  <si>
    <t>$ 0.43</t>
  </si>
  <si>
    <t>$ 2,204,099.63</t>
  </si>
  <si>
    <t>$ 675,316.71</t>
  </si>
  <si>
    <t>$ 1,060,894.34</t>
  </si>
  <si>
    <t>$ 143,468.94</t>
  </si>
  <si>
    <t>$ 433,649.48</t>
  </si>
  <si>
    <t>MARCELO</t>
  </si>
  <si>
    <t>$ 135,254.00</t>
  </si>
  <si>
    <t>-$ 604.50</t>
  </si>
  <si>
    <t>$ 401,299.84</t>
  </si>
  <si>
    <t>-$ 598.71</t>
  </si>
  <si>
    <t>MAURO (BANDA)</t>
  </si>
  <si>
    <t>$ 46,670.80</t>
  </si>
  <si>
    <t>,</t>
  </si>
  <si>
    <t>$ 436,764.34</t>
  </si>
  <si>
    <t>$ 110,556.28</t>
  </si>
  <si>
    <t>$ 372,014.86</t>
  </si>
  <si>
    <t>$ 311,275.39</t>
  </si>
  <si>
    <t>MATIAS</t>
  </si>
  <si>
    <t>$ 2,976.32</t>
  </si>
  <si>
    <t>$ 51,295.22</t>
  </si>
  <si>
    <t>$ 1.70</t>
  </si>
  <si>
    <t>GRAMAJO, Laura  (Monteros)</t>
  </si>
  <si>
    <t>$ 253,871.26</t>
  </si>
  <si>
    <t>$ 664,151.60</t>
  </si>
  <si>
    <t>PEPE OBRA</t>
  </si>
  <si>
    <t>$ 20,584.38</t>
  </si>
  <si>
    <t>$ 532,638.40</t>
  </si>
  <si>
    <t>$ 854,047.83</t>
  </si>
  <si>
    <t>$ 0.53</t>
  </si>
  <si>
    <t>$ 87,609.61</t>
  </si>
  <si>
    <t>NESTOR</t>
  </si>
  <si>
    <t>$ 25,421.00</t>
  </si>
  <si>
    <t>NIÐO</t>
  </si>
  <si>
    <t>$ 63,922.00</t>
  </si>
  <si>
    <t>HADAD, Alfredo (Yerba Buena)</t>
  </si>
  <si>
    <t>$ 4.32</t>
  </si>
  <si>
    <t>$ 0.47</t>
  </si>
  <si>
    <t>$ 1.57</t>
  </si>
  <si>
    <t>DANIEL PORTERO</t>
  </si>
  <si>
    <t>$ 10,618.00</t>
  </si>
  <si>
    <t>-$ 251.97</t>
  </si>
  <si>
    <t>OBEID, Maxi (Famaillß)</t>
  </si>
  <si>
    <t>$ 301.68</t>
  </si>
  <si>
    <t>$ 3,392,610.62</t>
  </si>
  <si>
    <t>ORDOÐEZ WALTER</t>
  </si>
  <si>
    <t>$ 147,600.00</t>
  </si>
  <si>
    <t>$ 0.52</t>
  </si>
  <si>
    <t>PABLO BRANDAN</t>
  </si>
  <si>
    <t>$ 115,471.00</t>
  </si>
  <si>
    <t>$ 1,089,907.75</t>
  </si>
  <si>
    <t>$ 867,550.21</t>
  </si>
  <si>
    <t>$ 417,239.28</t>
  </si>
  <si>
    <t>$ 669,689.68</t>
  </si>
  <si>
    <t>$ 640,801.54</t>
  </si>
  <si>
    <t>PETERSEN, Cristian (Oeste II)</t>
  </si>
  <si>
    <t>$ 286,808.97</t>
  </si>
  <si>
    <t>$ 976,629.45</t>
  </si>
  <si>
    <t>$ 256,631.84</t>
  </si>
  <si>
    <t>$ 454,119.09</t>
  </si>
  <si>
    <t>$ 158,025.61</t>
  </si>
  <si>
    <t>$ 181,104.00</t>
  </si>
  <si>
    <t>RIVAS, Juan (Aguilares)</t>
  </si>
  <si>
    <t>$ 300,000.00</t>
  </si>
  <si>
    <t>ROBLES MIGUEL</t>
  </si>
  <si>
    <t>$ 8,183.00</t>
  </si>
  <si>
    <t>$ 151,093.50</t>
  </si>
  <si>
    <t>$ 1,245,048.07</t>
  </si>
  <si>
    <t>$ 1,429,294.18</t>
  </si>
  <si>
    <t>$ 259,361.93</t>
  </si>
  <si>
    <t>$ 0.98</t>
  </si>
  <si>
    <t>SAN JUAN</t>
  </si>
  <si>
    <t>$ 1,716,211.08</t>
  </si>
  <si>
    <t>$ 0.69</t>
  </si>
  <si>
    <t>$ 124,559.89</t>
  </si>
  <si>
    <t>SEBA</t>
  </si>
  <si>
    <t>$ 86,195.00</t>
  </si>
  <si>
    <t>SEGUER, Viviana (Centro)</t>
  </si>
  <si>
    <t>$ 949,345.84</t>
  </si>
  <si>
    <t>SEMILLERO EL MANANTIAL BRS</t>
  </si>
  <si>
    <t>$ 14,393,715.96</t>
  </si>
  <si>
    <t>SERGIO (CHIVO)</t>
  </si>
  <si>
    <t>$ 96,479.00</t>
  </si>
  <si>
    <t>$ 2,582,312.89</t>
  </si>
  <si>
    <t>SORIA MARCELO (Leon Rouges)</t>
  </si>
  <si>
    <t>$ 3,600.10</t>
  </si>
  <si>
    <t>$ 274,863.22</t>
  </si>
  <si>
    <t>$ 112,633.47</t>
  </si>
  <si>
    <t>$ 250,971.08</t>
  </si>
  <si>
    <t>SUSANA</t>
  </si>
  <si>
    <t>$ 5,150.00</t>
  </si>
  <si>
    <t>$ 145,799.03</t>
  </si>
  <si>
    <t>$ 337,591.61</t>
  </si>
  <si>
    <t>$ 256,635.13</t>
  </si>
  <si>
    <t>-$ 1,997.22</t>
  </si>
  <si>
    <t>VARELA, Benito (Y. B)</t>
  </si>
  <si>
    <t>$ 0.90</t>
  </si>
  <si>
    <t>$ 10.56</t>
  </si>
  <si>
    <t>$ 123,600.51</t>
  </si>
  <si>
    <t>-$ 2.65</t>
  </si>
  <si>
    <t>$ 334,958.98</t>
  </si>
  <si>
    <t>$ 400,874.63</t>
  </si>
  <si>
    <t>$ 222,020.95</t>
  </si>
  <si>
    <t>$ 0.95</t>
  </si>
  <si>
    <t>VICTOR</t>
  </si>
  <si>
    <t>$ 25,575.00</t>
  </si>
  <si>
    <t>FORRAJERIA Huellitas (Concepci¾n)</t>
  </si>
  <si>
    <t>$ 1,077,874.59</t>
  </si>
  <si>
    <t>-$ 993.31</t>
  </si>
  <si>
    <t>$ 7,854,962.12</t>
  </si>
  <si>
    <t>-$ 2,610.33</t>
  </si>
  <si>
    <t>$ 0.33</t>
  </si>
  <si>
    <t>$ 596,798.39</t>
  </si>
  <si>
    <t>$ 1,833,839.25</t>
  </si>
  <si>
    <t>$ 1,314,138.63</t>
  </si>
  <si>
    <t>$ 116,188.15</t>
  </si>
  <si>
    <t>$ 95,338.57</t>
  </si>
  <si>
    <t>$ 276,327.74</t>
  </si>
  <si>
    <t>$ 161,629.58</t>
  </si>
  <si>
    <t>$ 3.22</t>
  </si>
  <si>
    <t>$ 512,167.55</t>
  </si>
  <si>
    <t>$ 0.10</t>
  </si>
  <si>
    <t>LEDESMA, Carlos (Simoca)</t>
  </si>
  <si>
    <t>$ 0.26</t>
  </si>
  <si>
    <t>$ 468,178.84</t>
  </si>
  <si>
    <t>$ 779,224.07</t>
  </si>
  <si>
    <t>$ 1.68</t>
  </si>
  <si>
    <t>-$ 17,783.00</t>
  </si>
  <si>
    <t>$ 119,131.91</t>
  </si>
  <si>
    <t>$ 0.04</t>
  </si>
  <si>
    <t>$ 559,130.77</t>
  </si>
  <si>
    <t>$ 1,550,760.49</t>
  </si>
  <si>
    <t>$ 347,998.22</t>
  </si>
  <si>
    <t>$ 146,517.02</t>
  </si>
  <si>
    <t>$ 0.40</t>
  </si>
  <si>
    <t>-$ 17,743.00</t>
  </si>
  <si>
    <t>DONET</t>
  </si>
  <si>
    <t>$ 2,872,437.74</t>
  </si>
  <si>
    <t>ANTONELLA</t>
  </si>
  <si>
    <t>$ 54,183.10</t>
  </si>
  <si>
    <t>$ 2,326,347.30</t>
  </si>
  <si>
    <t>$ 2.81</t>
  </si>
  <si>
    <t>MORENO, MarÝa JosÚ (Villa Quinteros)</t>
  </si>
  <si>
    <t>$ 0.88</t>
  </si>
  <si>
    <t>-$ 3,206.36</t>
  </si>
  <si>
    <t>$ 148,139.09</t>
  </si>
  <si>
    <t>PALACIOS RODOLFO</t>
  </si>
  <si>
    <t>$ 471,810.78</t>
  </si>
  <si>
    <t>$ 137,059.38</t>
  </si>
  <si>
    <t>COSSIO (WALTER)</t>
  </si>
  <si>
    <t>$ 200.00</t>
  </si>
  <si>
    <t>$ 100,822.83</t>
  </si>
  <si>
    <t>$ 229,390.75</t>
  </si>
  <si>
    <t>MENTESANA, Enzo</t>
  </si>
  <si>
    <t>$ 21,649,102.64</t>
  </si>
  <si>
    <t>$ 2,789,250.57</t>
  </si>
  <si>
    <t>FORRAJERIA, Gramajo (Lules)</t>
  </si>
  <si>
    <t>$ 232,722.16</t>
  </si>
  <si>
    <t>GOMEZ, Osvaldo (Las Talitas)</t>
  </si>
  <si>
    <t>$ 411,657.67</t>
  </si>
  <si>
    <t>REIDEN, Carin (Rio Seco)</t>
  </si>
  <si>
    <t>$ 161,005.18</t>
  </si>
  <si>
    <t>-$ 1.30</t>
  </si>
  <si>
    <t>FORRAJERIA Los Mellis (Yerba Buena)</t>
  </si>
  <si>
    <t>FALCO, Diego Suc II  (Oeste II)</t>
  </si>
  <si>
    <t>$ 44,279.29</t>
  </si>
  <si>
    <t>$ 39,571.97</t>
  </si>
  <si>
    <t>$ 490,498.89</t>
  </si>
  <si>
    <t>$ 0.60</t>
  </si>
  <si>
    <t>$ 363,669.05</t>
  </si>
  <si>
    <t>BRIAN ISCARA</t>
  </si>
  <si>
    <t>$ 132,080.00</t>
  </si>
  <si>
    <t>-$ 266.48</t>
  </si>
  <si>
    <t>-$ 1,073.82</t>
  </si>
  <si>
    <t>HERRERA, Zulma (Leales)</t>
  </si>
  <si>
    <t>$ 93,713.44</t>
  </si>
  <si>
    <t>$ 1.94</t>
  </si>
  <si>
    <t>$ 786,321.07</t>
  </si>
  <si>
    <t>POCHI Daniel (OrBor)</t>
  </si>
  <si>
    <t>$ 13,230.12</t>
  </si>
  <si>
    <t>GIJON, Tamara (Los Ralos)</t>
  </si>
  <si>
    <t>$ 0.07</t>
  </si>
  <si>
    <t>$ 1.07</t>
  </si>
  <si>
    <t>$ 0.66</t>
  </si>
  <si>
    <t>SUPER Ladela (Simoca)</t>
  </si>
  <si>
    <t>$ 0.79</t>
  </si>
  <si>
    <t>$ 1.09</t>
  </si>
  <si>
    <t>$ 949,130.73</t>
  </si>
  <si>
    <t>MANTARAS PALIZA, Federico</t>
  </si>
  <si>
    <t>$ 0.46</t>
  </si>
  <si>
    <t>$ 1,592,555.58</t>
  </si>
  <si>
    <t>GUSTAVO VENDRAMINI</t>
  </si>
  <si>
    <t>$ 824,335.65</t>
  </si>
  <si>
    <t>$ 233,308.50</t>
  </si>
  <si>
    <t>FORRAJERIA CHOC (Yerba Buena)</t>
  </si>
  <si>
    <t>$ 260,203.29</t>
  </si>
  <si>
    <t>$ 0.39</t>
  </si>
  <si>
    <t>$ 50.84</t>
  </si>
  <si>
    <t>$ 297,715.91</t>
  </si>
  <si>
    <t>$ 1.86</t>
  </si>
  <si>
    <t>GOMEZ, Maxi (Concepcion)</t>
  </si>
  <si>
    <t>$ 170,991.39</t>
  </si>
  <si>
    <t>-$ 5,402.70</t>
  </si>
  <si>
    <t>ACOSTA, Jesus (Lules)</t>
  </si>
  <si>
    <t>-$ 5,100.20</t>
  </si>
  <si>
    <t>GRAMAJO, Lucas (Lules)</t>
  </si>
  <si>
    <t>$ 278,061.15</t>
  </si>
  <si>
    <t>FORRAJERIA Mateo  (Banda)</t>
  </si>
  <si>
    <t>$ 477,953.99</t>
  </si>
  <si>
    <t>GIACOSA Y CIA SRL</t>
  </si>
  <si>
    <t>$ 198,479.13</t>
  </si>
  <si>
    <t>JULIO CTA CTE 01/4</t>
  </si>
  <si>
    <t/>
  </si>
  <si>
    <t>FECHA</t>
  </si>
  <si>
    <t xml:space="preserve">CLIENTE </t>
  </si>
  <si>
    <t>SDO S/ CARP</t>
  </si>
  <si>
    <t>SDO S/ SIST</t>
  </si>
  <si>
    <t>DIF</t>
  </si>
  <si>
    <t>SDO S/ sist</t>
  </si>
  <si>
    <t>s/ carp</t>
  </si>
  <si>
    <t>dif</t>
  </si>
  <si>
    <t>CANO ALEJANDRA</t>
  </si>
  <si>
    <t>SARAVIA LAURA</t>
  </si>
  <si>
    <t>BRABE MANUEL</t>
  </si>
  <si>
    <t>CORDOBA DAVID</t>
  </si>
  <si>
    <t>PEDRAZA SERGIO</t>
  </si>
  <si>
    <t>PEREZ HERNAN</t>
  </si>
  <si>
    <t>MANTARAS MARIANO</t>
  </si>
  <si>
    <t>FERNANDEZ DANIEL</t>
  </si>
  <si>
    <t>GONZALEZ GONZALO</t>
  </si>
  <si>
    <t>MARTIN MARCELO</t>
  </si>
  <si>
    <t>MARTINEZ JOSE</t>
  </si>
  <si>
    <t>SORIA ROSARIO</t>
  </si>
  <si>
    <t>VELEZ MARCOS</t>
  </si>
  <si>
    <t>FORRAJERIA GRAMAJO</t>
  </si>
  <si>
    <t>SILVA PATRICIA</t>
  </si>
  <si>
    <t>COCO FORRAJERIA</t>
  </si>
  <si>
    <t>VILLALBA IRIS</t>
  </si>
  <si>
    <t>DARIUS DARIO</t>
  </si>
  <si>
    <t>GONZALEZ MARIA CRISTINA</t>
  </si>
  <si>
    <t>OVIEDO PABLO</t>
  </si>
  <si>
    <t>PAZ VANESA</t>
  </si>
  <si>
    <t>SEGUER VIVIANA</t>
  </si>
  <si>
    <t>COSTILLA CLAUDIA</t>
  </si>
  <si>
    <t>FORRAJERIA MATEO</t>
  </si>
  <si>
    <t>PAZ MARIA</t>
  </si>
  <si>
    <t>REYNOSO ROBERTO</t>
  </si>
  <si>
    <t>FILGUEIRAS MARIA</t>
  </si>
  <si>
    <t>FORRAJERIA CHOC</t>
  </si>
  <si>
    <t>MARTIN FACUNDO</t>
  </si>
  <si>
    <t>DISTRI CANIN</t>
  </si>
  <si>
    <t>CORDOBA MARCELO</t>
  </si>
  <si>
    <t>FORRAJERIA ORDOÑEZ</t>
  </si>
  <si>
    <t>RUIZ MARIA</t>
  </si>
  <si>
    <t>AMADO GRACIELA</t>
  </si>
  <si>
    <t>CORDOBA CARLOS</t>
  </si>
  <si>
    <t xml:space="preserve">ERAZO VICTOR </t>
  </si>
  <si>
    <t>FORRAJERIA HUELLITAS</t>
  </si>
  <si>
    <t>MARQUEZ CAROLINA</t>
  </si>
  <si>
    <t>VEGAS DAVID</t>
  </si>
  <si>
    <t>ALVAREZ MATIAS</t>
  </si>
  <si>
    <t>ARTAZA ROMINA</t>
  </si>
  <si>
    <t xml:space="preserve">EL ESTABLO </t>
  </si>
  <si>
    <t>EL GAUCHO</t>
  </si>
  <si>
    <t>LOPEZ DANIEL</t>
  </si>
  <si>
    <t>TALAMAZZI FABIO</t>
  </si>
  <si>
    <t>GOMEZ FABIAN</t>
  </si>
  <si>
    <t>MARCELO CTA CTE 30/05</t>
  </si>
  <si>
    <t>SALVATIERRA ROMINA</t>
  </si>
  <si>
    <t>SARACHO JONATHAN</t>
  </si>
  <si>
    <t>ROSEDO GUILLERMO</t>
  </si>
  <si>
    <t>GOMEZ MAXI</t>
  </si>
  <si>
    <t>MAZZONE MARIA</t>
  </si>
  <si>
    <t>PEREZ PEDRO</t>
  </si>
  <si>
    <t>ANDRADES</t>
  </si>
  <si>
    <t>DIAZ ALFREDO</t>
  </si>
  <si>
    <t>NARCHER PAMELA</t>
  </si>
  <si>
    <t xml:space="preserve">BUSTOS RAFAEL </t>
  </si>
  <si>
    <t>DIAZ ARIEL</t>
  </si>
  <si>
    <t>GONZALEZ FACUNDO</t>
  </si>
  <si>
    <t>LOBO IGNACIO</t>
  </si>
  <si>
    <t>ARRIETA YAQUELIN</t>
  </si>
  <si>
    <t>AUN NICOLAS</t>
  </si>
  <si>
    <t>LOGARZO JOSE</t>
  </si>
  <si>
    <t>LUNA DIANA</t>
  </si>
  <si>
    <t xml:space="preserve">AVILA SERGIO </t>
  </si>
  <si>
    <t>BALBOA ROQUE</t>
  </si>
  <si>
    <t xml:space="preserve">BRITO BRAHIAN </t>
  </si>
  <si>
    <t>MERCADO OSVALDO</t>
  </si>
  <si>
    <t>CHAHLE MARCOS</t>
  </si>
  <si>
    <t>GONZALEZ JUAN DAVID</t>
  </si>
  <si>
    <t>HERRERA ZULMA</t>
  </si>
  <si>
    <t>QUIPILDOR MIGUEL</t>
  </si>
  <si>
    <t>ROMANO DEBORA</t>
  </si>
  <si>
    <t>IBRAHIM ZULEMA</t>
  </si>
  <si>
    <t>JUAREZ FEDERICO</t>
  </si>
  <si>
    <t xml:space="preserve">URUEÑA FRANCISCO </t>
  </si>
  <si>
    <t xml:space="preserve">MONTERO FERNANDO </t>
  </si>
  <si>
    <t xml:space="preserve">FIGUEROA ENZO </t>
  </si>
  <si>
    <t>OBEID LAUTARO</t>
  </si>
  <si>
    <t>RENGEL FERNANDO</t>
  </si>
  <si>
    <t>BUSTOS LUIS</t>
  </si>
  <si>
    <t>BUSTOS ROBERTO</t>
  </si>
  <si>
    <t xml:space="preserve">DANDE MARIA </t>
  </si>
  <si>
    <t xml:space="preserve">DECIMA DIEGO </t>
  </si>
  <si>
    <t>IBAÑEZ NANCY</t>
  </si>
  <si>
    <t>MEJIAS NESTOR</t>
  </si>
  <si>
    <t>LOPEZ JAVIER</t>
  </si>
  <si>
    <t>OLIVARES LUIS</t>
  </si>
  <si>
    <t xml:space="preserve">JACOBO ALVARO </t>
  </si>
  <si>
    <t>ARON DAVID</t>
  </si>
  <si>
    <t>GRAMAJO LUCAS</t>
  </si>
  <si>
    <t>HERRERA MAXI</t>
  </si>
  <si>
    <t>SUPERMERCADO SERANIL</t>
  </si>
  <si>
    <t>VARGAS CINTIA</t>
  </si>
  <si>
    <t>ANDREA CTA CTE 30/5</t>
  </si>
  <si>
    <t>2*/05</t>
  </si>
  <si>
    <t>ANTONIO</t>
  </si>
  <si>
    <t>DANTE</t>
  </si>
  <si>
    <t>FEDERICO ORDOÑEZ</t>
  </si>
  <si>
    <t>GIULIANO</t>
  </si>
  <si>
    <t>GRAMAJO LAURA</t>
  </si>
  <si>
    <t>GUSTAVO</t>
  </si>
  <si>
    <t>JO</t>
  </si>
  <si>
    <t>PABLO</t>
  </si>
  <si>
    <t>RUIZ NADIA</t>
  </si>
  <si>
    <t>SERGIO</t>
  </si>
  <si>
    <t>SUAREZ LUIS</t>
  </si>
  <si>
    <t xml:space="preserve">WALTER </t>
  </si>
  <si>
    <t>SEBA CTA CTE 30/05</t>
  </si>
  <si>
    <t>DIAZ ABRAHAM</t>
  </si>
  <si>
    <t>BEJAS DIEGO</t>
  </si>
  <si>
    <t>GRAMAJO MARIA CONSTANZA</t>
  </si>
  <si>
    <t>BUSTOS SEBASTIAN</t>
  </si>
  <si>
    <t>FIORENZA GUSTAVO</t>
  </si>
  <si>
    <t>SORIA ROSALIA</t>
  </si>
  <si>
    <t>EL JATIB</t>
  </si>
  <si>
    <t>HARO TRINIDAD</t>
  </si>
  <si>
    <t>ELIAS JORGE</t>
  </si>
  <si>
    <t>ESPINOZA ALEXIS</t>
  </si>
  <si>
    <t>ESTRADA VICTOR</t>
  </si>
  <si>
    <t>LAVAQUE NIEVES</t>
  </si>
  <si>
    <t>EL CEBILAR</t>
  </si>
  <si>
    <t>HERRERA FERNANDO</t>
  </si>
  <si>
    <t>ISLA VERDE</t>
  </si>
  <si>
    <t>NAVARRO ANDREA</t>
  </si>
  <si>
    <t>PASTERIS LUIS</t>
  </si>
  <si>
    <t>GIACOSA</t>
  </si>
  <si>
    <t>BUSTOS CESAR</t>
  </si>
  <si>
    <t>BUSTOS MARIA</t>
  </si>
  <si>
    <t>DIAZ ROSA</t>
  </si>
  <si>
    <t>AUAD MARIANA</t>
  </si>
  <si>
    <t>BEJAS MATIAS</t>
  </si>
  <si>
    <t>EL CEIBAL</t>
  </si>
  <si>
    <t>FERNANDEZ LUCAS</t>
  </si>
  <si>
    <t>RAMIREZ MATIAS</t>
  </si>
  <si>
    <t>GIMENEZ ROMINA</t>
  </si>
  <si>
    <t>BUSTOS JAVIER</t>
  </si>
  <si>
    <t>GOMEZ OSVALDO</t>
  </si>
  <si>
    <t xml:space="preserve">IBAÑEZ NAHUEL </t>
  </si>
  <si>
    <t>OTTONELLI LUCAS</t>
  </si>
  <si>
    <t>REYES ROLDAN JULIETA</t>
  </si>
  <si>
    <t>ROCHA SILVIA</t>
  </si>
  <si>
    <t>SIR VICTOR</t>
  </si>
  <si>
    <t>VIOJO ESTEBAN</t>
  </si>
  <si>
    <t>BRIAN CTA CTE 30/05</t>
  </si>
  <si>
    <t>MORENO JOSE MARIA</t>
  </si>
  <si>
    <t>VICENTE JOSE</t>
  </si>
  <si>
    <t>DIP EZEQUIEL</t>
  </si>
  <si>
    <t>BAZAN DIEGO</t>
  </si>
  <si>
    <t>CABRERA ROQUE</t>
  </si>
  <si>
    <t>AUTOSERVICIO ANDRADA</t>
  </si>
  <si>
    <t>SUPERHERRERA</t>
  </si>
  <si>
    <t>AUTOSERVICIO NFAMILY</t>
  </si>
  <si>
    <t>CEREALES Y LEGUMBRES</t>
  </si>
  <si>
    <t>EL PICANTE</t>
  </si>
  <si>
    <t>MONESTEROLO MERCEDES</t>
  </si>
  <si>
    <t>CASTILLO PANCHO</t>
  </si>
  <si>
    <t xml:space="preserve">GOMEZ ANGEL </t>
  </si>
  <si>
    <t>HERRERA SILVIO</t>
  </si>
  <si>
    <t>SUPER EMANUEL</t>
  </si>
  <si>
    <t>AUTOSERVICIO VYH</t>
  </si>
  <si>
    <t>DANUN JUAN</t>
  </si>
  <si>
    <t>MINISERVICIO LAURA</t>
  </si>
  <si>
    <t>SANCHEZ TELLO</t>
  </si>
  <si>
    <t>DARWICH MARIELA</t>
  </si>
  <si>
    <t>GIMENEZ CECILIA</t>
  </si>
  <si>
    <t>HERNANDEZ EMILSE</t>
  </si>
  <si>
    <t>MAYORISTA REYES</t>
  </si>
  <si>
    <t>RADINO SUSANA</t>
  </si>
  <si>
    <t>SUPER DEYUV</t>
  </si>
  <si>
    <t>CARDENAS WALTER</t>
  </si>
  <si>
    <t>CEREALES SAN VICENTE</t>
  </si>
  <si>
    <t>JIMENEZ JOSE LEANDRO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</si>
</sst>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 $]#,##0.00"/>
    <numFmt numFmtId="166" formatCode="d/m"/>
    <numFmt numFmtId="167" formatCode="dd/mm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6.0"/>
      <color theme="1"/>
      <name val="Montserrat"/>
    </font>
    <font/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Montserrat"/>
    </font>
    <font>
      <b/>
      <sz val="11.0"/>
      <color theme="1"/>
      <name val="Nunito"/>
    </font>
    <font>
      <color theme="1"/>
      <name val="Nunito"/>
    </font>
    <font>
      <color theme="1"/>
      <name val="Montserrat"/>
    </font>
    <font>
      <b/>
      <sz val="13.0"/>
      <color theme="1"/>
      <name val="Montserrat"/>
    </font>
    <font>
      <b/>
      <sz val="11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4" numFmtId="0" xfId="0" applyBorder="1" applyFont="1"/>
    <xf borderId="3" fillId="0" fontId="4" numFmtId="0" xfId="0" applyBorder="1" applyFont="1"/>
    <xf borderId="4" fillId="0" fontId="3" numFmtId="1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164" xfId="0" applyAlignment="1" applyBorder="1" applyFont="1" applyNumberFormat="1">
      <alignment horizontal="right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7" numFmtId="164" xfId="0" applyAlignment="1" applyBorder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1"/>
    </xf>
    <xf quotePrefix="1" borderId="0" fillId="0" fontId="2" numFmtId="0" xfId="0" applyAlignment="1" applyFont="1">
      <alignment readingOrder="0"/>
    </xf>
    <xf borderId="5" fillId="3" fontId="8" numFmtId="0" xfId="0" applyAlignment="1" applyBorder="1" applyFill="1" applyFont="1">
      <alignment horizontal="center" readingOrder="0" vertical="bottom"/>
    </xf>
    <xf borderId="6" fillId="3" fontId="8" numFmtId="0" xfId="0" applyAlignment="1" applyBorder="1" applyFont="1">
      <alignment horizontal="center" vertical="bottom"/>
    </xf>
    <xf borderId="6" fillId="3" fontId="8" numFmtId="164" xfId="0" applyAlignment="1" applyBorder="1" applyFont="1" applyNumberFormat="1">
      <alignment horizontal="center" readingOrder="0" vertical="bottom"/>
    </xf>
    <xf borderId="4" fillId="3" fontId="2" numFmtId="0" xfId="0" applyAlignment="1" applyBorder="1" applyFont="1">
      <alignment readingOrder="0"/>
    </xf>
    <xf borderId="0" fillId="3" fontId="2" numFmtId="0" xfId="0" applyFont="1"/>
    <xf borderId="0" fillId="3" fontId="2" numFmtId="0" xfId="0" applyAlignment="1" applyFont="1">
      <alignment readingOrder="0"/>
    </xf>
    <xf borderId="4" fillId="3" fontId="9" numFmtId="166" xfId="0" applyAlignment="1" applyBorder="1" applyFont="1" applyNumberFormat="1">
      <alignment horizontal="center" readingOrder="0"/>
    </xf>
    <xf borderId="4" fillId="3" fontId="10" numFmtId="0" xfId="0" applyAlignment="1" applyBorder="1" applyFont="1">
      <alignment readingOrder="0"/>
    </xf>
    <xf borderId="4" fillId="3" fontId="9" numFmtId="164" xfId="0" applyAlignment="1" applyBorder="1" applyFont="1" applyNumberFormat="1">
      <alignment readingOrder="0"/>
    </xf>
    <xf borderId="4" fillId="3" fontId="2" numFmtId="0" xfId="0" applyBorder="1" applyFont="1"/>
    <xf borderId="0" fillId="3" fontId="6" numFmtId="0" xfId="0" applyAlignment="1" applyFont="1">
      <alignment readingOrder="0" shrinkToFit="0" vertical="bottom" wrapText="0"/>
    </xf>
    <xf borderId="0" fillId="3" fontId="6" numFmtId="164" xfId="0" applyAlignment="1" applyFont="1" applyNumberFormat="1">
      <alignment horizontal="right" readingOrder="0" shrinkToFit="0" vertical="bottom" wrapText="0"/>
    </xf>
    <xf borderId="0" fillId="3" fontId="2" numFmtId="4" xfId="0" applyFont="1" applyNumberFormat="1"/>
    <xf borderId="4" fillId="3" fontId="9" numFmtId="166" xfId="0" applyAlignment="1" applyBorder="1" applyFont="1" applyNumberFormat="1">
      <alignment readingOrder="0"/>
    </xf>
    <xf borderId="0" fillId="3" fontId="9" numFmtId="0" xfId="0" applyFont="1"/>
    <xf borderId="0" fillId="3" fontId="9" numFmtId="164" xfId="0" applyFont="1" applyNumberFormat="1"/>
    <xf borderId="1" fillId="3" fontId="8" numFmtId="0" xfId="0" applyAlignment="1" applyBorder="1" applyFont="1">
      <alignment horizontal="center" readingOrder="0" shrinkToFit="0" vertical="bottom" wrapText="1"/>
    </xf>
    <xf borderId="5" fillId="3" fontId="8" numFmtId="0" xfId="0" applyAlignment="1" applyBorder="1" applyFont="1">
      <alignment horizontal="center" vertical="bottom"/>
    </xf>
    <xf borderId="6" fillId="3" fontId="8" numFmtId="165" xfId="0" applyAlignment="1" applyBorder="1" applyFont="1" applyNumberFormat="1">
      <alignment horizontal="center" readingOrder="0" vertical="bottom"/>
    </xf>
    <xf borderId="4" fillId="3" fontId="9" numFmtId="0" xfId="0" applyAlignment="1" applyBorder="1" applyFont="1">
      <alignment readingOrder="0"/>
    </xf>
    <xf borderId="4" fillId="3" fontId="9" numFmtId="167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readingOrder="0" shrinkToFit="0" vertical="bottom" wrapText="1"/>
    </xf>
    <xf borderId="4" fillId="0" fontId="2" numFmtId="0" xfId="0" applyBorder="1" applyFont="1"/>
    <xf borderId="0" fillId="3" fontId="9" numFmtId="166" xfId="0" applyAlignment="1" applyFont="1" applyNumberFormat="1">
      <alignment horizontal="center" readingOrder="0"/>
    </xf>
    <xf borderId="0" fillId="3" fontId="9" numFmtId="164" xfId="0" applyAlignment="1" applyFont="1" applyNumberFormat="1">
      <alignment readingOrder="0"/>
    </xf>
    <xf borderId="0" fillId="4" fontId="9" numFmtId="166" xfId="0" applyAlignment="1" applyFill="1" applyFont="1" applyNumberFormat="1">
      <alignment horizontal="center" readingOrder="0"/>
    </xf>
    <xf borderId="0" fillId="4" fontId="9" numFmtId="164" xfId="0" applyAlignment="1" applyFont="1" applyNumberFormat="1">
      <alignment readingOrder="0"/>
    </xf>
    <xf borderId="0" fillId="4" fontId="2" numFmtId="0" xfId="0" applyFont="1"/>
    <xf borderId="0" fillId="4" fontId="9" numFmtId="0" xfId="0" applyAlignment="1" applyFont="1">
      <alignment horizontal="center" readingOrder="0"/>
    </xf>
    <xf borderId="0" fillId="0" fontId="9" numFmtId="0" xfId="0" applyFont="1"/>
    <xf borderId="1" fillId="0" fontId="11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6" fillId="0" fontId="12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4" fillId="3" fontId="10" numFmtId="0" xfId="0" applyAlignment="1" applyBorder="1" applyFont="1">
      <alignment horizontal="center" readingOrder="0"/>
    </xf>
    <xf borderId="4" fillId="3" fontId="10" numFmtId="164" xfId="0" applyAlignment="1" applyBorder="1" applyFont="1" applyNumberFormat="1">
      <alignment readingOrder="0"/>
    </xf>
    <xf borderId="4" fillId="3" fontId="10" numFmtId="167" xfId="0" applyAlignment="1" applyBorder="1" applyFont="1" applyNumberFormat="1">
      <alignment horizontal="center" readingOrder="0"/>
    </xf>
    <xf borderId="4" fillId="3" fontId="10" numFmtId="165" xfId="0" applyAlignment="1" applyBorder="1" applyFont="1" applyNumberFormat="1">
      <alignment readingOrder="0"/>
    </xf>
    <xf borderId="0" fillId="0" fontId="12" numFmtId="164" xfId="0" applyAlignment="1" applyFont="1" applyNumberFormat="1">
      <alignment horizontal="center" vertical="bottom"/>
    </xf>
    <xf borderId="0" fillId="3" fontId="10" numFmtId="0" xfId="0" applyFont="1"/>
    <xf borderId="1" fillId="0" fontId="12" numFmtId="0" xfId="0" applyAlignment="1" applyBorder="1" applyFont="1">
      <alignment horizontal="center" readingOrder="0" shrinkToFit="0" vertical="bottom" wrapText="1"/>
    </xf>
    <xf borderId="6" fillId="0" fontId="12" numFmtId="164" xfId="0" applyAlignment="1" applyBorder="1" applyFont="1" applyNumberFormat="1">
      <alignment horizontal="center" vertical="bottom"/>
    </xf>
    <xf borderId="4" fillId="0" fontId="10" numFmtId="166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readingOrder="0"/>
    </xf>
    <xf borderId="0" fillId="0" fontId="10" numFmtId="0" xfId="0" applyFont="1"/>
    <xf borderId="0" fillId="0" fontId="10" numFmtId="164" xfId="0" applyFont="1" applyNumberFormat="1"/>
    <xf borderId="4" fillId="0" fontId="10" numFmtId="166" xfId="0" applyAlignment="1" applyBorder="1" applyFont="1" applyNumberFormat="1">
      <alignment readingOrder="0"/>
    </xf>
    <xf borderId="4" fillId="0" fontId="10" numFmtId="164" xfId="0" applyAlignment="1" applyBorder="1" applyFont="1" applyNumberFormat="1">
      <alignment readingOrder="0"/>
    </xf>
    <xf borderId="4" fillId="0" fontId="10" numFmtId="0" xfId="0" applyAlignment="1" applyBorder="1" applyFont="1">
      <alignment horizontal="center" readingOrder="0"/>
    </xf>
    <xf borderId="0" fillId="0" fontId="10" numFmtId="166" xfId="0" applyAlignment="1" applyFont="1" applyNumberFormat="1">
      <alignment horizontal="center" readingOrder="0"/>
    </xf>
    <xf borderId="0" fillId="0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</cols>
  <sheetData>
    <row r="1">
      <c r="A1" s="1"/>
      <c r="B1" s="1"/>
    </row>
    <row r="2">
      <c r="A2" s="2"/>
      <c r="B2" s="1"/>
      <c r="D2" s="3">
        <v>7.8812768E7</v>
      </c>
    </row>
    <row r="3">
      <c r="A3" s="2">
        <v>13.0</v>
      </c>
      <c r="B3" s="1" t="s">
        <v>0</v>
      </c>
      <c r="C3" s="4" t="str">
        <f>VLOOKUP(A3,'Hoja 16'!$A$1:$C$813,3,FALSE)</f>
        <v>El eter Sebastian</v>
      </c>
      <c r="D3" s="3">
        <v>110651.0</v>
      </c>
    </row>
    <row r="4">
      <c r="A4" s="2">
        <v>17.0</v>
      </c>
      <c r="B4" s="1" t="s">
        <v>1</v>
      </c>
      <c r="C4" s="4" t="str">
        <f>VLOOKUP(A4,'Hoja 16'!$A$1:$C$813,3,FALSE)</f>
        <v>Brandan Julio</v>
      </c>
      <c r="D4" s="3">
        <v>-348.0</v>
      </c>
    </row>
    <row r="5">
      <c r="A5" s="2">
        <v>18.0</v>
      </c>
      <c r="B5" s="1" t="s">
        <v>2</v>
      </c>
      <c r="C5" s="4" t="str">
        <f>VLOOKUP(A5,'Hoja 16'!$A$1:$C$813,3,FALSE)</f>
        <v>El eter Sebastian</v>
      </c>
      <c r="D5" s="3">
        <v>1217762.0</v>
      </c>
    </row>
    <row r="6">
      <c r="A6" s="2"/>
      <c r="B6" s="1"/>
      <c r="D6" s="3">
        <v>8300.0</v>
      </c>
    </row>
    <row r="7">
      <c r="A7" s="2">
        <v>27.0</v>
      </c>
      <c r="B7" s="1" t="s">
        <v>3</v>
      </c>
      <c r="C7" s="4" t="str">
        <f>VLOOKUP(A7,'Hoja 16'!$A$1:$C$813,3,FALSE)</f>
        <v>Brandan Julio</v>
      </c>
      <c r="D7" s="3">
        <v>2800153.0</v>
      </c>
    </row>
    <row r="8">
      <c r="A8" s="2">
        <v>28.0</v>
      </c>
      <c r="B8" s="1" t="s">
        <v>4</v>
      </c>
      <c r="C8" s="4" t="str">
        <f>VLOOKUP(A8,'Hoja 16'!$A$1:$C$813,3,FALSE)</f>
        <v>Brandan Julio</v>
      </c>
      <c r="D8" s="3">
        <v>-207025.0</v>
      </c>
    </row>
    <row r="9">
      <c r="A9" s="2">
        <v>34.0</v>
      </c>
      <c r="B9" s="1" t="s">
        <v>5</v>
      </c>
      <c r="C9" s="4" t="str">
        <f>VLOOKUP(A9,'Hoja 16'!$A$1:$C$813,3,FALSE)</f>
        <v>Brandan Julio</v>
      </c>
      <c r="D9" s="3">
        <v>239405.0</v>
      </c>
    </row>
    <row r="10">
      <c r="A10" s="2">
        <v>37.0</v>
      </c>
      <c r="B10" s="1" t="s">
        <v>6</v>
      </c>
      <c r="C10" s="4" t="str">
        <f>VLOOKUP(A10,'Hoja 16'!$A$1:$C$813,3,FALSE)</f>
        <v>BRIAN</v>
      </c>
      <c r="D10" s="3">
        <v>0.0</v>
      </c>
    </row>
    <row r="11">
      <c r="A11" s="2"/>
      <c r="B11" s="1"/>
      <c r="D11" s="3">
        <v>199210.0</v>
      </c>
    </row>
    <row r="12">
      <c r="A12" s="2">
        <v>40.0</v>
      </c>
      <c r="B12" s="1" t="s">
        <v>7</v>
      </c>
      <c r="C12" s="4" t="str">
        <f>VLOOKUP(A12,'Hoja 16'!$A$1:$C$813,3,FALSE)</f>
        <v>Veliz Marcelo</v>
      </c>
      <c r="D12" s="3">
        <v>3058530.0</v>
      </c>
    </row>
    <row r="13">
      <c r="A13" s="2">
        <v>43.0</v>
      </c>
      <c r="B13" s="1" t="s">
        <v>8</v>
      </c>
      <c r="C13" s="4" t="str">
        <f>VLOOKUP(A13,'Hoja 16'!$A$1:$C$813,3,FALSE)</f>
        <v>Brandan Julio</v>
      </c>
      <c r="D13" s="3">
        <v>45689.0</v>
      </c>
    </row>
    <row r="14">
      <c r="A14" s="2">
        <v>52.0</v>
      </c>
      <c r="B14" s="1" t="s">
        <v>9</v>
      </c>
      <c r="C14" s="4" t="str">
        <f>VLOOKUP(A14,'Hoja 16'!$A$1:$C$813,3,FALSE)</f>
        <v>veliz Marcelo</v>
      </c>
      <c r="D14" s="3">
        <v>-8095.0</v>
      </c>
    </row>
    <row r="15">
      <c r="A15" s="2">
        <v>58.0</v>
      </c>
      <c r="B15" s="1" t="s">
        <v>10</v>
      </c>
      <c r="C15" s="4" t="str">
        <f>VLOOKUP(A15,'Hoja 16'!$A$1:$C$813,3,FALSE)</f>
        <v>Brandan Julio</v>
      </c>
      <c r="D15" s="3">
        <v>125381.0</v>
      </c>
    </row>
    <row r="16">
      <c r="A16" s="2">
        <v>65.0</v>
      </c>
      <c r="B16" s="1" t="s">
        <v>11</v>
      </c>
      <c r="C16" s="4" t="str">
        <f>VLOOKUP(A16,'Hoja 16'!$A$1:$C$813,3,FALSE)</f>
        <v>Veliz Marcelo</v>
      </c>
      <c r="D16" s="3">
        <v>1289830.0</v>
      </c>
    </row>
    <row r="17">
      <c r="A17" s="2">
        <v>68.0</v>
      </c>
      <c r="B17" s="1" t="s">
        <v>12</v>
      </c>
      <c r="C17" s="4" t="str">
        <f>VLOOKUP(A17,'Hoja 16'!$A$1:$C$813,3,FALSE)</f>
        <v>El eter Sebastian</v>
      </c>
      <c r="D17" s="3">
        <v>201408.0</v>
      </c>
    </row>
    <row r="18">
      <c r="A18" s="2">
        <v>72.0</v>
      </c>
      <c r="B18" s="1" t="s">
        <v>13</v>
      </c>
      <c r="C18" s="4" t="str">
        <f>VLOOKUP(A18,'Hoja 16'!$A$1:$C$813,3,FALSE)</f>
        <v>Veliz Marcelo</v>
      </c>
      <c r="D18" s="3">
        <v>0.0</v>
      </c>
    </row>
    <row r="19">
      <c r="A19" s="2">
        <v>73.0</v>
      </c>
      <c r="B19" s="1" t="s">
        <v>14</v>
      </c>
      <c r="C19" s="4" t="str">
        <f>VLOOKUP(A19,'Hoja 16'!$A$1:$C$813,3,FALSE)</f>
        <v>Veliz Marcelo</v>
      </c>
      <c r="D19" s="3">
        <v>608084.0</v>
      </c>
    </row>
    <row r="20">
      <c r="A20" s="2">
        <v>74.0</v>
      </c>
      <c r="B20" s="1" t="s">
        <v>15</v>
      </c>
      <c r="C20" s="4" t="str">
        <f>VLOOKUP(A20,'Hoja 16'!$A$1:$C$813,3,FALSE)</f>
        <v>El eter Sebastian</v>
      </c>
      <c r="D20" s="3">
        <v>0.0</v>
      </c>
    </row>
    <row r="21">
      <c r="A21" s="2">
        <v>82.0</v>
      </c>
      <c r="B21" s="1" t="s">
        <v>16</v>
      </c>
      <c r="C21" s="4" t="str">
        <f>VLOOKUP(A21,'Hoja 16'!$A$1:$C$813,3,FALSE)</f>
        <v>Veliz Marcelo</v>
      </c>
      <c r="D21" s="3">
        <v>419284.0</v>
      </c>
    </row>
    <row r="22">
      <c r="A22" s="2">
        <v>86.0</v>
      </c>
      <c r="B22" s="1" t="s">
        <v>17</v>
      </c>
      <c r="C22" s="4" t="str">
        <f>VLOOKUP(A22,'Hoja 16'!$A$1:$C$813,3,FALSE)</f>
        <v>El eter Sebastian</v>
      </c>
      <c r="D22" s="3">
        <v>718100.0</v>
      </c>
    </row>
    <row r="23">
      <c r="A23" s="2">
        <v>87.0</v>
      </c>
      <c r="B23" s="1" t="s">
        <v>18</v>
      </c>
      <c r="C23" s="4" t="str">
        <f>VLOOKUP(A23,'Hoja 16'!$A$1:$C$813,3,FALSE)</f>
        <v>El eter Sebastian</v>
      </c>
      <c r="D23" s="3">
        <v>366048.0</v>
      </c>
    </row>
    <row r="24">
      <c r="A24" s="2">
        <v>88.0</v>
      </c>
      <c r="B24" s="1" t="s">
        <v>19</v>
      </c>
      <c r="C24" s="4" t="str">
        <f>VLOOKUP(A24,'Hoja 16'!$A$1:$C$813,3,FALSE)</f>
        <v>Veliz Marcelo</v>
      </c>
      <c r="D24" s="3">
        <v>0.0</v>
      </c>
    </row>
    <row r="25">
      <c r="A25" s="2">
        <v>96.0</v>
      </c>
      <c r="B25" s="1" t="s">
        <v>20</v>
      </c>
      <c r="C25" s="4" t="str">
        <f>VLOOKUP(A25,'Hoja 16'!$A$1:$C$813,3,FALSE)</f>
        <v>BRIAN</v>
      </c>
      <c r="D25" s="3">
        <v>50.0</v>
      </c>
    </row>
    <row r="26">
      <c r="A26" s="2"/>
      <c r="B26" s="1"/>
      <c r="D26" s="3">
        <v>42676.0</v>
      </c>
    </row>
    <row r="27">
      <c r="A27" s="2">
        <v>102.0</v>
      </c>
      <c r="B27" s="1" t="s">
        <v>21</v>
      </c>
      <c r="C27" s="4" t="str">
        <f>VLOOKUP(A27,'Hoja 16'!$A$1:$C$813,3,FALSE)</f>
        <v>Brandan Julio</v>
      </c>
      <c r="D27" s="3">
        <v>57825.0</v>
      </c>
    </row>
    <row r="28">
      <c r="A28" s="2">
        <v>103.0</v>
      </c>
      <c r="B28" s="1" t="s">
        <v>22</v>
      </c>
      <c r="C28" s="4" t="str">
        <f>VLOOKUP(A28,'Hoja 16'!$A$1:$C$813,3,FALSE)</f>
        <v>Veliz Marcelo</v>
      </c>
      <c r="D28" s="3">
        <v>0.0</v>
      </c>
    </row>
    <row r="29">
      <c r="A29" s="2">
        <v>109.0</v>
      </c>
      <c r="B29" s="1" t="s">
        <v>23</v>
      </c>
      <c r="C29" s="4" t="str">
        <f>VLOOKUP(A29,'Hoja 16'!$A$1:$C$813,3,FALSE)</f>
        <v>Veliz Marcelo</v>
      </c>
      <c r="D29" s="3">
        <v>372445.0</v>
      </c>
    </row>
    <row r="30">
      <c r="A30" s="2">
        <v>114.0</v>
      </c>
      <c r="B30" s="1" t="s">
        <v>24</v>
      </c>
      <c r="C30" s="4" t="str">
        <f>VLOOKUP(A30,'Hoja 16'!$A$1:$C$813,3,FALSE)</f>
        <v>Brandan Julio</v>
      </c>
      <c r="D30" s="3">
        <v>90163.0</v>
      </c>
    </row>
    <row r="31">
      <c r="A31" s="2">
        <v>119.0</v>
      </c>
      <c r="B31" s="1" t="s">
        <v>25</v>
      </c>
      <c r="C31" s="4" t="str">
        <f>VLOOKUP(A31,'Hoja 16'!$A$1:$C$813,3,FALSE)</f>
        <v>El eter Sebastian</v>
      </c>
      <c r="D31" s="3">
        <v>299394.0</v>
      </c>
    </row>
    <row r="32">
      <c r="A32" s="2">
        <v>121.0</v>
      </c>
      <c r="B32" s="1" t="s">
        <v>26</v>
      </c>
      <c r="C32" s="4" t="str">
        <f>VLOOKUP(A32,'Hoja 16'!$A$1:$C$813,3,FALSE)</f>
        <v>El eter Sebastian</v>
      </c>
      <c r="D32" s="3">
        <v>768971.0</v>
      </c>
    </row>
    <row r="33">
      <c r="A33" s="2">
        <v>122.0</v>
      </c>
      <c r="B33" s="1" t="s">
        <v>27</v>
      </c>
      <c r="C33" s="4" t="str">
        <f>VLOOKUP(A33,'Hoja 16'!$A$1:$C$813,3,FALSE)</f>
        <v>Veliz Marcelo</v>
      </c>
      <c r="D33" s="3">
        <v>621674.0</v>
      </c>
    </row>
    <row r="34">
      <c r="A34" s="2">
        <v>123.0</v>
      </c>
      <c r="B34" s="1" t="s">
        <v>28</v>
      </c>
      <c r="C34" s="4" t="str">
        <f>VLOOKUP(A34,'Hoja 16'!$A$1:$C$813,3,FALSE)</f>
        <v>El eter Sebastian</v>
      </c>
      <c r="D34" s="3">
        <v>375498.0</v>
      </c>
    </row>
    <row r="35">
      <c r="A35" s="2">
        <v>124.0</v>
      </c>
      <c r="B35" s="1" t="s">
        <v>29</v>
      </c>
      <c r="C35" s="4" t="str">
        <f>VLOOKUP(A35,'Hoja 16'!$A$1:$C$813,3,FALSE)</f>
        <v>Veliz Marcelo</v>
      </c>
      <c r="D35" s="3">
        <v>242704.0</v>
      </c>
    </row>
    <row r="36">
      <c r="A36" s="2">
        <v>125.0</v>
      </c>
      <c r="B36" s="1" t="s">
        <v>30</v>
      </c>
      <c r="C36" s="4" t="str">
        <f>VLOOKUP(A36,'Hoja 16'!$A$1:$C$813,3,FALSE)</f>
        <v>El eter Sebastian</v>
      </c>
      <c r="D36" s="3">
        <v>1731744.0</v>
      </c>
    </row>
    <row r="37">
      <c r="A37" s="2">
        <v>126.0</v>
      </c>
      <c r="B37" s="1" t="s">
        <v>31</v>
      </c>
      <c r="C37" s="4" t="str">
        <f>VLOOKUP(A37,'Hoja 16'!$A$1:$C$813,3,FALSE)</f>
        <v>El eter Sebastian</v>
      </c>
      <c r="D37" s="3">
        <v>383032.0</v>
      </c>
    </row>
    <row r="38">
      <c r="A38" s="2">
        <v>139.0</v>
      </c>
      <c r="B38" s="1" t="s">
        <v>32</v>
      </c>
      <c r="C38" s="4" t="str">
        <f>VLOOKUP(A38,'Hoja 16'!$A$1:$C$813,3,FALSE)</f>
        <v>Brandan Julio</v>
      </c>
      <c r="D38" s="3">
        <v>0.0</v>
      </c>
    </row>
    <row r="39">
      <c r="A39" s="2">
        <v>148.0</v>
      </c>
      <c r="B39" s="1" t="s">
        <v>33</v>
      </c>
      <c r="C39" s="4" t="str">
        <f>VLOOKUP(A39,'Hoja 16'!$A$1:$C$813,3,FALSE)</f>
        <v>Brandan Julio</v>
      </c>
      <c r="D39" s="3">
        <v>116247.0</v>
      </c>
    </row>
    <row r="40">
      <c r="A40" s="2"/>
      <c r="B40" s="1"/>
      <c r="D40" s="3">
        <v>25000.0</v>
      </c>
    </row>
    <row r="41">
      <c r="A41" s="2">
        <v>156.0</v>
      </c>
      <c r="B41" s="1" t="s">
        <v>34</v>
      </c>
      <c r="C41" s="4" t="str">
        <f>VLOOKUP(A41,'Hoja 16'!$A$1:$C$813,3,FALSE)</f>
        <v>El eter Sebastian</v>
      </c>
      <c r="D41" s="3">
        <v>0.0</v>
      </c>
    </row>
    <row r="42">
      <c r="A42" s="2"/>
      <c r="B42" s="1"/>
      <c r="D42" s="3">
        <v>0.0</v>
      </c>
    </row>
    <row r="43">
      <c r="A43" s="2">
        <v>167.0</v>
      </c>
      <c r="B43" s="1" t="s">
        <v>35</v>
      </c>
      <c r="C43" s="4" t="str">
        <f>VLOOKUP(A43,'Hoja 16'!$A$1:$C$813,3,FALSE)</f>
        <v>Veliz Marcelo</v>
      </c>
      <c r="D43" s="3">
        <v>1389811.0</v>
      </c>
    </row>
    <row r="44">
      <c r="A44" s="2">
        <v>174.0</v>
      </c>
      <c r="B44" s="1" t="s">
        <v>36</v>
      </c>
      <c r="C44" s="4" t="str">
        <f>VLOOKUP(A44,'Hoja 16'!$A$1:$C$813,3,FALSE)</f>
        <v>Brandan Julio</v>
      </c>
      <c r="D44" s="3">
        <v>882807.0</v>
      </c>
    </row>
    <row r="45">
      <c r="A45" s="2"/>
      <c r="B45" s="1"/>
      <c r="D45" s="3">
        <v>63113.0</v>
      </c>
    </row>
    <row r="46">
      <c r="A46" s="2">
        <v>184.0</v>
      </c>
      <c r="B46" s="1" t="s">
        <v>37</v>
      </c>
      <c r="C46" s="4" t="str">
        <f>VLOOKUP(A46,'Hoja 16'!$A$1:$C$813,3,FALSE)</f>
        <v>BRIAN</v>
      </c>
      <c r="D46" s="3">
        <v>144895.0</v>
      </c>
    </row>
    <row r="47">
      <c r="A47" s="2">
        <v>187.0</v>
      </c>
      <c r="B47" s="1" t="s">
        <v>38</v>
      </c>
      <c r="C47" s="4" t="str">
        <f>VLOOKUP(A47,'Hoja 16'!$A$1:$C$813,3,FALSE)</f>
        <v>Brandan Julio</v>
      </c>
      <c r="D47" s="3">
        <v>492884.0</v>
      </c>
    </row>
    <row r="48">
      <c r="A48" s="2">
        <v>193.0</v>
      </c>
      <c r="B48" s="1" t="s">
        <v>39</v>
      </c>
      <c r="C48" s="4" t="str">
        <f>VLOOKUP(A48,'Hoja 16'!$A$1:$C$813,3,FALSE)</f>
        <v>Brandan Julio</v>
      </c>
      <c r="D48" s="3">
        <v>645587.0</v>
      </c>
    </row>
    <row r="49">
      <c r="A49" s="2">
        <v>200.0</v>
      </c>
      <c r="B49" s="1" t="s">
        <v>40</v>
      </c>
      <c r="C49" s="4" t="str">
        <f>VLOOKUP(A49,'Hoja 16'!$A$1:$C$813,3,FALSE)</f>
        <v>Brandan Julio</v>
      </c>
      <c r="D49" s="3">
        <v>182324.0</v>
      </c>
    </row>
    <row r="50">
      <c r="A50" s="2">
        <v>201.0</v>
      </c>
      <c r="B50" s="1" t="s">
        <v>41</v>
      </c>
      <c r="C50" s="4" t="str">
        <f>VLOOKUP(A50,'Hoja 16'!$A$1:$C$813,3,FALSE)</f>
        <v>El eter Sebastian</v>
      </c>
      <c r="D50" s="3">
        <v>858758.0</v>
      </c>
    </row>
    <row r="51">
      <c r="A51" s="2"/>
      <c r="B51" s="1"/>
      <c r="D51" s="3">
        <v>306371.0</v>
      </c>
    </row>
    <row r="52">
      <c r="A52" s="2">
        <v>212.0</v>
      </c>
      <c r="B52" s="1" t="s">
        <v>42</v>
      </c>
      <c r="C52" s="4" t="str">
        <f>VLOOKUP(A52,'Hoja 16'!$A$1:$C$813,3,FALSE)</f>
        <v>BRIAN</v>
      </c>
      <c r="D52" s="3">
        <v>134218.0</v>
      </c>
    </row>
    <row r="53">
      <c r="A53" s="2">
        <v>213.0</v>
      </c>
      <c r="B53" s="1" t="s">
        <v>43</v>
      </c>
      <c r="C53" s="4" t="str">
        <f>VLOOKUP(A53,'Hoja 16'!$A$1:$C$813,3,FALSE)</f>
        <v>Brandan Julio</v>
      </c>
      <c r="D53" s="3">
        <v>122779.0</v>
      </c>
    </row>
    <row r="54">
      <c r="A54" s="2">
        <v>215.0</v>
      </c>
      <c r="B54" s="1" t="s">
        <v>44</v>
      </c>
      <c r="C54" s="4" t="str">
        <f>VLOOKUP(A54,'Hoja 16'!$A$1:$C$813,3,FALSE)</f>
        <v>BRIAN</v>
      </c>
      <c r="D54" s="3">
        <v>471060.0</v>
      </c>
    </row>
    <row r="55">
      <c r="A55" s="2">
        <v>216.0</v>
      </c>
      <c r="B55" s="1" t="s">
        <v>45</v>
      </c>
      <c r="C55" s="4" t="str">
        <f>VLOOKUP(A55,'Hoja 16'!$A$1:$C$813,3,FALSE)</f>
        <v>Brandan Julio</v>
      </c>
      <c r="D55" s="3">
        <v>262862.0</v>
      </c>
    </row>
    <row r="56">
      <c r="A56" s="2">
        <v>217.0</v>
      </c>
      <c r="B56" s="1" t="s">
        <v>46</v>
      </c>
      <c r="C56" s="4" t="str">
        <f>VLOOKUP(A56,'Hoja 16'!$A$1:$C$813,3,FALSE)</f>
        <v>Brandan Julio</v>
      </c>
      <c r="D56" s="3">
        <v>1103119.0</v>
      </c>
    </row>
    <row r="57">
      <c r="A57" s="2">
        <v>219.0</v>
      </c>
      <c r="B57" s="1" t="s">
        <v>47</v>
      </c>
      <c r="C57" s="4" t="str">
        <f>VLOOKUP(A57,'Hoja 16'!$A$1:$C$813,3,FALSE)</f>
        <v>Veliz Marcelo</v>
      </c>
      <c r="D57" s="3">
        <v>219099.0</v>
      </c>
    </row>
    <row r="58">
      <c r="A58" s="2"/>
      <c r="B58" s="1"/>
      <c r="D58" s="3">
        <v>609273.0</v>
      </c>
    </row>
    <row r="59">
      <c r="A59" s="2">
        <v>227.0</v>
      </c>
      <c r="B59" s="1" t="s">
        <v>48</v>
      </c>
      <c r="C59" s="4" t="str">
        <f>VLOOKUP(A59,'Hoja 16'!$A$1:$C$813,3,FALSE)</f>
        <v>El eter Sebastian</v>
      </c>
      <c r="D59" s="3">
        <v>3893810.0</v>
      </c>
    </row>
    <row r="60">
      <c r="A60" s="2">
        <v>228.0</v>
      </c>
      <c r="B60" s="1" t="s">
        <v>49</v>
      </c>
      <c r="C60" s="4" t="str">
        <f>VLOOKUP(A60,'Hoja 16'!$A$1:$C$813,3,FALSE)</f>
        <v>Veliz Marcelo</v>
      </c>
      <c r="D60" s="3">
        <v>417422.0</v>
      </c>
    </row>
    <row r="61">
      <c r="A61" s="2">
        <v>231.0</v>
      </c>
      <c r="B61" s="1" t="s">
        <v>50</v>
      </c>
      <c r="C61" s="4" t="str">
        <f>VLOOKUP(A61,'Hoja 16'!$A$1:$C$813,3,FALSE)</f>
        <v>El eter Sebastian</v>
      </c>
      <c r="D61" s="3">
        <v>-100.0</v>
      </c>
    </row>
    <row r="62">
      <c r="A62" s="2">
        <v>232.0</v>
      </c>
      <c r="B62" s="1" t="s">
        <v>51</v>
      </c>
      <c r="C62" s="4" t="str">
        <f>VLOOKUP(A62,'Hoja 16'!$A$1:$C$813,3,FALSE)</f>
        <v>Veliz Marcelo</v>
      </c>
      <c r="D62" s="3">
        <v>1407295.0</v>
      </c>
    </row>
    <row r="63">
      <c r="A63" s="2">
        <v>233.0</v>
      </c>
      <c r="B63" s="1" t="s">
        <v>52</v>
      </c>
      <c r="C63" s="4" t="str">
        <f>VLOOKUP(A63,'Hoja 16'!$A$1:$C$813,3,FALSE)</f>
        <v>Veliz Marcelo</v>
      </c>
      <c r="D63" s="3">
        <v>801178.0</v>
      </c>
    </row>
    <row r="64">
      <c r="A64" s="2">
        <v>234.0</v>
      </c>
      <c r="B64" s="1" t="s">
        <v>53</v>
      </c>
      <c r="C64" s="4" t="str">
        <f>VLOOKUP(A64,'Hoja 16'!$A$1:$C$813,3,FALSE)</f>
        <v>Veliz Marcelo</v>
      </c>
      <c r="D64" s="3">
        <v>-49127.0</v>
      </c>
    </row>
    <row r="65">
      <c r="A65" s="2">
        <v>235.0</v>
      </c>
      <c r="B65" s="1" t="s">
        <v>54</v>
      </c>
      <c r="C65" s="4" t="str">
        <f>VLOOKUP(A65,'Hoja 16'!$A$1:$C$813,3,FALSE)</f>
        <v>BRIAN</v>
      </c>
      <c r="D65" s="3">
        <v>181517.0</v>
      </c>
    </row>
    <row r="66">
      <c r="A66" s="2">
        <v>238.0</v>
      </c>
      <c r="B66" s="1" t="s">
        <v>55</v>
      </c>
      <c r="C66" s="4" t="str">
        <f>VLOOKUP(A66,'Hoja 16'!$A$1:$C$813,3,FALSE)</f>
        <v>El eter Sebastian</v>
      </c>
      <c r="D66" s="3">
        <v>0.0</v>
      </c>
    </row>
    <row r="67">
      <c r="A67" s="2">
        <v>239.0</v>
      </c>
      <c r="B67" s="1" t="s">
        <v>56</v>
      </c>
      <c r="C67" s="4" t="str">
        <f>VLOOKUP(A67,'Hoja 16'!$A$1:$C$813,3,FALSE)</f>
        <v>BRIAN</v>
      </c>
      <c r="D67" s="3">
        <v>-5403.0</v>
      </c>
    </row>
    <row r="68">
      <c r="A68" s="2">
        <v>243.0</v>
      </c>
      <c r="B68" s="1" t="s">
        <v>57</v>
      </c>
      <c r="C68" s="4" t="str">
        <f>VLOOKUP(A68,'Hoja 16'!$A$1:$C$813,3,FALSE)</f>
        <v>El eter Sebastian</v>
      </c>
      <c r="D68" s="3">
        <v>0.0</v>
      </c>
    </row>
    <row r="69">
      <c r="A69" s="2">
        <v>244.0</v>
      </c>
      <c r="B69" s="1" t="s">
        <v>58</v>
      </c>
      <c r="C69" s="4" t="str">
        <f>VLOOKUP(A69,'Hoja 16'!$A$1:$C$813,3,FALSE)</f>
        <v>El eter Sebastian</v>
      </c>
      <c r="D69" s="3">
        <v>321830.0</v>
      </c>
    </row>
    <row r="70">
      <c r="A70" s="2">
        <v>245.0</v>
      </c>
      <c r="B70" s="1" t="s">
        <v>59</v>
      </c>
      <c r="C70" s="4" t="str">
        <f>VLOOKUP(A70,'Hoja 16'!$A$1:$C$813,3,FALSE)</f>
        <v>El eter Sebastian</v>
      </c>
      <c r="D70" s="3">
        <v>176343.0</v>
      </c>
    </row>
    <row r="71">
      <c r="A71" s="2">
        <v>246.0</v>
      </c>
      <c r="B71" s="1" t="s">
        <v>60</v>
      </c>
      <c r="C71" s="4" t="str">
        <f>VLOOKUP(A71,'Hoja 16'!$A$1:$C$813,3,FALSE)</f>
        <v>Brandan Julio</v>
      </c>
      <c r="D71" s="3">
        <v>189439.0</v>
      </c>
    </row>
    <row r="72">
      <c r="A72" s="2">
        <v>248.0</v>
      </c>
      <c r="B72" s="1" t="s">
        <v>61</v>
      </c>
      <c r="C72" s="4" t="str">
        <f>VLOOKUP(A72,'Hoja 16'!$A$1:$C$813,3,FALSE)</f>
        <v>Veliz Marcelo</v>
      </c>
      <c r="D72" s="3">
        <v>209641.0</v>
      </c>
    </row>
    <row r="73">
      <c r="A73" s="2">
        <v>252.0</v>
      </c>
      <c r="B73" s="1" t="s">
        <v>62</v>
      </c>
      <c r="C73" s="4" t="str">
        <f>VLOOKUP(A73,'Hoja 16'!$A$1:$C$813,3,FALSE)</f>
        <v>El eter Sebastian</v>
      </c>
      <c r="D73" s="3">
        <v>1079020.0</v>
      </c>
    </row>
    <row r="74">
      <c r="A74" s="2">
        <v>261.0</v>
      </c>
      <c r="B74" s="1" t="s">
        <v>63</v>
      </c>
      <c r="C74" s="4" t="str">
        <f>VLOOKUP(A74,'Hoja 16'!$A$1:$C$813,3,FALSE)</f>
        <v>El eter Sebastian</v>
      </c>
      <c r="D74" s="3">
        <v>-5900.0</v>
      </c>
    </row>
    <row r="75">
      <c r="A75" s="2">
        <v>264.0</v>
      </c>
      <c r="B75" s="1" t="s">
        <v>64</v>
      </c>
      <c r="C75" s="4" t="str">
        <f>VLOOKUP(A75,'Hoja 16'!$A$1:$C$813,3,FALSE)</f>
        <v>El eter Sebastian</v>
      </c>
      <c r="D75" s="3">
        <v>457104.0</v>
      </c>
    </row>
    <row r="76">
      <c r="A76" s="2">
        <v>266.0</v>
      </c>
      <c r="B76" s="1" t="s">
        <v>65</v>
      </c>
      <c r="C76" s="4" t="str">
        <f>VLOOKUP(A76,'Hoja 16'!$A$1:$C$813,3,FALSE)</f>
        <v>El eter Sebastian</v>
      </c>
      <c r="D76" s="3">
        <v>322877.0</v>
      </c>
    </row>
    <row r="77">
      <c r="A77" s="2">
        <v>278.0</v>
      </c>
      <c r="B77" s="1" t="s">
        <v>66</v>
      </c>
      <c r="C77" s="4" t="str">
        <f>VLOOKUP(A77,'Hoja 16'!$A$1:$C$813,3,FALSE)</f>
        <v>Brandan Julio</v>
      </c>
      <c r="D77" s="3">
        <v>0.0</v>
      </c>
    </row>
    <row r="78">
      <c r="A78" s="2">
        <v>279.0</v>
      </c>
      <c r="B78" s="1" t="s">
        <v>67</v>
      </c>
      <c r="C78" s="4" t="str">
        <f>VLOOKUP(A78,'Hoja 16'!$A$1:$C$813,3,FALSE)</f>
        <v>Veliz Marcelo</v>
      </c>
      <c r="D78" s="3">
        <v>254831.0</v>
      </c>
    </row>
    <row r="79">
      <c r="A79" s="2">
        <v>284.0</v>
      </c>
      <c r="B79" s="1" t="s">
        <v>68</v>
      </c>
      <c r="C79" s="4" t="str">
        <f>VLOOKUP(A79,'Hoja 16'!$A$1:$C$813,3,FALSE)</f>
        <v>Brandan Julio</v>
      </c>
      <c r="D79" s="3">
        <v>365747.0</v>
      </c>
    </row>
    <row r="80">
      <c r="A80" s="2">
        <v>285.0</v>
      </c>
      <c r="B80" s="1" t="s">
        <v>69</v>
      </c>
      <c r="C80" s="4" t="str">
        <f>VLOOKUP(A80,'Hoja 16'!$A$1:$C$813,3,FALSE)</f>
        <v>Brandan Julio</v>
      </c>
      <c r="D80" s="3">
        <v>-497.0</v>
      </c>
    </row>
    <row r="81">
      <c r="A81" s="2">
        <v>286.0</v>
      </c>
      <c r="B81" s="1" t="s">
        <v>70</v>
      </c>
      <c r="C81" s="4" t="str">
        <f>VLOOKUP(A81,'Hoja 16'!$A$1:$C$813,3,FALSE)</f>
        <v>El eter Sebastian</v>
      </c>
      <c r="D81" s="3">
        <v>161917.0</v>
      </c>
    </row>
    <row r="82">
      <c r="A82" s="2">
        <v>296.0</v>
      </c>
      <c r="B82" s="1" t="s">
        <v>71</v>
      </c>
      <c r="C82" s="4" t="str">
        <f>VLOOKUP(A82,'Hoja 16'!$A$1:$C$813,3,FALSE)</f>
        <v>Brandan Julio</v>
      </c>
      <c r="D82" s="3">
        <v>-17550.0</v>
      </c>
    </row>
    <row r="83">
      <c r="A83" s="2">
        <v>300.0</v>
      </c>
      <c r="B83" s="1" t="s">
        <v>72</v>
      </c>
      <c r="C83" s="4" t="str">
        <f>VLOOKUP(A83,'Hoja 16'!$A$1:$C$813,3,FALSE)</f>
        <v>Brandan Julio</v>
      </c>
      <c r="D83" s="3">
        <v>0.0</v>
      </c>
    </row>
    <row r="84">
      <c r="A84" s="2">
        <v>302.0</v>
      </c>
      <c r="B84" s="1" t="s">
        <v>73</v>
      </c>
      <c r="C84" s="4" t="str">
        <f>VLOOKUP(A84,'Hoja 16'!$A$1:$C$813,3,FALSE)</f>
        <v>Brandan Julio</v>
      </c>
      <c r="D84" s="3">
        <v>183707.0</v>
      </c>
    </row>
    <row r="85">
      <c r="A85" s="2">
        <v>305.0</v>
      </c>
      <c r="B85" s="1" t="s">
        <v>74</v>
      </c>
      <c r="C85" s="4" t="str">
        <f>VLOOKUP(A85,'Hoja 16'!$A$1:$C$813,3,FALSE)</f>
        <v>Veliz Marcelo</v>
      </c>
      <c r="D85" s="3">
        <v>-8858.0</v>
      </c>
    </row>
    <row r="86">
      <c r="A86" s="2">
        <v>306.0</v>
      </c>
      <c r="B86" s="1" t="s">
        <v>75</v>
      </c>
      <c r="C86" s="4" t="str">
        <f>VLOOKUP(A86,'Hoja 16'!$A$1:$C$813,3,FALSE)</f>
        <v>BRIAN</v>
      </c>
      <c r="D86" s="3">
        <v>-17743.0</v>
      </c>
    </row>
    <row r="87">
      <c r="A87" s="2">
        <v>307.0</v>
      </c>
      <c r="B87" s="1" t="s">
        <v>76</v>
      </c>
      <c r="C87" s="4" t="str">
        <f>VLOOKUP(A87,'Hoja 16'!$A$1:$C$813,3,FALSE)</f>
        <v>Brandan Julio</v>
      </c>
      <c r="D87" s="3">
        <v>273225.0</v>
      </c>
    </row>
    <row r="88">
      <c r="A88" s="2">
        <v>313.0</v>
      </c>
      <c r="B88" s="1" t="s">
        <v>77</v>
      </c>
      <c r="C88" s="4" t="str">
        <f>VLOOKUP(A88,'Hoja 16'!$A$1:$C$813,3,FALSE)</f>
        <v>Brandan Julio</v>
      </c>
      <c r="D88" s="3">
        <v>300188.0</v>
      </c>
    </row>
    <row r="89">
      <c r="A89" s="2">
        <v>315.0</v>
      </c>
      <c r="B89" s="1" t="s">
        <v>78</v>
      </c>
      <c r="C89" s="4" t="str">
        <f>VLOOKUP(A89,'Hoja 16'!$A$1:$C$813,3,FALSE)</f>
        <v>BRIAN</v>
      </c>
      <c r="D89" s="3">
        <v>1.0</v>
      </c>
    </row>
    <row r="90">
      <c r="A90" s="2">
        <v>318.0</v>
      </c>
      <c r="B90" s="1" t="s">
        <v>79</v>
      </c>
      <c r="C90" s="4" t="str">
        <f>VLOOKUP(A90,'Hoja 16'!$A$1:$C$813,3,FALSE)</f>
        <v>Veliz Marcelo</v>
      </c>
      <c r="D90" s="3">
        <v>8.0</v>
      </c>
    </row>
    <row r="91">
      <c r="A91" s="2">
        <v>331.0</v>
      </c>
      <c r="B91" s="1" t="s">
        <v>80</v>
      </c>
      <c r="C91" s="4" t="str">
        <f>VLOOKUP(A91,'Hoja 16'!$A$1:$C$813,3,FALSE)</f>
        <v>El eter Sebastian</v>
      </c>
      <c r="D91" s="3">
        <v>317516.0</v>
      </c>
    </row>
    <row r="92">
      <c r="A92" s="2">
        <v>333.0</v>
      </c>
      <c r="B92" s="1" t="s">
        <v>81</v>
      </c>
      <c r="C92" s="4" t="str">
        <f>VLOOKUP(A92,'Hoja 16'!$A$1:$C$813,3,FALSE)</f>
        <v>BRIAN</v>
      </c>
      <c r="D92" s="3">
        <v>1720691.0</v>
      </c>
    </row>
    <row r="93">
      <c r="A93" s="2">
        <v>335.0</v>
      </c>
      <c r="B93" s="1" t="s">
        <v>82</v>
      </c>
      <c r="C93" s="4" t="str">
        <f>VLOOKUP(A93,'Hoja 16'!$A$1:$C$813,3,FALSE)</f>
        <v>Brandan Julio</v>
      </c>
      <c r="D93" s="3">
        <v>0.0</v>
      </c>
    </row>
    <row r="94">
      <c r="A94" s="2">
        <v>340.0</v>
      </c>
      <c r="B94" s="1" t="s">
        <v>83</v>
      </c>
      <c r="C94" s="4" t="str">
        <f>VLOOKUP(A94,'Hoja 16'!$A$1:$C$813,3,FALSE)</f>
        <v>Veliz Marcelo</v>
      </c>
      <c r="D94" s="3">
        <v>514931.0</v>
      </c>
    </row>
    <row r="95">
      <c r="A95" s="2">
        <v>346.0</v>
      </c>
      <c r="B95" s="1" t="s">
        <v>84</v>
      </c>
      <c r="C95" s="4" t="str">
        <f>VLOOKUP(A95,'Hoja 16'!$A$1:$C$813,3,FALSE)</f>
        <v>El eter Sebastian</v>
      </c>
      <c r="D95" s="3">
        <v>-4.0</v>
      </c>
    </row>
    <row r="96">
      <c r="A96" s="2">
        <v>347.0</v>
      </c>
      <c r="B96" s="1" t="s">
        <v>85</v>
      </c>
      <c r="C96" s="4" t="str">
        <f>VLOOKUP(A96,'Hoja 16'!$A$1:$C$813,3,FALSE)</f>
        <v>Veliz Marcelo</v>
      </c>
      <c r="D96" s="3">
        <v>678589.0</v>
      </c>
    </row>
    <row r="97">
      <c r="A97" s="2">
        <v>350.0</v>
      </c>
      <c r="B97" s="1" t="s">
        <v>86</v>
      </c>
      <c r="C97" s="4" t="str">
        <f>VLOOKUP(A97,'Hoja 16'!$A$1:$C$813,3,FALSE)</f>
        <v>Brandan Julio</v>
      </c>
      <c r="D97" s="3">
        <v>338419.0</v>
      </c>
    </row>
    <row r="98">
      <c r="A98" s="2">
        <v>354.0</v>
      </c>
      <c r="B98" s="1" t="s">
        <v>87</v>
      </c>
      <c r="C98" s="4" t="str">
        <f>VLOOKUP(A98,'Hoja 16'!$A$1:$C$813,3,FALSE)</f>
        <v>El eter Sebastian</v>
      </c>
      <c r="D98" s="3">
        <v>107266.0</v>
      </c>
    </row>
    <row r="99">
      <c r="A99" s="2">
        <v>355.0</v>
      </c>
      <c r="B99" s="1" t="s">
        <v>88</v>
      </c>
      <c r="C99" s="4" t="str">
        <f>VLOOKUP(A99,'Hoja 16'!$A$1:$C$813,3,FALSE)</f>
        <v>El eter Sebastian</v>
      </c>
      <c r="D99" s="3">
        <v>183792.0</v>
      </c>
    </row>
    <row r="100">
      <c r="A100" s="2">
        <v>359.0</v>
      </c>
      <c r="B100" s="1" t="s">
        <v>89</v>
      </c>
      <c r="C100" s="4" t="str">
        <f>VLOOKUP(A100,'Hoja 16'!$A$1:$C$813,3,FALSE)</f>
        <v>BRIAN</v>
      </c>
      <c r="D100" s="3">
        <v>81523.0</v>
      </c>
    </row>
    <row r="101">
      <c r="A101" s="2">
        <v>360.0</v>
      </c>
      <c r="B101" s="1" t="s">
        <v>90</v>
      </c>
      <c r="C101" s="4" t="str">
        <f>VLOOKUP(A101,'Hoja 16'!$A$1:$C$813,3,FALSE)</f>
        <v>Veliz Marcelo</v>
      </c>
      <c r="D101" s="3">
        <v>0.0</v>
      </c>
    </row>
    <row r="102">
      <c r="A102" s="2">
        <v>366.0</v>
      </c>
      <c r="B102" s="1" t="s">
        <v>91</v>
      </c>
      <c r="C102" s="4" t="str">
        <f>VLOOKUP(A102,'Hoja 16'!$A$1:$C$813,3,FALSE)</f>
        <v>El eter Sebastian</v>
      </c>
      <c r="D102" s="3">
        <v>190767.0</v>
      </c>
    </row>
    <row r="103">
      <c r="A103" s="2">
        <v>369.0</v>
      </c>
      <c r="B103" s="1" t="s">
        <v>92</v>
      </c>
      <c r="C103" s="4" t="str">
        <f>VLOOKUP(A103,'Hoja 16'!$A$1:$C$813,3,FALSE)</f>
        <v>El eter Sebastian</v>
      </c>
      <c r="D103" s="3">
        <v>288435.0</v>
      </c>
    </row>
    <row r="104">
      <c r="A104" s="2">
        <v>374.0</v>
      </c>
      <c r="B104" s="1" t="s">
        <v>93</v>
      </c>
      <c r="C104" s="4" t="str">
        <f>VLOOKUP(A104,'Hoja 16'!$A$1:$C$813,3,FALSE)</f>
        <v>El eter Sebastian</v>
      </c>
      <c r="D104" s="3">
        <v>91.0</v>
      </c>
    </row>
    <row r="105">
      <c r="A105" s="2">
        <v>375.0</v>
      </c>
      <c r="B105" s="1" t="s">
        <v>94</v>
      </c>
      <c r="C105" s="4" t="str">
        <f>VLOOKUP(A105,'Hoja 16'!$A$1:$C$813,3,FALSE)</f>
        <v>Veliz Marcelo</v>
      </c>
      <c r="D105" s="3">
        <v>139830.0</v>
      </c>
    </row>
    <row r="106">
      <c r="A106" s="2"/>
      <c r="B106" s="1"/>
      <c r="D106" s="3">
        <v>1.0</v>
      </c>
    </row>
    <row r="107">
      <c r="A107" s="2">
        <v>379.0</v>
      </c>
      <c r="B107" s="1" t="s">
        <v>95</v>
      </c>
      <c r="C107" s="4" t="str">
        <f>VLOOKUP(A107,'Hoja 16'!$A$1:$C$813,3,FALSE)</f>
        <v>El eter Sebastian</v>
      </c>
      <c r="D107" s="3">
        <v>0.0</v>
      </c>
    </row>
    <row r="108">
      <c r="A108" s="2">
        <v>380.0</v>
      </c>
      <c r="B108" s="1" t="s">
        <v>96</v>
      </c>
      <c r="C108" s="4" t="str">
        <f>VLOOKUP(A108,'Hoja 16'!$A$1:$C$813,3,FALSE)</f>
        <v>Brandan Julio</v>
      </c>
      <c r="D108" s="3">
        <v>494872.0</v>
      </c>
    </row>
    <row r="109">
      <c r="A109" s="2">
        <v>381.0</v>
      </c>
      <c r="B109" s="1" t="s">
        <v>97</v>
      </c>
      <c r="C109" s="4" t="str">
        <f>VLOOKUP(A109,'Hoja 16'!$A$1:$C$813,3,FALSE)</f>
        <v>El eter Sebastian</v>
      </c>
      <c r="D109" s="3">
        <v>460436.0</v>
      </c>
    </row>
    <row r="110">
      <c r="A110" s="2">
        <v>390.0</v>
      </c>
      <c r="B110" s="1" t="s">
        <v>98</v>
      </c>
      <c r="C110" s="4" t="str">
        <f>VLOOKUP(A110,'Hoja 16'!$A$1:$C$813,3,FALSE)</f>
        <v>El eter Sebastian</v>
      </c>
      <c r="D110" s="3">
        <v>1417820.0</v>
      </c>
    </row>
    <row r="111">
      <c r="A111" s="2">
        <v>395.0</v>
      </c>
      <c r="B111" s="1" t="s">
        <v>99</v>
      </c>
      <c r="C111" s="4" t="str">
        <f>VLOOKUP(A111,'Hoja 16'!$A$1:$C$813,3,FALSE)</f>
        <v>Veliz Marcelo</v>
      </c>
      <c r="D111" s="3">
        <v>964819.0</v>
      </c>
    </row>
    <row r="112">
      <c r="A112" s="2"/>
      <c r="B112" s="1"/>
      <c r="D112" s="3">
        <v>39356.0</v>
      </c>
    </row>
    <row r="113">
      <c r="A113" s="2">
        <v>408.0</v>
      </c>
      <c r="B113" s="1" t="s">
        <v>100</v>
      </c>
      <c r="C113" s="4" t="str">
        <f>VLOOKUP(A113,'Hoja 16'!$A$1:$C$813,3,FALSE)</f>
        <v>Brandan Julio</v>
      </c>
      <c r="D113" s="3">
        <v>8.0</v>
      </c>
    </row>
    <row r="114">
      <c r="A114" s="2"/>
      <c r="B114" s="1"/>
      <c r="D114" s="3">
        <v>16034.0</v>
      </c>
    </row>
    <row r="115">
      <c r="A115" s="2">
        <v>413.0</v>
      </c>
      <c r="B115" s="1" t="s">
        <v>101</v>
      </c>
      <c r="C115" s="4" t="str">
        <f>VLOOKUP(A115,'Hoja 16'!$A$1:$C$813,3,FALSE)</f>
        <v>BRIAN</v>
      </c>
      <c r="D115" s="3">
        <v>3.0</v>
      </c>
    </row>
    <row r="116">
      <c r="A116" s="2">
        <v>416.0</v>
      </c>
      <c r="B116" s="1" t="s">
        <v>102</v>
      </c>
      <c r="C116" s="4" t="str">
        <f>VLOOKUP(A116,'Hoja 16'!$A$1:$C$813,3,FALSE)</f>
        <v>Brandan Julio</v>
      </c>
      <c r="D116" s="3">
        <v>116692.0</v>
      </c>
    </row>
    <row r="117">
      <c r="A117" s="2">
        <v>418.0</v>
      </c>
      <c r="B117" s="1" t="s">
        <v>103</v>
      </c>
      <c r="C117" s="4" t="str">
        <f>VLOOKUP(A117,'Hoja 16'!$A$1:$C$813,3,FALSE)</f>
        <v>El eter Sebastian</v>
      </c>
      <c r="D117" s="3">
        <v>207045.0</v>
      </c>
    </row>
    <row r="118">
      <c r="A118" s="2">
        <v>428.0</v>
      </c>
      <c r="B118" s="1" t="s">
        <v>104</v>
      </c>
      <c r="C118" s="4" t="str">
        <f>VLOOKUP(A118,'Hoja 16'!$A$1:$C$813,3,FALSE)</f>
        <v>Veliz Marcelo</v>
      </c>
      <c r="D118" s="3">
        <v>1329739.0</v>
      </c>
    </row>
    <row r="119">
      <c r="A119" s="2">
        <v>429.0</v>
      </c>
      <c r="B119" s="1" t="s">
        <v>105</v>
      </c>
      <c r="C119" s="4" t="str">
        <f>VLOOKUP(A119,'Hoja 16'!$A$1:$C$813,3,FALSE)</f>
        <v>Brandan Julio</v>
      </c>
      <c r="D119" s="3">
        <v>0.0</v>
      </c>
    </row>
    <row r="120">
      <c r="A120" s="2">
        <v>430.0</v>
      </c>
      <c r="B120" s="1" t="s">
        <v>106</v>
      </c>
      <c r="C120" s="4" t="str">
        <f>VLOOKUP(A120,'Hoja 16'!$A$1:$C$813,3,FALSE)</f>
        <v>Veliz Marcelo</v>
      </c>
      <c r="D120" s="3">
        <v>639502.0</v>
      </c>
    </row>
    <row r="121">
      <c r="A121" s="2">
        <v>432.0</v>
      </c>
      <c r="B121" s="1" t="s">
        <v>107</v>
      </c>
      <c r="C121" s="4" t="str">
        <f>VLOOKUP(A121,'Hoja 16'!$A$1:$C$813,3,FALSE)</f>
        <v>Brandan Julio</v>
      </c>
      <c r="D121" s="3">
        <v>277393.0</v>
      </c>
    </row>
    <row r="122">
      <c r="A122" s="2">
        <v>441.0</v>
      </c>
      <c r="B122" s="1" t="s">
        <v>108</v>
      </c>
      <c r="C122" s="4" t="str">
        <f>VLOOKUP(A122,'Hoja 16'!$A$1:$C$813,3,FALSE)</f>
        <v>Brandan Julio</v>
      </c>
      <c r="D122" s="3">
        <v>1.0</v>
      </c>
    </row>
    <row r="123">
      <c r="A123" s="2">
        <v>444.0</v>
      </c>
      <c r="B123" s="1" t="s">
        <v>109</v>
      </c>
      <c r="C123" s="4" t="str">
        <f>VLOOKUP(A123,'Hoja 16'!$A$1:$C$813,3,FALSE)</f>
        <v>Veliz Marcelo</v>
      </c>
      <c r="D123" s="3">
        <v>0.0</v>
      </c>
    </row>
    <row r="124">
      <c r="A124" s="2">
        <v>446.0</v>
      </c>
      <c r="B124" s="1" t="s">
        <v>110</v>
      </c>
      <c r="C124" s="4" t="str">
        <f>VLOOKUP(A124,'Hoja 16'!$A$1:$C$813,3,FALSE)</f>
        <v>Veliz Marcelo</v>
      </c>
      <c r="D124" s="3">
        <v>1715202.0</v>
      </c>
    </row>
    <row r="125">
      <c r="A125" s="2">
        <v>447.0</v>
      </c>
      <c r="B125" s="1" t="s">
        <v>111</v>
      </c>
      <c r="C125" s="4" t="str">
        <f>VLOOKUP(A125,'Hoja 16'!$A$1:$C$813,3,FALSE)</f>
        <v>El eter Sebastian</v>
      </c>
      <c r="D125" s="3">
        <v>312720.0</v>
      </c>
    </row>
    <row r="126">
      <c r="A126" s="2">
        <v>451.0</v>
      </c>
      <c r="B126" s="1" t="s">
        <v>112</v>
      </c>
      <c r="C126" s="4" t="str">
        <f>VLOOKUP(A126,'Hoja 16'!$A$1:$C$813,3,FALSE)</f>
        <v>Brandan Julio</v>
      </c>
      <c r="D126" s="3">
        <v>890729.0</v>
      </c>
    </row>
    <row r="127">
      <c r="A127" s="2">
        <v>454.0</v>
      </c>
      <c r="B127" s="1" t="s">
        <v>113</v>
      </c>
      <c r="C127" s="4" t="str">
        <f>VLOOKUP(A127,'Hoja 16'!$A$1:$C$813,3,FALSE)</f>
        <v>BRIAN</v>
      </c>
      <c r="D127" s="3">
        <v>2171523.0</v>
      </c>
    </row>
    <row r="128">
      <c r="A128" s="2">
        <v>457.0</v>
      </c>
      <c r="B128" s="1" t="s">
        <v>114</v>
      </c>
      <c r="C128" s="4" t="str">
        <f>VLOOKUP(A128,'Hoja 16'!$A$1:$C$813,3,FALSE)</f>
        <v>Brandan Julio</v>
      </c>
      <c r="D128" s="3">
        <v>433742.0</v>
      </c>
    </row>
    <row r="129">
      <c r="A129" s="2"/>
      <c r="B129" s="1"/>
      <c r="D129" s="3">
        <v>162244.0</v>
      </c>
    </row>
    <row r="130">
      <c r="A130" s="2">
        <v>466.0</v>
      </c>
      <c r="B130" s="1" t="s">
        <v>115</v>
      </c>
      <c r="C130" s="4" t="str">
        <f>VLOOKUP(A130,'Hoja 16'!$A$1:$C$813,3,FALSE)</f>
        <v>Brandan Julio</v>
      </c>
      <c r="D130" s="3">
        <v>-605.0</v>
      </c>
    </row>
    <row r="131">
      <c r="A131" s="2">
        <v>470.0</v>
      </c>
      <c r="B131" s="1" t="s">
        <v>116</v>
      </c>
      <c r="C131" s="4" t="str">
        <f>VLOOKUP(A131,'Hoja 16'!$A$1:$C$813,3,FALSE)</f>
        <v>Brandan Julio</v>
      </c>
      <c r="D131" s="3">
        <v>364025.0</v>
      </c>
    </row>
    <row r="132">
      <c r="A132" s="2">
        <v>472.0</v>
      </c>
      <c r="B132" s="1" t="s">
        <v>117</v>
      </c>
      <c r="C132" s="4" t="str">
        <f>VLOOKUP(A132,'Hoja 16'!$A$1:$C$813,3,FALSE)</f>
        <v>Veliz Marcelo</v>
      </c>
      <c r="D132" s="3">
        <v>-599.0</v>
      </c>
    </row>
    <row r="133">
      <c r="A133" s="2">
        <v>474.0</v>
      </c>
      <c r="B133" s="1" t="s">
        <v>118</v>
      </c>
      <c r="C133" s="4" t="str">
        <f>VLOOKUP(A133,'Hoja 16'!$A$1:$C$813,3,FALSE)</f>
        <v>Brandan Julio</v>
      </c>
      <c r="D133" s="3">
        <v>756340.0</v>
      </c>
    </row>
    <row r="134">
      <c r="A134" s="2">
        <v>476.0</v>
      </c>
      <c r="B134" s="1" t="s">
        <v>119</v>
      </c>
      <c r="C134" s="4" t="str">
        <f>VLOOKUP(A134,'Hoja 16'!$A$1:$C$813,3,FALSE)</f>
        <v>Brandan Julio</v>
      </c>
      <c r="D134" s="3">
        <v>329864.0</v>
      </c>
    </row>
    <row r="135">
      <c r="A135" s="2">
        <v>477.0</v>
      </c>
      <c r="B135" s="1" t="s">
        <v>120</v>
      </c>
      <c r="C135" s="4" t="str">
        <f>VLOOKUP(A135,'Hoja 16'!$A$1:$C$813,3,FALSE)</f>
        <v>veliz Marcelo</v>
      </c>
      <c r="D135" s="3">
        <v>330680.0</v>
      </c>
    </row>
    <row r="136">
      <c r="A136" s="2">
        <v>478.0</v>
      </c>
      <c r="B136" s="1" t="s">
        <v>121</v>
      </c>
      <c r="C136" s="4" t="str">
        <f>VLOOKUP(A136,'Hoja 16'!$A$1:$C$813,3,FALSE)</f>
        <v>Brandan Julio</v>
      </c>
      <c r="D136" s="3">
        <v>576741.0</v>
      </c>
    </row>
    <row r="137">
      <c r="A137" s="2"/>
      <c r="B137" s="1"/>
      <c r="D137" s="3">
        <v>61035.0</v>
      </c>
    </row>
    <row r="138">
      <c r="A138" s="2">
        <v>485.0</v>
      </c>
      <c r="B138" s="1" t="s">
        <v>122</v>
      </c>
      <c r="C138" s="4" t="str">
        <f>VLOOKUP(A138,'Hoja 16'!$A$1:$C$813,3,FALSE)</f>
        <v>veliz Marcelo</v>
      </c>
      <c r="D138" s="3">
        <v>83431.0</v>
      </c>
    </row>
    <row r="139">
      <c r="A139" s="2">
        <v>487.0</v>
      </c>
      <c r="B139" s="1" t="s">
        <v>123</v>
      </c>
      <c r="C139" s="4" t="str">
        <f>VLOOKUP(A139,'Hoja 16'!$A$1:$C$813,3,FALSE)</f>
        <v>Brandan Julio</v>
      </c>
      <c r="D139" s="3">
        <v>301365.0</v>
      </c>
    </row>
    <row r="140">
      <c r="A140" s="2"/>
      <c r="B140" s="1"/>
      <c r="D140" s="3">
        <v>312305.0</v>
      </c>
    </row>
    <row r="141">
      <c r="A141" s="2">
        <v>496.0</v>
      </c>
      <c r="B141" s="1" t="s">
        <v>124</v>
      </c>
      <c r="C141" s="4" t="str">
        <f>VLOOKUP(A141,'Hoja 16'!$A$1:$C$813,3,FALSE)</f>
        <v>Veliz Marcelo</v>
      </c>
      <c r="D141" s="3">
        <v>651606.0</v>
      </c>
    </row>
    <row r="142">
      <c r="A142" s="2">
        <v>504.0</v>
      </c>
      <c r="B142" s="1" t="s">
        <v>125</v>
      </c>
      <c r="C142" s="4" t="str">
        <f>VLOOKUP(A142,'Hoja 16'!$A$1:$C$813,3,FALSE)</f>
        <v>BRIAN</v>
      </c>
      <c r="D142" s="3">
        <v>0.0</v>
      </c>
    </row>
    <row r="143">
      <c r="A143" s="2">
        <v>522.0</v>
      </c>
      <c r="B143" s="1" t="s">
        <v>126</v>
      </c>
      <c r="C143" s="4" t="str">
        <f>VLOOKUP(A143,'Hoja 16'!$A$1:$C$813,3,FALSE)</f>
        <v>Veliz Marcelo</v>
      </c>
      <c r="D143" s="3">
        <v>1054773.0</v>
      </c>
    </row>
    <row r="144">
      <c r="A144" s="2">
        <v>529.0</v>
      </c>
      <c r="B144" s="1" t="s">
        <v>127</v>
      </c>
      <c r="C144" s="4" t="str">
        <f>VLOOKUP(A144,'Hoja 16'!$A$1:$C$813,3,FALSE)</f>
        <v>BRIAN</v>
      </c>
      <c r="D144" s="3">
        <v>1.0</v>
      </c>
    </row>
    <row r="145">
      <c r="A145" s="2">
        <v>538.0</v>
      </c>
      <c r="B145" s="1" t="s">
        <v>128</v>
      </c>
      <c r="C145" s="4" t="str">
        <f>VLOOKUP(A145,'Hoja 16'!$A$1:$C$813,3,FALSE)</f>
        <v>El eter Sebastian</v>
      </c>
      <c r="D145" s="3">
        <v>50512.0</v>
      </c>
    </row>
    <row r="146">
      <c r="A146" s="2"/>
      <c r="B146" s="1"/>
      <c r="D146" s="3">
        <v>29483.0</v>
      </c>
    </row>
    <row r="147">
      <c r="A147" s="2"/>
      <c r="B147" s="1"/>
      <c r="D147" s="3">
        <v>9480.0</v>
      </c>
    </row>
    <row r="148">
      <c r="A148" s="2">
        <v>543.0</v>
      </c>
      <c r="B148" s="1" t="s">
        <v>129</v>
      </c>
      <c r="C148" s="4" t="str">
        <f>VLOOKUP(A148,'Hoja 16'!$A$1:$C$813,3,FALSE)</f>
        <v>Brandan Julio</v>
      </c>
      <c r="D148" s="3">
        <v>37292.0</v>
      </c>
    </row>
    <row r="149">
      <c r="A149" s="2">
        <v>544.0</v>
      </c>
      <c r="B149" s="1" t="s">
        <v>130</v>
      </c>
      <c r="C149" s="4" t="str">
        <f>VLOOKUP(A149,'Hoja 16'!$A$1:$C$813,3,FALSE)</f>
        <v>BRIAN</v>
      </c>
      <c r="D149" s="3">
        <v>211714.0</v>
      </c>
    </row>
    <row r="150">
      <c r="A150" s="2">
        <v>547.0</v>
      </c>
      <c r="B150" s="1" t="s">
        <v>131</v>
      </c>
      <c r="C150" s="4" t="str">
        <f>VLOOKUP(A150,'Hoja 16'!$A$1:$C$813,3,FALSE)</f>
        <v>Brandan Julio</v>
      </c>
      <c r="D150" s="3">
        <v>12133.0</v>
      </c>
    </row>
    <row r="151">
      <c r="A151" s="2">
        <v>549.0</v>
      </c>
      <c r="B151" s="1" t="s">
        <v>132</v>
      </c>
      <c r="C151" s="4" t="str">
        <f>VLOOKUP(A151,'Hoja 16'!$A$1:$C$813,3,FALSE)</f>
        <v>Veliz Marcelo</v>
      </c>
      <c r="D151" s="3">
        <v>4495279.0</v>
      </c>
    </row>
    <row r="152">
      <c r="A152" s="2"/>
      <c r="B152" s="1"/>
      <c r="D152" s="3">
        <v>466200.0</v>
      </c>
    </row>
    <row r="153">
      <c r="A153" s="2"/>
      <c r="B153" s="1"/>
      <c r="D153" s="3">
        <v>71106.0</v>
      </c>
    </row>
    <row r="154">
      <c r="A154" s="2">
        <v>563.0</v>
      </c>
      <c r="B154" s="1" t="s">
        <v>133</v>
      </c>
      <c r="C154" s="4" t="str">
        <f>VLOOKUP(A154,'Hoja 16'!$A$1:$C$813,3,FALSE)</f>
        <v>Veliz Marcelo</v>
      </c>
      <c r="D154" s="3">
        <v>969131.0</v>
      </c>
    </row>
    <row r="155">
      <c r="A155" s="2"/>
      <c r="B155" s="1"/>
      <c r="D155" s="3">
        <v>43040.0</v>
      </c>
    </row>
    <row r="156">
      <c r="A156" s="2">
        <v>580.0</v>
      </c>
      <c r="B156" s="1" t="s">
        <v>134</v>
      </c>
      <c r="C156" s="4" t="str">
        <f>VLOOKUP(A156,'Hoja 16'!$A$1:$C$813,3,FALSE)</f>
        <v>Brandan Julio</v>
      </c>
      <c r="D156" s="3">
        <v>680816.0</v>
      </c>
    </row>
    <row r="157">
      <c r="A157" s="2">
        <v>581.0</v>
      </c>
      <c r="B157" s="1" t="s">
        <v>135</v>
      </c>
      <c r="C157" s="4" t="str">
        <f>VLOOKUP(A157,'Hoja 16'!$A$1:$C$813,3,FALSE)</f>
        <v>Brandan Julio</v>
      </c>
      <c r="D157" s="3">
        <v>740539.0</v>
      </c>
    </row>
    <row r="158">
      <c r="A158" s="2">
        <v>583.0</v>
      </c>
      <c r="B158" s="1" t="s">
        <v>136</v>
      </c>
      <c r="C158" s="4" t="str">
        <f>VLOOKUP(A158,'Hoja 16'!$A$1:$C$813,3,FALSE)</f>
        <v>Brandan Julio</v>
      </c>
      <c r="D158" s="3">
        <v>247220.0</v>
      </c>
    </row>
    <row r="159">
      <c r="A159" s="2">
        <v>587.0</v>
      </c>
      <c r="B159" s="1" t="s">
        <v>137</v>
      </c>
      <c r="C159" s="4" t="str">
        <f>VLOOKUP(A159,'Hoja 16'!$A$1:$C$813,3,FALSE)</f>
        <v>Brandan Julio</v>
      </c>
      <c r="D159" s="3">
        <v>835053.0</v>
      </c>
    </row>
    <row r="160">
      <c r="A160" s="2">
        <v>588.0</v>
      </c>
      <c r="B160" s="1" t="s">
        <v>138</v>
      </c>
      <c r="C160" s="4" t="str">
        <f>VLOOKUP(A160,'Hoja 16'!$A$1:$C$813,3,FALSE)</f>
        <v>Brandan Julio</v>
      </c>
      <c r="D160" s="3">
        <v>172322.0</v>
      </c>
    </row>
    <row r="161">
      <c r="A161" s="2">
        <v>590.0</v>
      </c>
      <c r="B161" s="1" t="s">
        <v>139</v>
      </c>
      <c r="C161" s="4" t="str">
        <f>VLOOKUP(A161,'Hoja 16'!$A$1:$C$813,3,FALSE)</f>
        <v>Veliz Marcelo</v>
      </c>
      <c r="D161" s="3">
        <v>665304.0</v>
      </c>
    </row>
    <row r="162">
      <c r="A162" s="2">
        <v>594.0</v>
      </c>
      <c r="B162" s="1" t="s">
        <v>140</v>
      </c>
      <c r="C162" s="4" t="str">
        <f>VLOOKUP(A162,'Hoja 16'!$A$1:$C$813,3,FALSE)</f>
        <v>Brandan Julio</v>
      </c>
      <c r="D162" s="3">
        <v>1.0</v>
      </c>
    </row>
    <row r="163">
      <c r="A163" s="2">
        <v>605.0</v>
      </c>
      <c r="B163" s="1" t="s">
        <v>141</v>
      </c>
      <c r="C163" s="4" t="str">
        <f>VLOOKUP(A163,'Hoja 16'!$A$1:$C$813,3,FALSE)</f>
        <v>Veliz Marcelo</v>
      </c>
      <c r="D163" s="3">
        <v>1034292.0</v>
      </c>
    </row>
    <row r="164">
      <c r="A164" s="2">
        <v>611.0</v>
      </c>
      <c r="B164" s="1" t="s">
        <v>142</v>
      </c>
      <c r="C164" s="4" t="str">
        <f>VLOOKUP(A164,'Hoja 16'!$A$1:$C$813,3,FALSE)</f>
        <v>El eter Sebastian</v>
      </c>
      <c r="D164" s="3">
        <v>0.0</v>
      </c>
    </row>
    <row r="165">
      <c r="A165" s="2">
        <v>612.0</v>
      </c>
      <c r="B165" s="1" t="s">
        <v>143</v>
      </c>
      <c r="C165" s="4" t="str">
        <f>VLOOKUP(A165,'Hoja 16'!$A$1:$C$813,3,FALSE)</f>
        <v>BRIAN</v>
      </c>
      <c r="D165" s="3">
        <v>968622.0</v>
      </c>
    </row>
    <row r="166">
      <c r="A166" s="2">
        <v>613.0</v>
      </c>
      <c r="B166" s="1" t="s">
        <v>144</v>
      </c>
      <c r="C166" s="4" t="str">
        <f>VLOOKUP(A166,'Hoja 16'!$A$1:$C$813,3,FALSE)</f>
        <v>El eter Sebastian</v>
      </c>
      <c r="D166" s="3">
        <v>283808.0</v>
      </c>
    </row>
    <row r="167">
      <c r="A167" s="2">
        <v>614.0</v>
      </c>
      <c r="B167" s="1" t="s">
        <v>145</v>
      </c>
      <c r="C167" s="4" t="str">
        <f>VLOOKUP(A167,'Hoja 16'!$A$1:$C$813,3,FALSE)</f>
        <v>Veliz Marcelo</v>
      </c>
      <c r="D167" s="3">
        <v>135809.0</v>
      </c>
    </row>
    <row r="168">
      <c r="A168" s="2">
        <v>615.0</v>
      </c>
      <c r="B168" s="1" t="s">
        <v>146</v>
      </c>
      <c r="C168" s="4" t="str">
        <f>VLOOKUP(A168,'Hoja 16'!$A$1:$C$813,3,FALSE)</f>
        <v>Brandan Julio</v>
      </c>
      <c r="D168" s="3">
        <v>1894330.0</v>
      </c>
    </row>
    <row r="169">
      <c r="A169" s="2">
        <v>621.0</v>
      </c>
      <c r="B169" s="1" t="s">
        <v>147</v>
      </c>
      <c r="C169" s="4" t="str">
        <f>VLOOKUP(A169,'Hoja 16'!$A$1:$C$813,3,FALSE)</f>
        <v>El eter Sebastian</v>
      </c>
      <c r="D169" s="3">
        <v>1.0</v>
      </c>
    </row>
    <row r="170">
      <c r="A170" s="2">
        <v>622.0</v>
      </c>
      <c r="B170" s="1" t="s">
        <v>148</v>
      </c>
      <c r="C170" s="4" t="str">
        <f>VLOOKUP(A170,'Hoja 16'!$A$1:$C$813,3,FALSE)</f>
        <v>Brandan Julio</v>
      </c>
      <c r="D170" s="3">
        <v>1016526.0</v>
      </c>
    </row>
    <row r="171">
      <c r="A171" s="2">
        <v>627.0</v>
      </c>
      <c r="B171" s="1" t="s">
        <v>149</v>
      </c>
      <c r="C171" s="4" t="str">
        <f>VLOOKUP(A171,'Hoja 16'!$A$1:$C$813,3,FALSE)</f>
        <v>Veliz Marcelo</v>
      </c>
      <c r="D171" s="3">
        <v>2961999.0</v>
      </c>
    </row>
    <row r="172">
      <c r="A172" s="2">
        <v>628.0</v>
      </c>
      <c r="B172" s="1" t="s">
        <v>150</v>
      </c>
      <c r="C172" s="4" t="str">
        <f>VLOOKUP(A172,'Hoja 16'!$A$1:$C$813,3,FALSE)</f>
        <v>Veliz Marcelo</v>
      </c>
      <c r="D172" s="3">
        <v>622680.0</v>
      </c>
    </row>
    <row r="173">
      <c r="A173" s="2">
        <v>630.0</v>
      </c>
      <c r="B173" s="1" t="s">
        <v>151</v>
      </c>
      <c r="C173" s="4" t="str">
        <f>VLOOKUP(A173,'Hoja 16'!$A$1:$C$813,3,FALSE)</f>
        <v>veliz Marcelo</v>
      </c>
      <c r="D173" s="3">
        <v>1.0</v>
      </c>
    </row>
    <row r="174">
      <c r="A174" s="2">
        <v>631.0</v>
      </c>
      <c r="B174" s="1" t="s">
        <v>152</v>
      </c>
      <c r="C174" s="4" t="str">
        <f>VLOOKUP(A174,'Hoja 16'!$A$1:$C$813,3,FALSE)</f>
        <v>El eter Sebastian</v>
      </c>
      <c r="D174" s="3">
        <v>59677.0</v>
      </c>
    </row>
    <row r="175">
      <c r="A175" s="2"/>
      <c r="B175" s="1"/>
      <c r="D175" s="3">
        <v>12592.0</v>
      </c>
    </row>
    <row r="176">
      <c r="A176" s="2"/>
      <c r="B176" s="1"/>
      <c r="D176" s="3">
        <v>9634.0</v>
      </c>
    </row>
    <row r="177">
      <c r="A177" s="2"/>
      <c r="B177" s="1"/>
      <c r="D177" s="3">
        <v>4114559.0</v>
      </c>
    </row>
    <row r="178">
      <c r="A178" s="2">
        <v>656.0</v>
      </c>
      <c r="B178" s="1" t="s">
        <v>153</v>
      </c>
      <c r="C178" s="4" t="str">
        <f>VLOOKUP(A178,'Hoja 16'!$A$1:$C$813,3,FALSE)</f>
        <v>BRIAN</v>
      </c>
      <c r="D178" s="3">
        <v>0.0</v>
      </c>
    </row>
    <row r="179">
      <c r="A179" s="2">
        <v>657.0</v>
      </c>
      <c r="B179" s="1" t="s">
        <v>154</v>
      </c>
      <c r="C179" s="4" t="str">
        <f>VLOOKUP(A179,'Hoja 16'!$A$1:$C$813,3,FALSE)</f>
        <v>Veliz Marcelo</v>
      </c>
      <c r="D179" s="3">
        <v>-715.0</v>
      </c>
    </row>
    <row r="180">
      <c r="A180" s="2"/>
      <c r="B180" s="1"/>
      <c r="D180" s="3">
        <v>33661.0</v>
      </c>
    </row>
    <row r="181">
      <c r="A181" s="2"/>
      <c r="B181" s="1"/>
      <c r="D181" s="3">
        <v>3.6519012E7</v>
      </c>
    </row>
    <row r="182">
      <c r="A182" s="2"/>
      <c r="B182" s="1"/>
      <c r="D182" s="3">
        <v>54079.0</v>
      </c>
    </row>
    <row r="183">
      <c r="A183" s="2">
        <v>669.0</v>
      </c>
      <c r="B183" s="1" t="s">
        <v>155</v>
      </c>
      <c r="C183" s="4" t="str">
        <f>VLOOKUP(A183,'Hoja 16'!$A$1:$C$813,3,FALSE)</f>
        <v>El eter Sebastian</v>
      </c>
      <c r="D183" s="3">
        <v>3126190.0</v>
      </c>
    </row>
    <row r="184">
      <c r="A184" s="2">
        <v>675.0</v>
      </c>
      <c r="B184" s="1" t="s">
        <v>156</v>
      </c>
      <c r="C184" s="4" t="str">
        <f>VLOOKUP(A184,'Hoja 16'!$A$1:$C$813,3,FALSE)</f>
        <v>El eter Sebastian</v>
      </c>
      <c r="D184" s="3">
        <v>159684.0</v>
      </c>
    </row>
    <row r="185">
      <c r="A185" s="2">
        <v>682.0</v>
      </c>
      <c r="B185" s="1" t="s">
        <v>157</v>
      </c>
      <c r="C185" s="4" t="str">
        <f>VLOOKUP(A185,'Hoja 16'!$A$1:$C$813,3,FALSE)</f>
        <v>Brandan Julio</v>
      </c>
      <c r="D185" s="3">
        <v>101859.0</v>
      </c>
    </row>
    <row r="186">
      <c r="A186" s="2"/>
      <c r="B186" s="1"/>
      <c r="D186" s="3">
        <v>19854.0</v>
      </c>
    </row>
    <row r="187">
      <c r="A187" s="2">
        <v>684.0</v>
      </c>
      <c r="B187" s="1" t="s">
        <v>158</v>
      </c>
      <c r="C187" s="4" t="str">
        <f>VLOOKUP(A187,'Hoja 16'!$A$1:$C$813,3,FALSE)</f>
        <v>El eter Sebastian</v>
      </c>
      <c r="D187" s="3">
        <v>1194049.0</v>
      </c>
    </row>
    <row r="188">
      <c r="A188" s="2"/>
      <c r="B188" s="1"/>
      <c r="D188" s="3">
        <v>53540.0</v>
      </c>
    </row>
    <row r="189">
      <c r="A189" s="2">
        <v>686.0</v>
      </c>
      <c r="B189" s="1" t="s">
        <v>159</v>
      </c>
      <c r="C189" s="4" t="str">
        <f>VLOOKUP(A189,'Hoja 16'!$A$1:$C$813,3,FALSE)</f>
        <v>Brandan Julio</v>
      </c>
      <c r="D189" s="3">
        <v>256771.0</v>
      </c>
    </row>
    <row r="190">
      <c r="A190" s="2">
        <v>692.0</v>
      </c>
      <c r="B190" s="1" t="s">
        <v>160</v>
      </c>
      <c r="C190" s="4" t="str">
        <f>VLOOKUP(A190,'Hoja 16'!$A$1:$C$813,3,FALSE)</f>
        <v>Veliz Marcelo</v>
      </c>
      <c r="D190" s="3">
        <v>895733.0</v>
      </c>
    </row>
    <row r="191">
      <c r="A191" s="2">
        <v>693.0</v>
      </c>
      <c r="B191" s="1" t="s">
        <v>161</v>
      </c>
      <c r="C191" s="4" t="str">
        <f>VLOOKUP(A191,'Hoja 16'!$A$1:$C$813,3,FALSE)</f>
        <v>Brandan Julio</v>
      </c>
      <c r="D191" s="3">
        <v>1.0</v>
      </c>
    </row>
    <row r="192">
      <c r="A192" s="2">
        <v>698.0</v>
      </c>
      <c r="B192" s="1" t="s">
        <v>162</v>
      </c>
      <c r="C192" s="4" t="str">
        <f>VLOOKUP(A192,'Hoja 16'!$A$1:$C$813,3,FALSE)</f>
        <v>BRIAN</v>
      </c>
      <c r="D192" s="3">
        <v>1.0</v>
      </c>
    </row>
    <row r="193">
      <c r="A193" s="2">
        <v>700.0</v>
      </c>
      <c r="B193" s="1" t="s">
        <v>163</v>
      </c>
      <c r="C193" s="4" t="str">
        <f>VLOOKUP(A193,'Hoja 16'!$A$1:$C$813,3,FALSE)</f>
        <v>Veliz Marcelo</v>
      </c>
      <c r="D193" s="3">
        <v>-1997.0</v>
      </c>
    </row>
    <row r="194">
      <c r="A194" s="2">
        <v>703.0</v>
      </c>
      <c r="B194" s="1" t="s">
        <v>164</v>
      </c>
      <c r="C194" s="4" t="str">
        <f>VLOOKUP(A194,'Hoja 16'!$A$1:$C$813,3,FALSE)</f>
        <v>BRIAN</v>
      </c>
      <c r="D194" s="3">
        <v>0.0</v>
      </c>
    </row>
    <row r="195">
      <c r="A195" s="2">
        <v>706.0</v>
      </c>
      <c r="B195" s="1" t="s">
        <v>165</v>
      </c>
      <c r="C195" s="4" t="str">
        <f>VLOOKUP(A195,'Hoja 16'!$A$1:$C$813,3,FALSE)</f>
        <v>veliz Marcelo</v>
      </c>
      <c r="D195" s="3">
        <v>56455.0</v>
      </c>
    </row>
    <row r="196">
      <c r="A196" s="2">
        <v>707.0</v>
      </c>
      <c r="B196" s="1" t="s">
        <v>166</v>
      </c>
      <c r="C196" s="4" t="str">
        <f>VLOOKUP(A196,'Hoja 16'!$A$1:$C$813,3,FALSE)</f>
        <v>Brandan Julio</v>
      </c>
      <c r="D196" s="3">
        <v>-3.0</v>
      </c>
    </row>
    <row r="197">
      <c r="A197" s="2">
        <v>711.0</v>
      </c>
      <c r="B197" s="1" t="s">
        <v>167</v>
      </c>
      <c r="C197" s="4" t="str">
        <f>VLOOKUP(A197,'Hoja 16'!$A$1:$C$813,3,FALSE)</f>
        <v>Brandan Julio</v>
      </c>
      <c r="D197" s="3">
        <v>142739.0</v>
      </c>
    </row>
    <row r="198">
      <c r="A198" s="2">
        <v>714.0</v>
      </c>
      <c r="B198" s="1" t="s">
        <v>168</v>
      </c>
      <c r="C198" s="4" t="str">
        <f>VLOOKUP(A198,'Hoja 16'!$A$1:$C$813,3,FALSE)</f>
        <v>Brandan Julio</v>
      </c>
      <c r="D198" s="3">
        <v>261748.0</v>
      </c>
    </row>
    <row r="199">
      <c r="A199" s="2">
        <v>717.0</v>
      </c>
      <c r="B199" s="1" t="s">
        <v>169</v>
      </c>
      <c r="C199" s="4" t="str">
        <f>VLOOKUP(A199,'Hoja 16'!$A$1:$C$813,3,FALSE)</f>
        <v>Brandan Julio</v>
      </c>
      <c r="D199" s="3">
        <v>71312.0</v>
      </c>
    </row>
    <row r="200">
      <c r="A200" s="2">
        <v>719.0</v>
      </c>
      <c r="B200" s="1" t="s">
        <v>170</v>
      </c>
      <c r="C200" s="4" t="str">
        <f>VLOOKUP(A200,'Hoja 16'!$A$1:$C$813,3,FALSE)</f>
        <v>BRIAN</v>
      </c>
      <c r="D200" s="3">
        <v>220397.0</v>
      </c>
    </row>
    <row r="201">
      <c r="A201" s="2"/>
      <c r="B201" s="1"/>
      <c r="D201" s="3">
        <v>62964.0</v>
      </c>
    </row>
    <row r="202">
      <c r="A202" s="2"/>
      <c r="B202" s="1"/>
      <c r="D202" s="3">
        <v>103111.0</v>
      </c>
    </row>
    <row r="203">
      <c r="A203" s="2">
        <v>722.0</v>
      </c>
      <c r="B203" s="1" t="s">
        <v>171</v>
      </c>
      <c r="C203" s="4" t="str">
        <f>VLOOKUP(A203,'Hoja 16'!$A$1:$C$813,3,FALSE)</f>
        <v>Brandan Julio</v>
      </c>
      <c r="D203" s="3">
        <v>549783.0</v>
      </c>
    </row>
    <row r="204">
      <c r="A204" s="2">
        <v>723.0</v>
      </c>
      <c r="B204" s="1" t="s">
        <v>172</v>
      </c>
      <c r="C204" s="4" t="str">
        <f>VLOOKUP(A204,'Hoja 16'!$A$1:$C$813,3,FALSE)</f>
        <v>BRIAN</v>
      </c>
      <c r="D204" s="3">
        <v>0.0</v>
      </c>
    </row>
    <row r="205">
      <c r="A205" s="2">
        <v>726.0</v>
      </c>
      <c r="B205" s="1" t="s">
        <v>173</v>
      </c>
      <c r="C205" s="4" t="str">
        <f>VLOOKUP(A205,'Hoja 16'!$A$1:$C$813,3,FALSE)</f>
        <v>Brandan Julio</v>
      </c>
      <c r="D205" s="3">
        <v>4264368.0</v>
      </c>
    </row>
    <row r="206">
      <c r="A206" s="2">
        <v>732.0</v>
      </c>
      <c r="B206" s="1" t="s">
        <v>174</v>
      </c>
      <c r="C206" s="4" t="str">
        <f>VLOOKUP(A206,'Hoja 16'!$A$1:$C$813,3,FALSE)</f>
        <v>El eter Sebastian</v>
      </c>
      <c r="D206" s="3">
        <v>-2610.0</v>
      </c>
    </row>
    <row r="207">
      <c r="A207" s="2">
        <v>740.0</v>
      </c>
      <c r="B207" s="1" t="s">
        <v>175</v>
      </c>
      <c r="C207" s="4" t="str">
        <f>VLOOKUP(A207,'Hoja 16'!$A$1:$C$813,3,FALSE)</f>
        <v>Brandan Julio</v>
      </c>
      <c r="D207" s="3">
        <v>620609.0</v>
      </c>
    </row>
    <row r="208">
      <c r="A208" s="2">
        <v>741.0</v>
      </c>
      <c r="B208" s="1" t="s">
        <v>176</v>
      </c>
      <c r="C208" s="4" t="str">
        <f>VLOOKUP(A208,'Hoja 16'!$A$1:$C$813,3,FALSE)</f>
        <v>Veliz Marcelo</v>
      </c>
      <c r="D208" s="3">
        <v>1550844.0</v>
      </c>
    </row>
    <row r="209">
      <c r="A209" s="2">
        <v>742.0</v>
      </c>
      <c r="B209" s="1" t="s">
        <v>177</v>
      </c>
      <c r="C209" s="4" t="str">
        <f>VLOOKUP(A209,'Hoja 16'!$A$1:$C$813,3,FALSE)</f>
        <v>BRIAN</v>
      </c>
      <c r="D209" s="3">
        <v>792486.0</v>
      </c>
    </row>
    <row r="210">
      <c r="A210" s="2">
        <v>746.0</v>
      </c>
      <c r="B210" s="1" t="s">
        <v>178</v>
      </c>
      <c r="C210" s="4" t="str">
        <f>VLOOKUP(A210,'Hoja 16'!$A$1:$C$813,3,FALSE)</f>
        <v>BRIAN</v>
      </c>
      <c r="D210" s="3">
        <v>348785.0</v>
      </c>
    </row>
    <row r="211">
      <c r="A211" s="2">
        <v>747.0</v>
      </c>
      <c r="B211" s="1" t="s">
        <v>179</v>
      </c>
      <c r="C211" s="4" t="str">
        <f>VLOOKUP(A211,'Hoja 16'!$A$1:$C$813,3,FALSE)</f>
        <v>BRIAN</v>
      </c>
      <c r="D211" s="3">
        <v>297900.0</v>
      </c>
    </row>
    <row r="212">
      <c r="A212" s="2">
        <v>749.0</v>
      </c>
      <c r="B212" s="1" t="s">
        <v>180</v>
      </c>
      <c r="C212" s="4" t="str">
        <f>VLOOKUP(A212,'Hoja 16'!$A$1:$C$813,3,FALSE)</f>
        <v>BRIAN</v>
      </c>
      <c r="D212" s="3">
        <v>161671.0</v>
      </c>
    </row>
    <row r="213">
      <c r="A213" s="2">
        <v>751.0</v>
      </c>
      <c r="B213" s="1" t="s">
        <v>181</v>
      </c>
      <c r="C213" s="4" t="str">
        <f>VLOOKUP(A213,'Hoja 16'!$A$1:$C$813,3,FALSE)</f>
        <v>BRIAN</v>
      </c>
      <c r="D213" s="3">
        <v>325.0</v>
      </c>
    </row>
    <row r="214">
      <c r="A214" s="2">
        <v>753.0</v>
      </c>
      <c r="B214" s="1" t="s">
        <v>182</v>
      </c>
      <c r="C214" s="4" t="str">
        <f>VLOOKUP(A214,'Hoja 16'!$A$1:$C$813,3,FALSE)</f>
        <v>BRIAN</v>
      </c>
      <c r="D214" s="3">
        <v>-993.0</v>
      </c>
    </row>
    <row r="215">
      <c r="A215" s="2">
        <v>756.0</v>
      </c>
      <c r="B215" s="1" t="s">
        <v>183</v>
      </c>
      <c r="C215" s="4" t="str">
        <f>VLOOKUP(A215,'Hoja 16'!$A$1:$C$813,3,FALSE)</f>
        <v>veliz Marcelo</v>
      </c>
      <c r="D215" s="3">
        <v>148585.0</v>
      </c>
    </row>
    <row r="216">
      <c r="A216" s="2">
        <v>758.0</v>
      </c>
      <c r="B216" s="1" t="s">
        <v>184</v>
      </c>
      <c r="C216" s="4" t="str">
        <f>VLOOKUP(A216,'Hoja 16'!$A$1:$C$813,3,FALSE)</f>
        <v>El eter Sebastian</v>
      </c>
      <c r="D216" s="3">
        <v>1.0</v>
      </c>
    </row>
    <row r="217">
      <c r="A217" s="2">
        <v>759.0</v>
      </c>
      <c r="B217" s="1" t="s">
        <v>185</v>
      </c>
      <c r="C217" s="4" t="str">
        <f>VLOOKUP(A217,'Hoja 16'!$A$1:$C$813,3,FALSE)</f>
        <v>BRIAN</v>
      </c>
      <c r="D217" s="3">
        <v>0.0</v>
      </c>
    </row>
    <row r="218">
      <c r="A218" s="2">
        <v>761.0</v>
      </c>
      <c r="B218" s="1" t="s">
        <v>186</v>
      </c>
      <c r="C218" s="4" t="str">
        <f>VLOOKUP(A218,'Hoja 16'!$A$1:$C$813,3,FALSE)</f>
        <v>BRIAN</v>
      </c>
      <c r="D218" s="3">
        <v>242008.0</v>
      </c>
    </row>
    <row r="219">
      <c r="A219" s="2">
        <v>762.0</v>
      </c>
      <c r="B219" s="1" t="s">
        <v>187</v>
      </c>
      <c r="C219" s="4" t="str">
        <f>VLOOKUP(A219,'Hoja 16'!$A$1:$C$813,3,FALSE)</f>
        <v>BRIAN</v>
      </c>
      <c r="D219" s="3">
        <v>1419391.0</v>
      </c>
    </row>
    <row r="220">
      <c r="A220" s="2">
        <v>763.0</v>
      </c>
      <c r="B220" s="1" t="s">
        <v>188</v>
      </c>
      <c r="C220" s="4" t="str">
        <f>VLOOKUP(A220,'Hoja 16'!$A$1:$C$813,3,FALSE)</f>
        <v>Brandan Julio</v>
      </c>
      <c r="D220" s="3">
        <v>101297.0</v>
      </c>
    </row>
    <row r="221">
      <c r="A221" s="2">
        <v>765.0</v>
      </c>
      <c r="B221" s="1" t="s">
        <v>189</v>
      </c>
      <c r="C221" s="4" t="str">
        <f>VLOOKUP(A221,'Hoja 16'!$A$1:$C$813,3,FALSE)</f>
        <v>El eter Sebastian</v>
      </c>
      <c r="D221" s="3">
        <v>-17783.0</v>
      </c>
    </row>
    <row r="222">
      <c r="A222" s="2">
        <v>770.0</v>
      </c>
      <c r="B222" s="1" t="s">
        <v>190</v>
      </c>
      <c r="C222" s="4" t="str">
        <f>VLOOKUP(A222,'Hoja 16'!$A$1:$C$813,3,FALSE)</f>
        <v>El eter Sebastian</v>
      </c>
      <c r="D222" s="3">
        <v>228640.0</v>
      </c>
    </row>
    <row r="223">
      <c r="A223" s="2">
        <v>772.0</v>
      </c>
      <c r="B223" s="1" t="s">
        <v>191</v>
      </c>
      <c r="C223" s="4" t="str">
        <f>VLOOKUP(A223,'Hoja 16'!$A$1:$C$813,3,FALSE)</f>
        <v>BRIAN</v>
      </c>
      <c r="D223" s="3">
        <v>308444.0</v>
      </c>
    </row>
    <row r="224">
      <c r="A224" s="2">
        <v>773.0</v>
      </c>
      <c r="B224" s="1" t="s">
        <v>192</v>
      </c>
      <c r="C224" s="4" t="str">
        <f>VLOOKUP(A224,'Hoja 16'!$A$1:$C$813,3,FALSE)</f>
        <v>Veliz Marcelo</v>
      </c>
      <c r="D224" s="3">
        <v>408479.0</v>
      </c>
    </row>
    <row r="225">
      <c r="A225" s="2">
        <v>776.0</v>
      </c>
      <c r="B225" s="1" t="s">
        <v>193</v>
      </c>
      <c r="C225" s="4" t="str">
        <f>VLOOKUP(A225,'Hoja 16'!$A$1:$C$813,3,FALSE)</f>
        <v>El eter Sebastian</v>
      </c>
      <c r="D225" s="3">
        <v>1306758.0</v>
      </c>
    </row>
    <row r="226">
      <c r="A226" s="2">
        <v>777.0</v>
      </c>
      <c r="B226" s="1" t="s">
        <v>194</v>
      </c>
      <c r="C226" s="4" t="str">
        <f>VLOOKUP(A226,'Hoja 16'!$A$1:$C$813,3,FALSE)</f>
        <v>BRIAN</v>
      </c>
      <c r="D226" s="3">
        <v>0.0</v>
      </c>
    </row>
    <row r="227">
      <c r="A227" s="2">
        <v>783.0</v>
      </c>
      <c r="B227" s="1" t="s">
        <v>195</v>
      </c>
      <c r="C227" s="4" t="str">
        <f>VLOOKUP(A227,'Hoja 16'!$A$1:$C$813,3,FALSE)</f>
        <v>BRIAN</v>
      </c>
      <c r="D227" s="3">
        <v>144558.0</v>
      </c>
    </row>
    <row r="228">
      <c r="A228" s="2">
        <v>798.0</v>
      </c>
      <c r="B228" s="1" t="s">
        <v>196</v>
      </c>
      <c r="C228" s="4" t="str">
        <f>VLOOKUP(A228,'Hoja 16'!$A$1:$C$813,3,FALSE)</f>
        <v>BRIAN</v>
      </c>
      <c r="D228" s="3">
        <v>1.0</v>
      </c>
    </row>
    <row r="229">
      <c r="A229" s="2">
        <v>806.0</v>
      </c>
      <c r="B229" s="1" t="s">
        <v>197</v>
      </c>
      <c r="C229" s="4" t="str">
        <f>VLOOKUP(A229,'Hoja 16'!$A$1:$C$813,3,FALSE)</f>
        <v>BRIAN</v>
      </c>
      <c r="D229" s="3">
        <v>-19958.0</v>
      </c>
    </row>
    <row r="230">
      <c r="A230" s="2"/>
      <c r="B230" s="1"/>
      <c r="D230" s="3">
        <v>2872438.0</v>
      </c>
    </row>
    <row r="231">
      <c r="A231" s="2"/>
      <c r="B231" s="1"/>
      <c r="D231" s="3">
        <v>28947.0</v>
      </c>
    </row>
    <row r="232">
      <c r="A232" s="2">
        <v>812.0</v>
      </c>
      <c r="B232" s="1" t="s">
        <v>198</v>
      </c>
      <c r="C232" s="4" t="str">
        <f>VLOOKUP(A232,'Hoja 16'!$A$1:$C$813,3,FALSE)</f>
        <v>Veliz Marcelo</v>
      </c>
      <c r="D232" s="3">
        <v>2852958.0</v>
      </c>
    </row>
    <row r="233">
      <c r="A233" s="2">
        <v>814.0</v>
      </c>
      <c r="B233" s="1" t="s">
        <v>199</v>
      </c>
      <c r="C233" s="4" t="str">
        <f>VLOOKUP(A233,'Hoja 16'!$A$1:$C$813,3,FALSE)</f>
        <v>Brandan Julio</v>
      </c>
      <c r="D233" s="3">
        <v>430563.0</v>
      </c>
    </row>
    <row r="234">
      <c r="A234" s="2">
        <v>819.0</v>
      </c>
      <c r="B234" s="1" t="s">
        <v>200</v>
      </c>
      <c r="C234" s="4" t="str">
        <f>VLOOKUP(A234,'Hoja 16'!$A$1:$C$813,3,FALSE)</f>
        <v>BRIAN</v>
      </c>
      <c r="D234" s="3">
        <v>0.0</v>
      </c>
    </row>
    <row r="235">
      <c r="A235" s="2">
        <v>821.0</v>
      </c>
      <c r="B235" s="1" t="s">
        <v>201</v>
      </c>
      <c r="C235" s="4" t="str">
        <f>VLOOKUP(A235,'Hoja 16'!$A$1:$C$813,3,FALSE)</f>
        <v>El eter Sebastian</v>
      </c>
      <c r="D235" s="3">
        <v>-3206.0</v>
      </c>
    </row>
    <row r="236">
      <c r="A236" s="2">
        <v>827.0</v>
      </c>
      <c r="B236" s="1" t="s">
        <v>202</v>
      </c>
      <c r="C236" s="4" t="str">
        <f>VLOOKUP(A236,'Hoja 16'!$A$1:$C$813,3,FALSE)</f>
        <v>El eter Sebastian</v>
      </c>
      <c r="D236" s="3">
        <v>0.0</v>
      </c>
    </row>
    <row r="237">
      <c r="A237" s="2">
        <v>832.0</v>
      </c>
      <c r="B237" s="1" t="s">
        <v>203</v>
      </c>
      <c r="C237" s="4" t="str">
        <f>VLOOKUP(A237,'Hoja 16'!$A$1:$C$813,3,FALSE)</f>
        <v>BRIAN</v>
      </c>
      <c r="D237" s="3">
        <v>1.0</v>
      </c>
    </row>
    <row r="238">
      <c r="A238" s="2">
        <v>842.0</v>
      </c>
      <c r="B238" s="1" t="s">
        <v>204</v>
      </c>
      <c r="C238" s="4" t="str">
        <f>VLOOKUP(A238,'Hoja 16'!$A$1:$C$813,3,FALSE)</f>
        <v>Veliz Marcelo</v>
      </c>
      <c r="D238" s="3">
        <v>207505.0</v>
      </c>
    </row>
    <row r="239">
      <c r="A239" s="2"/>
      <c r="B239" s="1"/>
      <c r="D239" s="3">
        <v>192853.0</v>
      </c>
    </row>
    <row r="240">
      <c r="A240" s="2"/>
      <c r="B240" s="1"/>
      <c r="D240" s="3">
        <v>200.0</v>
      </c>
    </row>
    <row r="241">
      <c r="A241" s="2">
        <v>852.0</v>
      </c>
      <c r="B241" s="1" t="s">
        <v>205</v>
      </c>
      <c r="C241" s="4" t="str">
        <f>VLOOKUP(A241,'Hoja 16'!$A$1:$C$813,3,FALSE)</f>
        <v>Brandan Julio</v>
      </c>
      <c r="D241" s="3">
        <v>205997.0</v>
      </c>
    </row>
    <row r="242">
      <c r="A242" s="2">
        <v>853.0</v>
      </c>
      <c r="B242" s="1" t="s">
        <v>206</v>
      </c>
      <c r="C242" s="4" t="str">
        <f>VLOOKUP(A242,'Hoja 16'!$A$1:$C$813,3,FALSE)</f>
        <v>BRIAN</v>
      </c>
      <c r="D242" s="3">
        <v>0.0</v>
      </c>
    </row>
    <row r="243">
      <c r="A243" s="2"/>
      <c r="B243" s="1"/>
      <c r="D243" s="3">
        <v>1.9328018E7</v>
      </c>
    </row>
    <row r="244">
      <c r="A244" s="2"/>
      <c r="B244" s="1"/>
      <c r="D244" s="3">
        <v>41756.0</v>
      </c>
    </row>
    <row r="245">
      <c r="A245" s="2">
        <v>903.0</v>
      </c>
      <c r="B245" s="1" t="s">
        <v>207</v>
      </c>
      <c r="C245" s="4" t="str">
        <f>VLOOKUP(A245,'Hoja 16'!$A$1:$C$813,3,FALSE)</f>
        <v>BRIAN</v>
      </c>
      <c r="D245" s="3">
        <v>222663.0</v>
      </c>
    </row>
    <row r="246">
      <c r="A246" s="2">
        <v>904.0</v>
      </c>
      <c r="B246" s="1" t="s">
        <v>208</v>
      </c>
      <c r="C246" s="4" t="str">
        <f>VLOOKUP(A246,'Hoja 16'!$A$1:$C$813,3,FALSE)</f>
        <v>Brandan Julio</v>
      </c>
      <c r="D246" s="3">
        <v>1917471.0</v>
      </c>
    </row>
    <row r="247">
      <c r="A247" s="2">
        <v>905.0</v>
      </c>
      <c r="B247" s="1" t="s">
        <v>209</v>
      </c>
      <c r="C247" s="4" t="str">
        <f>VLOOKUP(A247,'Hoja 16'!$A$1:$C$813,3,FALSE)</f>
        <v>BRIAN</v>
      </c>
      <c r="D247" s="3">
        <v>1.0</v>
      </c>
    </row>
    <row r="248">
      <c r="A248" s="2">
        <v>918.0</v>
      </c>
      <c r="B248" s="1" t="s">
        <v>210</v>
      </c>
      <c r="C248" s="4" t="str">
        <f>VLOOKUP(A248,'Hoja 16'!$A$1:$C$813,3,FALSE)</f>
        <v>BRIAN</v>
      </c>
      <c r="D248" s="3">
        <v>746385.0</v>
      </c>
    </row>
    <row r="249">
      <c r="A249" s="2">
        <v>919.0</v>
      </c>
      <c r="B249" s="1" t="s">
        <v>211</v>
      </c>
      <c r="C249" s="4" t="str">
        <f>VLOOKUP(A249,'Hoja 16'!$A$1:$C$813,3,FALSE)</f>
        <v>BRIAN</v>
      </c>
      <c r="D249" s="3">
        <v>382903.0</v>
      </c>
    </row>
    <row r="250">
      <c r="A250" s="2">
        <v>925.0</v>
      </c>
      <c r="B250" s="1" t="s">
        <v>212</v>
      </c>
      <c r="C250" s="4" t="str">
        <f>VLOOKUP(A250,'Hoja 16'!$A$1:$C$813,3,FALSE)</f>
        <v>El eter Sebastian</v>
      </c>
      <c r="D250" s="3">
        <v>2.0</v>
      </c>
    </row>
    <row r="251">
      <c r="A251" s="2">
        <v>933.0</v>
      </c>
      <c r="B251" s="1" t="s">
        <v>213</v>
      </c>
      <c r="C251" s="4" t="str">
        <f>VLOOKUP(A251,'Hoja 16'!$A$1:$C$813,3,FALSE)</f>
        <v>BRIAN</v>
      </c>
      <c r="D251" s="3">
        <v>1287952.0</v>
      </c>
    </row>
    <row r="252">
      <c r="A252" s="2">
        <v>938.0</v>
      </c>
      <c r="B252" s="1" t="s">
        <v>214</v>
      </c>
      <c r="C252" s="4" t="str">
        <f>VLOOKUP(A252,'Hoja 16'!$A$1:$C$813,3,FALSE)</f>
        <v>El eter Sebastian</v>
      </c>
      <c r="D252" s="3">
        <v>0.0</v>
      </c>
    </row>
    <row r="253">
      <c r="A253" s="2">
        <v>941.0</v>
      </c>
      <c r="B253" s="1" t="s">
        <v>215</v>
      </c>
      <c r="C253" s="4" t="str">
        <f>VLOOKUP(A253,'Hoja 16'!$A$1:$C$813,3,FALSE)</f>
        <v>BRIAN</v>
      </c>
      <c r="D253" s="3">
        <v>211190.0</v>
      </c>
    </row>
    <row r="254">
      <c r="A254" s="2">
        <v>942.0</v>
      </c>
      <c r="B254" s="1" t="s">
        <v>216</v>
      </c>
      <c r="C254" s="4" t="str">
        <f>VLOOKUP(A254,'Hoja 16'!$A$1:$C$813,3,FALSE)</f>
        <v>BRIAN</v>
      </c>
      <c r="D254" s="3">
        <v>447014.0</v>
      </c>
    </row>
    <row r="255">
      <c r="A255" s="2">
        <v>945.0</v>
      </c>
      <c r="B255" s="1" t="s">
        <v>217</v>
      </c>
      <c r="C255" s="4" t="str">
        <f>VLOOKUP(A255,'Hoja 16'!$A$1:$C$813,3,FALSE)</f>
        <v>BRIAN</v>
      </c>
      <c r="D255" s="3">
        <v>876101.0</v>
      </c>
    </row>
    <row r="256">
      <c r="A256" s="2"/>
      <c r="B256" s="1"/>
      <c r="D256" s="3">
        <v>48251.0</v>
      </c>
    </row>
    <row r="257">
      <c r="A257" s="2">
        <v>952.0</v>
      </c>
      <c r="B257" s="1" t="s">
        <v>218</v>
      </c>
      <c r="C257" s="4" t="str">
        <f>VLOOKUP(A257,'Hoja 16'!$A$1:$C$813,3,FALSE)</f>
        <v>El eter Sebastian</v>
      </c>
      <c r="D257" s="3">
        <v>-266.0</v>
      </c>
    </row>
    <row r="258">
      <c r="A258" s="2">
        <v>954.0</v>
      </c>
      <c r="B258" s="1" t="s">
        <v>219</v>
      </c>
      <c r="C258" s="4" t="str">
        <f>VLOOKUP(A258,'Hoja 16'!$A$1:$C$813,3,FALSE)</f>
        <v>Brandan Julio</v>
      </c>
      <c r="D258" s="3">
        <v>-1074.0</v>
      </c>
    </row>
    <row r="259">
      <c r="A259" s="2">
        <v>988.0</v>
      </c>
      <c r="B259" s="1" t="s">
        <v>220</v>
      </c>
      <c r="C259" s="4" t="str">
        <f>VLOOKUP(A259,'Hoja 16'!$A$1:$C$813,3,FALSE)</f>
        <v>BRIAN</v>
      </c>
      <c r="D259" s="3">
        <v>1.0</v>
      </c>
    </row>
    <row r="260">
      <c r="A260" s="2"/>
      <c r="B260" s="1"/>
      <c r="D260" s="3">
        <v>6959.0</v>
      </c>
    </row>
    <row r="261">
      <c r="A261" s="2">
        <v>1011.0</v>
      </c>
      <c r="B261" s="1" t="s">
        <v>221</v>
      </c>
      <c r="C261" s="4" t="str">
        <f>VLOOKUP(A261,'Hoja 16'!$A$1:$C$813,3,FALSE)</f>
        <v>Veliz Marcelo</v>
      </c>
      <c r="D261" s="3">
        <v>497319.0</v>
      </c>
    </row>
    <row r="262">
      <c r="A262" s="2">
        <v>1013.0</v>
      </c>
      <c r="B262" s="1" t="s">
        <v>222</v>
      </c>
      <c r="C262" s="4" t="str">
        <f>VLOOKUP(A262,'Hoja 16'!$A$1:$C$813,3,FALSE)</f>
        <v>El eter Sebastian</v>
      </c>
      <c r="D262" s="3">
        <v>1.0</v>
      </c>
    </row>
    <row r="263">
      <c r="A263" s="2">
        <v>1015.0</v>
      </c>
      <c r="B263" s="1" t="s">
        <v>223</v>
      </c>
      <c r="C263" s="4" t="str">
        <f>VLOOKUP(A263,'Hoja 16'!$A$1:$C$813,3,FALSE)</f>
        <v>Brandan Julio</v>
      </c>
      <c r="D263" s="3">
        <v>75819.0</v>
      </c>
    </row>
    <row r="264">
      <c r="A264" s="2">
        <v>1029.0</v>
      </c>
      <c r="B264" s="1" t="s">
        <v>224</v>
      </c>
      <c r="C264" s="4" t="str">
        <f>VLOOKUP(A264,'Hoja 16'!$A$1:$C$813,3,FALSE)</f>
        <v>Brandan Julio</v>
      </c>
      <c r="D264" s="3">
        <v>0.0</v>
      </c>
    </row>
    <row r="265">
      <c r="A265" s="2">
        <v>1030.0</v>
      </c>
      <c r="B265" s="1" t="s">
        <v>225</v>
      </c>
      <c r="C265" s="4" t="str">
        <f>VLOOKUP(A265,'Hoja 16'!$A$1:$C$813,3,FALSE)</f>
        <v>Brandan Julio</v>
      </c>
      <c r="D265" s="3">
        <v>92565.0</v>
      </c>
    </row>
    <row r="266">
      <c r="A266" s="2">
        <v>1039.0</v>
      </c>
      <c r="B266" s="1" t="s">
        <v>226</v>
      </c>
      <c r="C266" s="4" t="str">
        <f>VLOOKUP(A266,'Hoja 16'!$A$1:$C$813,3,FALSE)</f>
        <v>Veliz Marcelo</v>
      </c>
      <c r="D266" s="3">
        <v>774180.0</v>
      </c>
    </row>
    <row r="267">
      <c r="A267" s="2">
        <v>1049.0</v>
      </c>
      <c r="B267" s="1" t="s">
        <v>227</v>
      </c>
      <c r="C267" s="4" t="str">
        <f>VLOOKUP(A267,'Hoja 16'!$A$1:$C$813,3,FALSE)</f>
        <v>Veliz Marcelo</v>
      </c>
      <c r="D267" s="3">
        <v>884315.0</v>
      </c>
    </row>
    <row r="268">
      <c r="A268" s="2">
        <v>1052.0</v>
      </c>
      <c r="B268" s="1" t="s">
        <v>228</v>
      </c>
      <c r="C268" s="4" t="str">
        <f>VLOOKUP(A268,'Hoja 16'!$A$1:$C$813,3,FALSE)</f>
        <v>Brandan Julio</v>
      </c>
      <c r="D268" s="3">
        <v>0.0</v>
      </c>
    </row>
    <row r="269">
      <c r="A269" s="2"/>
      <c r="B269" s="1"/>
      <c r="D269" s="3">
        <v>1920190.0</v>
      </c>
    </row>
    <row r="270">
      <c r="A270" s="2">
        <v>1054.0</v>
      </c>
      <c r="B270" s="1" t="s">
        <v>229</v>
      </c>
      <c r="C270" s="4" t="str">
        <f>VLOOKUP(A270,'Hoja 16'!$A$1:$C$813,3,FALSE)</f>
        <v>Brandan Julio</v>
      </c>
      <c r="D270" s="3">
        <v>179946.0</v>
      </c>
    </row>
    <row r="271">
      <c r="A271" s="2">
        <v>1059.0</v>
      </c>
      <c r="B271" s="1" t="s">
        <v>230</v>
      </c>
      <c r="C271" s="4" t="str">
        <f>VLOOKUP(A271,'Hoja 16'!$A$1:$C$813,3,FALSE)</f>
        <v>El eter Sebastian</v>
      </c>
      <c r="D271" s="3">
        <v>1.0</v>
      </c>
    </row>
    <row r="272">
      <c r="A272" s="2">
        <v>1063.0</v>
      </c>
      <c r="B272" s="1" t="s">
        <v>231</v>
      </c>
      <c r="C272" s="4" t="str">
        <f>VLOOKUP(A272,'Hoja 16'!$A$1:$C$813,3,FALSE)</f>
        <v>El eter Sebastian</v>
      </c>
      <c r="D272" s="3">
        <v>1.0</v>
      </c>
    </row>
    <row r="273">
      <c r="A273" s="2">
        <v>1066.0</v>
      </c>
      <c r="B273" s="1" t="s">
        <v>232</v>
      </c>
      <c r="C273" s="4" t="str">
        <f>VLOOKUP(A273,'Hoja 16'!$A$1:$C$813,3,FALSE)</f>
        <v>BRIAN</v>
      </c>
      <c r="D273" s="3">
        <v>1761347.0</v>
      </c>
    </row>
    <row r="274">
      <c r="A274" s="2">
        <v>1070.0</v>
      </c>
      <c r="B274" s="1" t="s">
        <v>233</v>
      </c>
      <c r="C274" s="4" t="str">
        <f>VLOOKUP(A274,'Hoja 16'!$A$1:$C$813,3,FALSE)</f>
        <v>El eter Sebastian</v>
      </c>
      <c r="D274" s="3">
        <v>582532.0</v>
      </c>
    </row>
    <row r="275">
      <c r="A275" s="2">
        <v>1081.0</v>
      </c>
      <c r="B275" s="1" t="s">
        <v>234</v>
      </c>
      <c r="C275" s="4" t="str">
        <f>VLOOKUP(A275,'Hoja 16'!$A$1:$C$813,3,FALSE)</f>
        <v>BRIAN</v>
      </c>
      <c r="D275" s="3">
        <v>445070.0</v>
      </c>
    </row>
    <row r="276">
      <c r="A276" s="2">
        <v>1082.0</v>
      </c>
      <c r="B276" s="1" t="s">
        <v>235</v>
      </c>
      <c r="C276" s="4" t="str">
        <f>VLOOKUP(A276,'Hoja 16'!$A$1:$C$813,3,FALSE)</f>
        <v>Brandan Julio</v>
      </c>
      <c r="D276" s="3">
        <v>2.0</v>
      </c>
    </row>
    <row r="277">
      <c r="A277" s="2">
        <v>1092.0</v>
      </c>
      <c r="B277" s="1" t="s">
        <v>236</v>
      </c>
      <c r="C277" s="4" t="str">
        <f>VLOOKUP(A277,'Hoja 16'!$A$1:$C$813,3,FALSE)</f>
        <v>Veliz Marcelo</v>
      </c>
      <c r="D277" s="3">
        <v>9936.0</v>
      </c>
    </row>
    <row r="278">
      <c r="A278" s="2"/>
      <c r="B278" s="1"/>
    </row>
    <row r="279">
      <c r="A279" s="2"/>
      <c r="B279" s="1"/>
    </row>
    <row r="280">
      <c r="A280" s="2"/>
      <c r="B280" s="1"/>
    </row>
    <row r="281">
      <c r="A281" s="2"/>
      <c r="B281" s="1"/>
    </row>
    <row r="282">
      <c r="A282" s="2"/>
      <c r="B282" s="1"/>
    </row>
    <row r="283">
      <c r="A283" s="2"/>
      <c r="B283" s="1"/>
    </row>
    <row r="284">
      <c r="A284" s="2"/>
      <c r="B284" s="1"/>
    </row>
    <row r="285">
      <c r="A285" s="2"/>
      <c r="B285" s="1"/>
    </row>
    <row r="286">
      <c r="A286" s="2"/>
      <c r="B286" s="1"/>
    </row>
    <row r="287">
      <c r="A287" s="2"/>
      <c r="B287" s="1"/>
    </row>
    <row r="288">
      <c r="A288" s="2"/>
      <c r="B288" s="1"/>
    </row>
    <row r="289">
      <c r="A289" s="2"/>
      <c r="B289" s="1"/>
    </row>
    <row r="290">
      <c r="A290" s="2"/>
      <c r="B290" s="1"/>
    </row>
    <row r="291">
      <c r="A291" s="2"/>
      <c r="B291" s="1"/>
    </row>
    <row r="292">
      <c r="A292" s="2"/>
      <c r="B292" s="1"/>
    </row>
    <row r="293">
      <c r="A293" s="2"/>
      <c r="B293" s="1"/>
    </row>
    <row r="294">
      <c r="A294" s="2"/>
      <c r="B294" s="1"/>
    </row>
    <row r="295">
      <c r="A295" s="2"/>
      <c r="B295" s="1"/>
    </row>
    <row r="296">
      <c r="A296" s="2"/>
      <c r="B296" s="1"/>
    </row>
    <row r="297">
      <c r="A297" s="2"/>
      <c r="B297" s="1"/>
    </row>
    <row r="298">
      <c r="A298" s="2"/>
      <c r="B298" s="1"/>
    </row>
    <row r="299">
      <c r="A299" s="2"/>
      <c r="B299" s="1"/>
    </row>
    <row r="300">
      <c r="A300" s="2"/>
      <c r="B300" s="1"/>
    </row>
    <row r="301">
      <c r="A301" s="2"/>
      <c r="B301" s="1"/>
    </row>
    <row r="302">
      <c r="A302" s="2"/>
      <c r="B302" s="1"/>
    </row>
    <row r="303">
      <c r="A303" s="2"/>
      <c r="B303" s="1"/>
    </row>
    <row r="304">
      <c r="A304" s="2"/>
      <c r="B304" s="1"/>
    </row>
    <row r="305">
      <c r="A305" s="2"/>
      <c r="B305" s="1"/>
    </row>
    <row r="306">
      <c r="A306" s="2"/>
      <c r="B306" s="1"/>
    </row>
    <row r="307">
      <c r="A307" s="2"/>
      <c r="B307" s="1"/>
    </row>
    <row r="308">
      <c r="A308" s="2"/>
      <c r="B308" s="1"/>
    </row>
    <row r="309">
      <c r="A309" s="2"/>
      <c r="B309" s="1"/>
    </row>
    <row r="310">
      <c r="A310" s="2"/>
      <c r="B310" s="1"/>
    </row>
    <row r="311">
      <c r="A311" s="2"/>
      <c r="B311" s="1"/>
    </row>
    <row r="312">
      <c r="A312" s="2"/>
      <c r="B312" s="1"/>
    </row>
    <row r="313">
      <c r="A313" s="2"/>
      <c r="B313" s="1"/>
    </row>
    <row r="314">
      <c r="A314" s="2"/>
      <c r="B314" s="1"/>
    </row>
    <row r="315">
      <c r="A315" s="2"/>
      <c r="B315" s="1"/>
    </row>
    <row r="316">
      <c r="A316" s="2"/>
      <c r="B316" s="1"/>
    </row>
    <row r="317">
      <c r="A317" s="2"/>
      <c r="B317" s="1"/>
    </row>
    <row r="318">
      <c r="A318" s="2"/>
      <c r="B318" s="1"/>
    </row>
    <row r="319">
      <c r="A319" s="2"/>
      <c r="B319" s="1"/>
    </row>
    <row r="320">
      <c r="A320" s="2"/>
      <c r="B320" s="1"/>
    </row>
    <row r="321">
      <c r="A321" s="2"/>
      <c r="B321" s="1"/>
    </row>
    <row r="322">
      <c r="A322" s="2"/>
      <c r="B322" s="1"/>
    </row>
    <row r="323">
      <c r="A323" s="2"/>
      <c r="B323" s="1"/>
    </row>
    <row r="324">
      <c r="A324" s="2"/>
      <c r="B324" s="1"/>
    </row>
    <row r="325">
      <c r="A325" s="2"/>
      <c r="B325" s="1"/>
    </row>
    <row r="326">
      <c r="A326" s="2"/>
      <c r="B326" s="1"/>
    </row>
    <row r="327">
      <c r="A327" s="2"/>
      <c r="B327" s="1"/>
    </row>
    <row r="328">
      <c r="A328" s="2"/>
      <c r="B328" s="1"/>
    </row>
    <row r="329">
      <c r="A329" s="2"/>
      <c r="B329" s="1"/>
    </row>
    <row r="330">
      <c r="A330" s="2"/>
      <c r="B330" s="1"/>
    </row>
    <row r="331">
      <c r="A331" s="2"/>
      <c r="B331" s="1"/>
    </row>
    <row r="332">
      <c r="A332" s="2"/>
      <c r="B332" s="1"/>
    </row>
    <row r="333">
      <c r="A333" s="2"/>
      <c r="B333" s="1"/>
    </row>
    <row r="334">
      <c r="A334" s="2"/>
      <c r="B334" s="1"/>
    </row>
    <row r="335">
      <c r="A335" s="2"/>
      <c r="B335" s="1"/>
    </row>
    <row r="336">
      <c r="A336" s="2"/>
      <c r="B336" s="1"/>
    </row>
    <row r="337">
      <c r="A337" s="2"/>
      <c r="B337" s="1"/>
    </row>
    <row r="338">
      <c r="A338" s="2"/>
      <c r="B338" s="1"/>
    </row>
    <row r="339">
      <c r="A339" s="2"/>
      <c r="B339" s="1"/>
    </row>
    <row r="340">
      <c r="A340" s="2"/>
      <c r="B340" s="1"/>
    </row>
    <row r="341">
      <c r="A341" s="2"/>
      <c r="B341" s="1"/>
    </row>
    <row r="342">
      <c r="A342" s="2"/>
      <c r="B342" s="1"/>
    </row>
    <row r="343">
      <c r="A343" s="2"/>
      <c r="B343" s="1"/>
    </row>
    <row r="344">
      <c r="A344" s="2"/>
      <c r="B344" s="1"/>
    </row>
    <row r="345">
      <c r="A345" s="2"/>
      <c r="B345" s="1"/>
    </row>
    <row r="346">
      <c r="A346" s="2"/>
      <c r="B346" s="1"/>
    </row>
    <row r="347">
      <c r="A347" s="2"/>
      <c r="B347" s="1"/>
    </row>
    <row r="348">
      <c r="A348" s="2"/>
      <c r="B348" s="1"/>
    </row>
    <row r="349">
      <c r="A349" s="2"/>
      <c r="B349" s="1"/>
    </row>
    <row r="350">
      <c r="A350" s="2"/>
      <c r="B350" s="1"/>
    </row>
    <row r="351">
      <c r="A351" s="2"/>
      <c r="B351" s="1"/>
    </row>
    <row r="352">
      <c r="A352" s="2"/>
      <c r="B352" s="1"/>
    </row>
    <row r="353">
      <c r="A353" s="2"/>
      <c r="B353" s="1"/>
    </row>
    <row r="354">
      <c r="A354" s="2"/>
      <c r="B354" s="1"/>
    </row>
    <row r="355">
      <c r="A355" s="2"/>
      <c r="B355" s="1"/>
    </row>
    <row r="356">
      <c r="A356" s="2"/>
      <c r="B356" s="1"/>
    </row>
    <row r="357">
      <c r="A357" s="2"/>
      <c r="B357" s="1"/>
    </row>
    <row r="358">
      <c r="A358" s="2"/>
      <c r="B358" s="1"/>
    </row>
    <row r="359">
      <c r="A359" s="2"/>
      <c r="B359" s="1"/>
    </row>
    <row r="360">
      <c r="A360" s="2"/>
      <c r="B360" s="1"/>
    </row>
    <row r="361">
      <c r="A361" s="2"/>
      <c r="B361" s="1"/>
    </row>
    <row r="362">
      <c r="A362" s="2"/>
      <c r="B362" s="1"/>
    </row>
    <row r="363">
      <c r="A363" s="2"/>
      <c r="B363" s="1"/>
    </row>
    <row r="364">
      <c r="A364" s="2"/>
      <c r="B364" s="1"/>
    </row>
    <row r="365">
      <c r="A365" s="2"/>
      <c r="B365" s="1"/>
    </row>
    <row r="366">
      <c r="A366" s="2"/>
      <c r="B366" s="1"/>
    </row>
    <row r="367">
      <c r="A367" s="2"/>
      <c r="B367" s="1"/>
    </row>
    <row r="368">
      <c r="A368" s="2"/>
      <c r="B368" s="1"/>
    </row>
    <row r="369">
      <c r="A369" s="2"/>
      <c r="B369" s="1"/>
    </row>
    <row r="370">
      <c r="A370" s="2"/>
      <c r="B370" s="1"/>
    </row>
    <row r="371">
      <c r="A371" s="2"/>
      <c r="B371" s="1"/>
    </row>
    <row r="372">
      <c r="A372" s="2"/>
      <c r="B372" s="1"/>
    </row>
    <row r="373">
      <c r="A373" s="2"/>
      <c r="B373" s="1"/>
    </row>
    <row r="374">
      <c r="A374" s="2"/>
      <c r="B374" s="1"/>
    </row>
    <row r="375">
      <c r="A375" s="2"/>
      <c r="B375" s="1"/>
    </row>
    <row r="376">
      <c r="A376" s="2"/>
      <c r="B376" s="1"/>
    </row>
    <row r="377">
      <c r="A377" s="2"/>
      <c r="B377" s="1"/>
    </row>
    <row r="378">
      <c r="A378" s="2"/>
      <c r="B378" s="1"/>
    </row>
    <row r="379">
      <c r="A379" s="2"/>
      <c r="B379" s="1"/>
    </row>
    <row r="380">
      <c r="A380" s="2"/>
      <c r="B380" s="1"/>
    </row>
    <row r="381">
      <c r="A381" s="2"/>
      <c r="B381" s="1"/>
    </row>
    <row r="382">
      <c r="A382" s="2"/>
      <c r="B382" s="1"/>
    </row>
    <row r="383">
      <c r="A383" s="2"/>
      <c r="B383" s="1"/>
    </row>
    <row r="384">
      <c r="A384" s="2"/>
      <c r="B384" s="1"/>
    </row>
    <row r="385">
      <c r="A385" s="2"/>
      <c r="B385" s="1"/>
    </row>
    <row r="386">
      <c r="A386" s="2"/>
      <c r="B386" s="1"/>
    </row>
    <row r="387">
      <c r="A387" s="2"/>
      <c r="B387" s="1"/>
    </row>
    <row r="388">
      <c r="A388" s="2"/>
      <c r="B388" s="1"/>
    </row>
    <row r="389">
      <c r="A389" s="2"/>
      <c r="B389" s="1"/>
    </row>
    <row r="390">
      <c r="A390" s="2"/>
      <c r="B390" s="1"/>
    </row>
    <row r="391">
      <c r="A391" s="2"/>
      <c r="B391" s="1"/>
    </row>
    <row r="392">
      <c r="A392" s="2"/>
      <c r="B392" s="1"/>
    </row>
    <row r="393">
      <c r="A393" s="2"/>
      <c r="B393" s="1"/>
    </row>
    <row r="394">
      <c r="A394" s="2"/>
      <c r="B394" s="1"/>
    </row>
    <row r="395">
      <c r="A395" s="2"/>
      <c r="B395" s="1"/>
    </row>
    <row r="396">
      <c r="A396" s="2"/>
      <c r="B396" s="1"/>
    </row>
    <row r="397">
      <c r="A397" s="2"/>
      <c r="B397" s="1"/>
    </row>
    <row r="398">
      <c r="A398" s="2"/>
      <c r="B398" s="1"/>
    </row>
    <row r="399">
      <c r="A399" s="2"/>
      <c r="B399" s="1"/>
    </row>
    <row r="400">
      <c r="A400" s="2"/>
      <c r="B400" s="1"/>
    </row>
    <row r="401">
      <c r="A401" s="2"/>
      <c r="B401" s="1"/>
    </row>
    <row r="402">
      <c r="A402" s="2"/>
      <c r="B402" s="1"/>
    </row>
    <row r="403">
      <c r="A403" s="2"/>
      <c r="B403" s="1"/>
    </row>
    <row r="404">
      <c r="A404" s="2"/>
      <c r="B404" s="1"/>
    </row>
    <row r="405">
      <c r="A405" s="2"/>
      <c r="B405" s="1"/>
    </row>
    <row r="406">
      <c r="A406" s="2"/>
      <c r="B406" s="1"/>
    </row>
    <row r="407">
      <c r="A407" s="2"/>
      <c r="B407" s="1"/>
    </row>
    <row r="408">
      <c r="A408" s="2"/>
      <c r="B408" s="1"/>
    </row>
    <row r="409">
      <c r="A409" s="2"/>
      <c r="B409" s="1"/>
    </row>
    <row r="410">
      <c r="A410" s="2"/>
      <c r="B410" s="1"/>
    </row>
    <row r="411">
      <c r="A411" s="2"/>
      <c r="B411" s="1"/>
    </row>
    <row r="412">
      <c r="A412" s="2"/>
      <c r="B412" s="1"/>
    </row>
    <row r="413">
      <c r="A413" s="2"/>
      <c r="B413" s="1"/>
    </row>
    <row r="414">
      <c r="A414" s="2"/>
      <c r="B414" s="1"/>
    </row>
    <row r="415">
      <c r="A415" s="2"/>
      <c r="B415" s="1"/>
    </row>
    <row r="416">
      <c r="A416" s="2"/>
      <c r="B416" s="1"/>
    </row>
    <row r="417">
      <c r="A417" s="2"/>
      <c r="B417" s="1"/>
    </row>
    <row r="418">
      <c r="A418" s="2"/>
      <c r="B418" s="1"/>
    </row>
    <row r="419">
      <c r="A419" s="2"/>
      <c r="B419" s="1"/>
    </row>
    <row r="420">
      <c r="A420" s="2"/>
      <c r="B420" s="1"/>
    </row>
    <row r="421">
      <c r="A421" s="2"/>
      <c r="B421" s="1"/>
    </row>
    <row r="422">
      <c r="A422" s="2"/>
      <c r="B422" s="1"/>
    </row>
    <row r="423">
      <c r="A423" s="2"/>
      <c r="B423" s="1"/>
    </row>
    <row r="424">
      <c r="A424" s="2"/>
      <c r="B424" s="1"/>
    </row>
    <row r="425">
      <c r="A425" s="2"/>
      <c r="B425" s="1"/>
    </row>
    <row r="426">
      <c r="A426" s="2"/>
      <c r="B426" s="1"/>
    </row>
    <row r="427">
      <c r="A427" s="2"/>
      <c r="B427" s="1"/>
    </row>
    <row r="428">
      <c r="A428" s="2"/>
      <c r="B428" s="1"/>
    </row>
    <row r="429">
      <c r="A429" s="2"/>
      <c r="B429" s="1"/>
    </row>
    <row r="430">
      <c r="A430" s="2"/>
      <c r="B430" s="1"/>
    </row>
    <row r="431">
      <c r="A431" s="2"/>
      <c r="B431" s="1"/>
    </row>
    <row r="432">
      <c r="A432" s="2"/>
      <c r="B432" s="1"/>
    </row>
    <row r="433">
      <c r="A433" s="2"/>
      <c r="B433" s="1"/>
    </row>
    <row r="434">
      <c r="A434" s="2"/>
      <c r="B434" s="1"/>
    </row>
    <row r="435">
      <c r="A435" s="2"/>
      <c r="B435" s="1"/>
    </row>
    <row r="436">
      <c r="A436" s="2"/>
      <c r="B436" s="1"/>
    </row>
    <row r="437">
      <c r="A437" s="2"/>
      <c r="B437" s="1"/>
    </row>
    <row r="438">
      <c r="A438" s="2"/>
      <c r="B438" s="1"/>
    </row>
    <row r="439">
      <c r="A439" s="2"/>
      <c r="B439" s="1"/>
    </row>
    <row r="440">
      <c r="A440" s="2"/>
      <c r="B440" s="1"/>
    </row>
    <row r="441">
      <c r="A441" s="2"/>
      <c r="B441" s="1"/>
    </row>
    <row r="442">
      <c r="A442" s="2"/>
      <c r="B442" s="1"/>
    </row>
    <row r="443">
      <c r="A443" s="2"/>
      <c r="B443" s="1"/>
    </row>
    <row r="444">
      <c r="A444" s="2"/>
      <c r="B444" s="1"/>
    </row>
    <row r="445">
      <c r="A445" s="2"/>
      <c r="B445" s="1"/>
    </row>
    <row r="446">
      <c r="A446" s="2"/>
      <c r="B446" s="1"/>
    </row>
    <row r="447">
      <c r="A447" s="2"/>
      <c r="B447" s="1"/>
    </row>
    <row r="448">
      <c r="A448" s="2"/>
      <c r="B448" s="1"/>
    </row>
    <row r="449">
      <c r="A449" s="2"/>
      <c r="B449" s="1"/>
    </row>
    <row r="450">
      <c r="A450" s="2"/>
      <c r="B450" s="1"/>
    </row>
    <row r="451">
      <c r="A451" s="2"/>
      <c r="B451" s="1"/>
    </row>
    <row r="452">
      <c r="A452" s="2"/>
      <c r="B452" s="1"/>
    </row>
    <row r="453">
      <c r="A453" s="2"/>
      <c r="B453" s="1"/>
    </row>
    <row r="454">
      <c r="A454" s="2"/>
      <c r="B454" s="1"/>
    </row>
    <row r="455">
      <c r="A455" s="2"/>
      <c r="B455" s="1"/>
    </row>
    <row r="456">
      <c r="A456" s="2"/>
      <c r="B456" s="1"/>
    </row>
    <row r="457">
      <c r="A457" s="2"/>
      <c r="B457" s="1"/>
    </row>
    <row r="458">
      <c r="A458" s="2"/>
      <c r="B458" s="1"/>
    </row>
    <row r="459">
      <c r="A459" s="2"/>
      <c r="B459" s="1"/>
    </row>
    <row r="460">
      <c r="A460" s="2"/>
      <c r="B460" s="1"/>
    </row>
    <row r="461">
      <c r="A461" s="2"/>
      <c r="B461" s="1"/>
    </row>
    <row r="462">
      <c r="A462" s="2"/>
      <c r="B462" s="1"/>
    </row>
    <row r="463">
      <c r="A463" s="2"/>
      <c r="B463" s="1"/>
    </row>
    <row r="464">
      <c r="A464" s="2"/>
      <c r="B464" s="1"/>
    </row>
    <row r="465">
      <c r="A465" s="2"/>
      <c r="B465" s="1"/>
    </row>
    <row r="466">
      <c r="A466" s="2"/>
      <c r="B466" s="1"/>
    </row>
    <row r="467">
      <c r="A467" s="2"/>
      <c r="B467" s="1"/>
    </row>
    <row r="468">
      <c r="A468" s="2"/>
      <c r="B468" s="1"/>
    </row>
    <row r="469">
      <c r="A469" s="2"/>
      <c r="B469" s="1"/>
    </row>
    <row r="470">
      <c r="A470" s="2"/>
      <c r="B470" s="1"/>
    </row>
    <row r="471">
      <c r="A471" s="2"/>
      <c r="B471" s="1"/>
    </row>
    <row r="472">
      <c r="A472" s="2"/>
      <c r="B472" s="1"/>
    </row>
    <row r="473">
      <c r="A473" s="2"/>
      <c r="B473" s="1"/>
    </row>
    <row r="474">
      <c r="A474" s="2"/>
      <c r="B474" s="1"/>
    </row>
    <row r="475">
      <c r="A475" s="2"/>
      <c r="B475" s="1"/>
    </row>
    <row r="476">
      <c r="A476" s="2"/>
      <c r="B476" s="1"/>
    </row>
    <row r="477">
      <c r="A477" s="2"/>
      <c r="B477" s="1"/>
    </row>
    <row r="478">
      <c r="A478" s="2"/>
      <c r="B478" s="1"/>
    </row>
    <row r="479">
      <c r="A479" s="2"/>
      <c r="B479" s="1"/>
    </row>
    <row r="480">
      <c r="A480" s="2"/>
      <c r="B480" s="1"/>
    </row>
    <row r="481">
      <c r="A481" s="2"/>
      <c r="B481" s="1"/>
    </row>
    <row r="482">
      <c r="A482" s="2"/>
      <c r="B482" s="1"/>
    </row>
    <row r="483">
      <c r="A483" s="2"/>
      <c r="B483" s="1"/>
    </row>
    <row r="484">
      <c r="A484" s="2"/>
      <c r="B484" s="1"/>
    </row>
    <row r="485">
      <c r="A485" s="2"/>
      <c r="B485" s="1"/>
    </row>
    <row r="486">
      <c r="A486" s="2"/>
      <c r="B486" s="1"/>
    </row>
    <row r="487">
      <c r="A487" s="2"/>
      <c r="B487" s="1"/>
    </row>
    <row r="488">
      <c r="A488" s="2"/>
      <c r="B488" s="1"/>
    </row>
    <row r="489">
      <c r="A489" s="2"/>
      <c r="B489" s="1"/>
    </row>
    <row r="490">
      <c r="A490" s="2"/>
      <c r="B490" s="1"/>
    </row>
    <row r="491">
      <c r="A491" s="2"/>
      <c r="B491" s="1"/>
    </row>
    <row r="492">
      <c r="A492" s="2"/>
      <c r="B492" s="1"/>
    </row>
    <row r="493">
      <c r="A493" s="2"/>
      <c r="B493" s="1"/>
    </row>
    <row r="494">
      <c r="A494" s="2"/>
      <c r="B494" s="1"/>
    </row>
    <row r="495">
      <c r="A495" s="2"/>
      <c r="B495" s="1"/>
    </row>
    <row r="496">
      <c r="A496" s="2"/>
      <c r="B496" s="1"/>
    </row>
    <row r="497">
      <c r="A497" s="2"/>
      <c r="B497" s="1"/>
    </row>
    <row r="498">
      <c r="A498" s="2"/>
      <c r="B498" s="1"/>
    </row>
    <row r="499">
      <c r="A499" s="2"/>
      <c r="B499" s="1"/>
    </row>
    <row r="500">
      <c r="A500" s="2"/>
      <c r="B500" s="1"/>
    </row>
    <row r="501">
      <c r="A501" s="2"/>
      <c r="B501" s="1"/>
    </row>
    <row r="502">
      <c r="A502" s="2"/>
      <c r="B502" s="1"/>
    </row>
    <row r="503">
      <c r="A503" s="2"/>
      <c r="B503" s="1"/>
    </row>
    <row r="504">
      <c r="A504" s="2"/>
      <c r="B504" s="1"/>
    </row>
    <row r="505">
      <c r="A505" s="2"/>
      <c r="B505" s="1"/>
    </row>
    <row r="506">
      <c r="A506" s="2"/>
      <c r="B506" s="1"/>
    </row>
    <row r="507">
      <c r="A507" s="2"/>
      <c r="B507" s="1"/>
    </row>
    <row r="508">
      <c r="A508" s="2"/>
      <c r="B508" s="1"/>
    </row>
    <row r="509">
      <c r="A509" s="2"/>
      <c r="B509" s="1"/>
    </row>
    <row r="510">
      <c r="A510" s="2"/>
      <c r="B510" s="1"/>
    </row>
    <row r="511">
      <c r="A511" s="2"/>
      <c r="B511" s="1"/>
    </row>
    <row r="512">
      <c r="A512" s="2"/>
      <c r="B512" s="1"/>
    </row>
    <row r="513">
      <c r="A513" s="2"/>
      <c r="B513" s="1"/>
    </row>
    <row r="514">
      <c r="A514" s="2"/>
      <c r="B514" s="1"/>
    </row>
    <row r="515">
      <c r="A515" s="2"/>
      <c r="B515" s="1"/>
    </row>
    <row r="516">
      <c r="A516" s="2"/>
      <c r="B516" s="1"/>
    </row>
    <row r="517">
      <c r="A517" s="2"/>
      <c r="B517" s="1"/>
    </row>
    <row r="518">
      <c r="A518" s="2"/>
      <c r="B518" s="1"/>
    </row>
    <row r="519">
      <c r="A519" s="2"/>
      <c r="B519" s="1"/>
    </row>
    <row r="520">
      <c r="A520" s="2"/>
      <c r="B520" s="1"/>
    </row>
    <row r="521">
      <c r="A521" s="2"/>
      <c r="B521" s="1"/>
    </row>
    <row r="522">
      <c r="A522" s="2"/>
      <c r="B522" s="1"/>
    </row>
    <row r="523">
      <c r="A523" s="2"/>
      <c r="B523" s="1"/>
    </row>
    <row r="524">
      <c r="A524" s="2"/>
      <c r="B524" s="1"/>
    </row>
    <row r="525">
      <c r="A525" s="2"/>
      <c r="B525" s="1"/>
    </row>
    <row r="526">
      <c r="A526" s="2"/>
      <c r="B526" s="1"/>
    </row>
    <row r="527">
      <c r="A527" s="2"/>
      <c r="B527" s="1"/>
    </row>
    <row r="528">
      <c r="A528" s="2"/>
      <c r="B528" s="1"/>
    </row>
    <row r="529">
      <c r="A529" s="2"/>
      <c r="B529" s="1"/>
    </row>
    <row r="530">
      <c r="A530" s="2"/>
      <c r="B530" s="1"/>
    </row>
    <row r="531">
      <c r="A531" s="2"/>
      <c r="B531" s="1"/>
    </row>
    <row r="532">
      <c r="A532" s="2"/>
      <c r="B532" s="1"/>
    </row>
    <row r="533">
      <c r="A533" s="2"/>
      <c r="B533" s="1"/>
    </row>
    <row r="534">
      <c r="A534" s="2"/>
      <c r="B534" s="1"/>
    </row>
    <row r="535">
      <c r="A535" s="2"/>
      <c r="B535" s="1"/>
    </row>
    <row r="536">
      <c r="A536" s="2"/>
      <c r="B536" s="1"/>
    </row>
    <row r="537">
      <c r="A537" s="2"/>
      <c r="B537" s="1"/>
    </row>
    <row r="538">
      <c r="A538" s="2"/>
      <c r="B538" s="1"/>
    </row>
    <row r="539">
      <c r="A539" s="2"/>
      <c r="B539" s="1"/>
    </row>
    <row r="540">
      <c r="A540" s="2"/>
      <c r="B540" s="1"/>
    </row>
    <row r="541">
      <c r="A541" s="2"/>
      <c r="B541" s="1"/>
    </row>
    <row r="542">
      <c r="A542" s="2"/>
      <c r="B542" s="1"/>
    </row>
    <row r="543">
      <c r="A543" s="2"/>
      <c r="B543" s="1"/>
    </row>
    <row r="544">
      <c r="A544" s="2"/>
      <c r="B544" s="1"/>
    </row>
    <row r="545">
      <c r="A545" s="2"/>
      <c r="B545" s="1"/>
    </row>
    <row r="546">
      <c r="A546" s="2"/>
      <c r="B546" s="1"/>
    </row>
    <row r="547">
      <c r="A547" s="2"/>
      <c r="B547" s="1"/>
    </row>
    <row r="548">
      <c r="A548" s="2"/>
      <c r="B548" s="1"/>
    </row>
    <row r="549">
      <c r="A549" s="2"/>
      <c r="B549" s="1"/>
    </row>
    <row r="550">
      <c r="A550" s="2"/>
      <c r="B550" s="1"/>
    </row>
    <row r="551">
      <c r="A551" s="2"/>
      <c r="B551" s="1"/>
    </row>
    <row r="552">
      <c r="A552" s="2"/>
      <c r="B552" s="1"/>
    </row>
    <row r="553">
      <c r="A553" s="2"/>
      <c r="B553" s="1"/>
    </row>
    <row r="554">
      <c r="A554" s="2"/>
      <c r="B554" s="1"/>
    </row>
    <row r="555">
      <c r="A555" s="2"/>
      <c r="B555" s="1"/>
    </row>
    <row r="556">
      <c r="A556" s="2"/>
      <c r="B556" s="1"/>
    </row>
    <row r="557">
      <c r="A557" s="2"/>
      <c r="B557" s="1"/>
    </row>
    <row r="558">
      <c r="A558" s="2"/>
      <c r="B558" s="1"/>
    </row>
    <row r="559">
      <c r="A559" s="2"/>
      <c r="B559" s="1"/>
    </row>
    <row r="560">
      <c r="A560" s="2"/>
      <c r="B560" s="1"/>
    </row>
    <row r="561">
      <c r="A561" s="2"/>
      <c r="B561" s="1"/>
    </row>
    <row r="562">
      <c r="A562" s="2"/>
      <c r="B562" s="1"/>
    </row>
    <row r="563">
      <c r="A563" s="2"/>
      <c r="B563" s="1"/>
    </row>
    <row r="564">
      <c r="A564" s="2"/>
      <c r="B564" s="1"/>
    </row>
    <row r="565">
      <c r="A565" s="2"/>
      <c r="B565" s="1"/>
    </row>
    <row r="566">
      <c r="A566" s="2"/>
      <c r="B566" s="1"/>
    </row>
    <row r="567">
      <c r="A567" s="2"/>
      <c r="B567" s="1"/>
    </row>
    <row r="568">
      <c r="A568" s="2"/>
      <c r="B568" s="1"/>
    </row>
    <row r="569">
      <c r="A569" s="2"/>
      <c r="B569" s="1"/>
    </row>
    <row r="570">
      <c r="A570" s="2"/>
      <c r="B570" s="1"/>
    </row>
    <row r="571">
      <c r="A571" s="2"/>
      <c r="B571" s="1"/>
    </row>
    <row r="572">
      <c r="A572" s="2"/>
      <c r="B572" s="1"/>
    </row>
    <row r="573">
      <c r="A573" s="2"/>
      <c r="B573" s="1"/>
    </row>
    <row r="574">
      <c r="A574" s="2"/>
      <c r="B574" s="1"/>
    </row>
    <row r="575">
      <c r="A575" s="2"/>
      <c r="B575" s="1"/>
    </row>
    <row r="576">
      <c r="A576" s="2"/>
      <c r="B576" s="1"/>
    </row>
    <row r="577">
      <c r="A577" s="2"/>
      <c r="B577" s="1"/>
    </row>
    <row r="578">
      <c r="A578" s="2"/>
      <c r="B578" s="1"/>
    </row>
    <row r="579">
      <c r="A579" s="2"/>
      <c r="B579" s="1"/>
    </row>
    <row r="580">
      <c r="A580" s="2"/>
      <c r="B580" s="1"/>
    </row>
    <row r="581">
      <c r="A581" s="2"/>
      <c r="B581" s="1"/>
    </row>
    <row r="582">
      <c r="A582" s="2"/>
      <c r="B582" s="1"/>
    </row>
    <row r="583">
      <c r="A583" s="2"/>
      <c r="B583" s="1"/>
    </row>
    <row r="584">
      <c r="A584" s="2"/>
      <c r="B584" s="1"/>
    </row>
    <row r="585">
      <c r="A585" s="2"/>
      <c r="B585" s="1"/>
    </row>
    <row r="586">
      <c r="A586" s="2"/>
      <c r="B586" s="1"/>
    </row>
    <row r="587">
      <c r="A587" s="2"/>
      <c r="B587" s="1"/>
    </row>
    <row r="588">
      <c r="A588" s="2"/>
      <c r="B588" s="1"/>
    </row>
    <row r="589">
      <c r="A589" s="2"/>
      <c r="B589" s="1"/>
    </row>
    <row r="590">
      <c r="A590" s="2"/>
      <c r="B590" s="1"/>
    </row>
    <row r="591">
      <c r="A591" s="2"/>
      <c r="B591" s="1"/>
    </row>
    <row r="592">
      <c r="A592" s="2"/>
      <c r="B592" s="1"/>
    </row>
    <row r="593">
      <c r="A593" s="2"/>
      <c r="B593" s="1"/>
    </row>
    <row r="594">
      <c r="A594" s="2"/>
      <c r="B594" s="1"/>
    </row>
    <row r="595">
      <c r="A595" s="2"/>
      <c r="B595" s="1"/>
    </row>
    <row r="596">
      <c r="A596" s="2"/>
      <c r="B596" s="1"/>
    </row>
    <row r="597">
      <c r="A597" s="2"/>
      <c r="B597" s="1"/>
    </row>
    <row r="598">
      <c r="A598" s="2"/>
      <c r="B598" s="1"/>
    </row>
    <row r="599">
      <c r="A599" s="2"/>
      <c r="B599" s="1"/>
    </row>
    <row r="600">
      <c r="A600" s="2"/>
      <c r="B600" s="1"/>
    </row>
    <row r="601">
      <c r="A601" s="2"/>
      <c r="B601" s="1"/>
    </row>
    <row r="602">
      <c r="A602" s="2"/>
      <c r="B602" s="1"/>
    </row>
    <row r="603">
      <c r="A603" s="2"/>
      <c r="B603" s="1"/>
    </row>
    <row r="604">
      <c r="A604" s="2"/>
      <c r="B604" s="1"/>
    </row>
    <row r="605">
      <c r="A605" s="2"/>
      <c r="B605" s="1"/>
    </row>
    <row r="606">
      <c r="A606" s="2"/>
      <c r="B606" s="1"/>
    </row>
    <row r="607">
      <c r="A607" s="2"/>
      <c r="B607" s="1"/>
    </row>
    <row r="608">
      <c r="A608" s="2"/>
      <c r="B608" s="1"/>
    </row>
    <row r="609">
      <c r="A609" s="2"/>
      <c r="B609" s="1"/>
    </row>
    <row r="610">
      <c r="A610" s="2"/>
      <c r="B610" s="1"/>
    </row>
    <row r="611">
      <c r="A611" s="2"/>
      <c r="B611" s="1"/>
    </row>
    <row r="612">
      <c r="A612" s="2"/>
      <c r="B612" s="1"/>
    </row>
    <row r="613">
      <c r="A613" s="2"/>
      <c r="B613" s="1"/>
    </row>
    <row r="614">
      <c r="A614" s="2"/>
      <c r="B614" s="1"/>
    </row>
    <row r="615">
      <c r="A615" s="2"/>
      <c r="B615" s="1"/>
    </row>
    <row r="616">
      <c r="A616" s="2"/>
      <c r="B616" s="1"/>
    </row>
    <row r="617">
      <c r="A617" s="2"/>
      <c r="B617" s="1"/>
    </row>
    <row r="618">
      <c r="A618" s="2"/>
      <c r="B618" s="1"/>
    </row>
    <row r="619">
      <c r="A619" s="2"/>
      <c r="B619" s="1"/>
    </row>
    <row r="620">
      <c r="A620" s="2"/>
      <c r="B620" s="1"/>
    </row>
    <row r="621">
      <c r="A621" s="2"/>
      <c r="B621" s="1"/>
    </row>
    <row r="622">
      <c r="A622" s="2"/>
      <c r="B622" s="1"/>
    </row>
    <row r="623">
      <c r="A623" s="2"/>
      <c r="B623" s="1"/>
    </row>
    <row r="624">
      <c r="A624" s="2"/>
      <c r="B624" s="1"/>
    </row>
    <row r="625">
      <c r="A625" s="2"/>
      <c r="B625" s="1"/>
    </row>
    <row r="626">
      <c r="A626" s="2"/>
      <c r="B626" s="1"/>
    </row>
    <row r="627">
      <c r="A627" s="2"/>
      <c r="B627" s="1"/>
    </row>
    <row r="628">
      <c r="A628" s="2"/>
      <c r="B628" s="1"/>
    </row>
    <row r="629">
      <c r="A629" s="2"/>
      <c r="B629" s="1"/>
    </row>
    <row r="630">
      <c r="A630" s="2"/>
      <c r="B630" s="1"/>
    </row>
    <row r="631">
      <c r="A631" s="2"/>
      <c r="B631" s="1"/>
    </row>
    <row r="632">
      <c r="A632" s="2"/>
      <c r="B632" s="1"/>
    </row>
    <row r="633">
      <c r="A633" s="2"/>
      <c r="B633" s="1"/>
    </row>
    <row r="634">
      <c r="A634" s="2"/>
      <c r="B634" s="1"/>
    </row>
    <row r="635">
      <c r="A635" s="2"/>
      <c r="B635" s="1"/>
    </row>
    <row r="636">
      <c r="A636" s="2"/>
      <c r="B636" s="1"/>
    </row>
    <row r="637">
      <c r="A637" s="2"/>
      <c r="B637" s="1"/>
    </row>
    <row r="638">
      <c r="A638" s="2"/>
      <c r="B638" s="1"/>
    </row>
    <row r="639">
      <c r="A639" s="2"/>
      <c r="B639" s="1"/>
    </row>
    <row r="640">
      <c r="A640" s="2"/>
      <c r="B640" s="1"/>
    </row>
    <row r="641">
      <c r="A641" s="2"/>
      <c r="B641" s="1"/>
    </row>
    <row r="642">
      <c r="A642" s="2"/>
      <c r="B642" s="1"/>
    </row>
    <row r="643">
      <c r="A643" s="2"/>
      <c r="B643" s="1"/>
    </row>
    <row r="644">
      <c r="A644" s="2"/>
      <c r="B644" s="1"/>
    </row>
    <row r="645">
      <c r="A645" s="2"/>
      <c r="B645" s="1"/>
    </row>
    <row r="646">
      <c r="A646" s="2"/>
      <c r="B646" s="1"/>
    </row>
    <row r="647">
      <c r="A647" s="2"/>
      <c r="B647" s="1"/>
    </row>
    <row r="648">
      <c r="A648" s="2"/>
      <c r="B648" s="1"/>
    </row>
    <row r="649">
      <c r="A649" s="2"/>
      <c r="B649" s="1"/>
    </row>
    <row r="650">
      <c r="A650" s="2"/>
      <c r="B650" s="1"/>
    </row>
    <row r="651">
      <c r="A651" s="2"/>
      <c r="B651" s="1"/>
    </row>
    <row r="652">
      <c r="A652" s="2"/>
      <c r="B652" s="1"/>
    </row>
    <row r="653">
      <c r="A653" s="2"/>
      <c r="B653" s="1"/>
    </row>
    <row r="654">
      <c r="A654" s="2"/>
      <c r="B654" s="1"/>
    </row>
    <row r="655">
      <c r="A655" s="2"/>
      <c r="B655" s="1"/>
    </row>
    <row r="656">
      <c r="A656" s="2"/>
      <c r="B656" s="1"/>
    </row>
    <row r="657">
      <c r="A657" s="2"/>
      <c r="B657" s="1"/>
    </row>
    <row r="658">
      <c r="A658" s="2"/>
      <c r="B658" s="1"/>
    </row>
    <row r="659">
      <c r="A659" s="2"/>
      <c r="B659" s="1"/>
    </row>
    <row r="660">
      <c r="A660" s="2"/>
      <c r="B660" s="1"/>
    </row>
    <row r="661">
      <c r="A661" s="2"/>
      <c r="B661" s="1"/>
    </row>
    <row r="662">
      <c r="A662" s="2"/>
      <c r="B662" s="1"/>
    </row>
    <row r="663">
      <c r="A663" s="2"/>
      <c r="B663" s="1"/>
    </row>
    <row r="664">
      <c r="A664" s="2"/>
      <c r="B664" s="1"/>
    </row>
    <row r="665">
      <c r="A665" s="2"/>
      <c r="B665" s="1"/>
    </row>
    <row r="666">
      <c r="A666" s="2"/>
      <c r="B666" s="1"/>
    </row>
    <row r="667">
      <c r="A667" s="2"/>
      <c r="B667" s="1"/>
    </row>
    <row r="668">
      <c r="A668" s="2"/>
      <c r="B668" s="1"/>
    </row>
    <row r="669">
      <c r="A669" s="2"/>
      <c r="B669" s="1"/>
    </row>
    <row r="670">
      <c r="A670" s="2"/>
      <c r="B670" s="1"/>
    </row>
    <row r="671">
      <c r="A671" s="2"/>
      <c r="B671" s="1"/>
    </row>
    <row r="672">
      <c r="A672" s="2"/>
      <c r="B672" s="1"/>
    </row>
    <row r="673">
      <c r="A673" s="2"/>
      <c r="B673" s="1"/>
    </row>
    <row r="674">
      <c r="A674" s="2"/>
      <c r="B674" s="1"/>
    </row>
    <row r="675">
      <c r="A675" s="2"/>
      <c r="B675" s="1"/>
    </row>
    <row r="676">
      <c r="A676" s="2"/>
      <c r="B676" s="1"/>
    </row>
    <row r="677">
      <c r="A677" s="2"/>
      <c r="B677" s="1"/>
    </row>
    <row r="678">
      <c r="A678" s="2"/>
      <c r="B678" s="1"/>
    </row>
    <row r="679">
      <c r="A679" s="2"/>
      <c r="B679" s="1"/>
    </row>
    <row r="680">
      <c r="A680" s="2"/>
      <c r="B680" s="1"/>
    </row>
    <row r="681">
      <c r="A681" s="2"/>
      <c r="B681" s="1"/>
    </row>
    <row r="682">
      <c r="A682" s="2"/>
      <c r="B682" s="1"/>
    </row>
    <row r="683">
      <c r="A683" s="2"/>
      <c r="B683" s="1"/>
    </row>
    <row r="684">
      <c r="A684" s="2"/>
      <c r="B684" s="1"/>
    </row>
    <row r="685">
      <c r="A685" s="2"/>
      <c r="B685" s="1"/>
    </row>
    <row r="686">
      <c r="A686" s="2"/>
      <c r="B686" s="1"/>
    </row>
    <row r="687">
      <c r="A687" s="2"/>
      <c r="B687" s="1"/>
    </row>
    <row r="688">
      <c r="A688" s="2"/>
      <c r="B688" s="1"/>
    </row>
    <row r="689">
      <c r="A689" s="2"/>
      <c r="B689" s="1"/>
    </row>
    <row r="690">
      <c r="A690" s="2"/>
      <c r="B690" s="1"/>
    </row>
    <row r="691">
      <c r="A691" s="2"/>
      <c r="B691" s="1"/>
    </row>
    <row r="692">
      <c r="A692" s="2"/>
      <c r="B692" s="1"/>
    </row>
    <row r="693">
      <c r="A693" s="2"/>
      <c r="B693" s="1"/>
    </row>
    <row r="694">
      <c r="A694" s="2"/>
      <c r="B694" s="1"/>
    </row>
    <row r="695">
      <c r="A695" s="2"/>
      <c r="B695" s="1"/>
    </row>
    <row r="696">
      <c r="A696" s="2"/>
      <c r="B696" s="1"/>
    </row>
    <row r="697">
      <c r="A697" s="2"/>
      <c r="B697" s="1"/>
    </row>
    <row r="698">
      <c r="A698" s="2"/>
      <c r="B698" s="1"/>
    </row>
    <row r="699">
      <c r="A699" s="2"/>
      <c r="B699" s="1"/>
    </row>
    <row r="700">
      <c r="A700" s="2"/>
      <c r="B700" s="1"/>
    </row>
    <row r="701">
      <c r="A701" s="2"/>
      <c r="B701" s="1"/>
    </row>
    <row r="702">
      <c r="A702" s="2"/>
      <c r="B702" s="1"/>
    </row>
    <row r="703">
      <c r="A703" s="2"/>
      <c r="B703" s="1"/>
    </row>
    <row r="704">
      <c r="A704" s="2"/>
      <c r="B704" s="1"/>
    </row>
    <row r="705">
      <c r="A705" s="2"/>
      <c r="B705" s="1"/>
    </row>
    <row r="706">
      <c r="A706" s="2"/>
      <c r="B706" s="1"/>
    </row>
    <row r="707">
      <c r="A707" s="2"/>
      <c r="B707" s="1"/>
    </row>
    <row r="708">
      <c r="A708" s="2"/>
      <c r="B708" s="1"/>
    </row>
    <row r="709">
      <c r="A709" s="2"/>
      <c r="B709" s="1"/>
    </row>
    <row r="710">
      <c r="A710" s="2"/>
      <c r="B710" s="1"/>
    </row>
    <row r="711">
      <c r="A711" s="2"/>
      <c r="B711" s="1"/>
    </row>
    <row r="712">
      <c r="A712" s="2"/>
      <c r="B712" s="1"/>
    </row>
    <row r="713">
      <c r="A713" s="2"/>
      <c r="B713" s="1"/>
    </row>
    <row r="714">
      <c r="A714" s="2"/>
      <c r="B714" s="1"/>
    </row>
    <row r="715">
      <c r="A715" s="2"/>
      <c r="B715" s="1"/>
    </row>
    <row r="716">
      <c r="A716" s="2"/>
      <c r="B716" s="1"/>
    </row>
    <row r="717">
      <c r="A717" s="2"/>
      <c r="B717" s="1"/>
    </row>
    <row r="718">
      <c r="A718" s="2"/>
      <c r="B718" s="1"/>
    </row>
    <row r="719">
      <c r="A719" s="2"/>
      <c r="B719" s="1"/>
    </row>
    <row r="720">
      <c r="A720" s="2"/>
      <c r="B720" s="1"/>
    </row>
    <row r="721">
      <c r="A721" s="2"/>
      <c r="B721" s="1"/>
    </row>
    <row r="722">
      <c r="A722" s="2"/>
      <c r="B722" s="1"/>
    </row>
    <row r="723">
      <c r="A723" s="2"/>
      <c r="B723" s="1"/>
    </row>
    <row r="724">
      <c r="A724" s="2"/>
      <c r="B724" s="1"/>
    </row>
    <row r="725">
      <c r="A725" s="2"/>
      <c r="B725" s="1"/>
    </row>
    <row r="726">
      <c r="A726" s="2"/>
      <c r="B726" s="1"/>
    </row>
    <row r="727">
      <c r="A727" s="2"/>
      <c r="B727" s="1"/>
    </row>
    <row r="728">
      <c r="A728" s="2"/>
      <c r="B728" s="1"/>
    </row>
    <row r="729">
      <c r="A729" s="2"/>
      <c r="B729" s="1"/>
    </row>
    <row r="730">
      <c r="A730" s="2"/>
      <c r="B730" s="1"/>
    </row>
    <row r="731">
      <c r="A731" s="2"/>
      <c r="B731" s="1"/>
    </row>
    <row r="732">
      <c r="A732" s="2"/>
      <c r="B732" s="1"/>
    </row>
    <row r="733">
      <c r="A733" s="2"/>
      <c r="B733" s="1"/>
    </row>
    <row r="734">
      <c r="A734" s="2"/>
      <c r="B734" s="1"/>
    </row>
    <row r="735">
      <c r="A735" s="2"/>
      <c r="B735" s="1"/>
    </row>
    <row r="736">
      <c r="A736" s="2"/>
      <c r="B736" s="1"/>
    </row>
    <row r="737">
      <c r="A737" s="2"/>
      <c r="B737" s="1"/>
    </row>
    <row r="738">
      <c r="A738" s="2"/>
      <c r="B738" s="1"/>
    </row>
    <row r="739">
      <c r="A739" s="2"/>
      <c r="B739" s="1"/>
    </row>
    <row r="740">
      <c r="A740" s="2"/>
      <c r="B740" s="1"/>
    </row>
    <row r="741">
      <c r="A741" s="2"/>
      <c r="B741" s="1"/>
    </row>
    <row r="742">
      <c r="A742" s="2"/>
      <c r="B742" s="1"/>
    </row>
    <row r="743">
      <c r="A743" s="2"/>
      <c r="B743" s="1"/>
    </row>
    <row r="744">
      <c r="A744" s="2"/>
      <c r="B744" s="1"/>
    </row>
    <row r="745">
      <c r="A745" s="2"/>
      <c r="B745" s="1"/>
    </row>
    <row r="746">
      <c r="A746" s="2"/>
      <c r="B746" s="1"/>
    </row>
    <row r="747">
      <c r="A747" s="2"/>
      <c r="B747" s="1"/>
    </row>
    <row r="748">
      <c r="A748" s="2"/>
      <c r="B748" s="1"/>
    </row>
    <row r="749">
      <c r="A749" s="2"/>
      <c r="B749" s="1"/>
    </row>
    <row r="750">
      <c r="A750" s="2"/>
      <c r="B750" s="1"/>
    </row>
    <row r="751">
      <c r="A751" s="2"/>
      <c r="B751" s="1"/>
    </row>
    <row r="752">
      <c r="A752" s="2"/>
      <c r="B752" s="1"/>
    </row>
    <row r="753">
      <c r="A753" s="2"/>
      <c r="B753" s="1"/>
    </row>
    <row r="754">
      <c r="A754" s="2"/>
      <c r="B754" s="1"/>
    </row>
    <row r="755">
      <c r="A755" s="2"/>
      <c r="B755" s="1"/>
    </row>
    <row r="756">
      <c r="A756" s="2"/>
      <c r="B756" s="1"/>
    </row>
    <row r="757">
      <c r="A757" s="2"/>
      <c r="B757" s="1"/>
    </row>
    <row r="758">
      <c r="A758" s="2"/>
      <c r="B758" s="1"/>
    </row>
    <row r="759">
      <c r="A759" s="2"/>
      <c r="B759" s="1"/>
    </row>
    <row r="760">
      <c r="A760" s="2"/>
      <c r="B760" s="1"/>
    </row>
    <row r="761">
      <c r="A761" s="2"/>
      <c r="B761" s="1"/>
    </row>
    <row r="762">
      <c r="A762" s="2"/>
      <c r="B762" s="1"/>
    </row>
    <row r="763">
      <c r="A763" s="2"/>
      <c r="B763" s="1"/>
    </row>
    <row r="764">
      <c r="A764" s="2"/>
      <c r="B764" s="1"/>
    </row>
    <row r="765">
      <c r="A765" s="2"/>
      <c r="B765" s="1"/>
    </row>
    <row r="766">
      <c r="A766" s="2"/>
      <c r="B766" s="1"/>
    </row>
    <row r="767">
      <c r="A767" s="2"/>
      <c r="B767" s="1"/>
    </row>
    <row r="768">
      <c r="A768" s="2"/>
      <c r="B768" s="1"/>
    </row>
    <row r="769">
      <c r="A769" s="2"/>
      <c r="B769" s="1"/>
    </row>
    <row r="770">
      <c r="A770" s="2"/>
      <c r="B770" s="1"/>
    </row>
    <row r="771">
      <c r="A771" s="2"/>
      <c r="B771" s="1"/>
    </row>
    <row r="772">
      <c r="A772" s="2"/>
      <c r="B772" s="1"/>
    </row>
    <row r="773">
      <c r="A773" s="2"/>
      <c r="B773" s="1"/>
    </row>
    <row r="774">
      <c r="A774" s="2"/>
      <c r="B774" s="1"/>
    </row>
    <row r="775">
      <c r="A775" s="2"/>
      <c r="B775" s="1"/>
    </row>
    <row r="776">
      <c r="A776" s="2"/>
      <c r="B776" s="1"/>
    </row>
    <row r="777">
      <c r="A777" s="2"/>
      <c r="B777" s="1"/>
    </row>
    <row r="778">
      <c r="A778" s="2"/>
      <c r="B778" s="1"/>
    </row>
    <row r="779">
      <c r="A779" s="2"/>
      <c r="B779" s="1"/>
    </row>
    <row r="780">
      <c r="A780" s="2"/>
      <c r="B780" s="1"/>
    </row>
    <row r="781">
      <c r="A781" s="2"/>
      <c r="B781" s="1"/>
    </row>
    <row r="782">
      <c r="A782" s="2"/>
      <c r="B782" s="1"/>
    </row>
    <row r="783">
      <c r="A783" s="2"/>
      <c r="B783" s="1"/>
    </row>
    <row r="784">
      <c r="A784" s="2"/>
      <c r="B784" s="1"/>
    </row>
    <row r="785">
      <c r="A785" s="2"/>
      <c r="B785" s="1"/>
    </row>
    <row r="786">
      <c r="A786" s="2"/>
      <c r="B786" s="1"/>
    </row>
    <row r="787">
      <c r="A787" s="2"/>
      <c r="B787" s="1"/>
    </row>
    <row r="788">
      <c r="A788" s="2"/>
      <c r="B788" s="1"/>
    </row>
    <row r="789">
      <c r="A789" s="2"/>
      <c r="B789" s="1"/>
    </row>
    <row r="790">
      <c r="A790" s="2"/>
      <c r="B790" s="1"/>
    </row>
    <row r="791">
      <c r="A791" s="2"/>
      <c r="B791" s="1"/>
    </row>
    <row r="792">
      <c r="A792" s="2"/>
      <c r="B792" s="1"/>
    </row>
    <row r="793">
      <c r="A793" s="2"/>
      <c r="B793" s="1"/>
    </row>
    <row r="794">
      <c r="A794" s="2"/>
      <c r="B794" s="1"/>
    </row>
    <row r="795">
      <c r="A795" s="2"/>
      <c r="B795" s="1"/>
    </row>
    <row r="796">
      <c r="A796" s="2"/>
      <c r="B796" s="1"/>
    </row>
    <row r="797">
      <c r="A797" s="2"/>
      <c r="B797" s="1"/>
    </row>
    <row r="798">
      <c r="A798" s="2"/>
      <c r="B798" s="1"/>
    </row>
    <row r="799">
      <c r="A799" s="2"/>
      <c r="B799" s="1"/>
    </row>
    <row r="800">
      <c r="A800" s="2"/>
      <c r="B800" s="1"/>
    </row>
    <row r="801">
      <c r="A801" s="2"/>
      <c r="B801" s="1"/>
    </row>
    <row r="802">
      <c r="A802" s="2"/>
      <c r="B802" s="1"/>
    </row>
    <row r="803">
      <c r="A803" s="2"/>
      <c r="B803" s="1"/>
    </row>
    <row r="804">
      <c r="A804" s="2"/>
      <c r="B804" s="1"/>
    </row>
    <row r="805">
      <c r="A805" s="2"/>
      <c r="B805" s="1"/>
    </row>
    <row r="806">
      <c r="A806" s="2"/>
      <c r="B806" s="1"/>
    </row>
    <row r="807">
      <c r="A807" s="2"/>
      <c r="B807" s="1"/>
    </row>
    <row r="808">
      <c r="A808" s="2"/>
      <c r="B808" s="1"/>
    </row>
    <row r="809">
      <c r="A809" s="2"/>
      <c r="B809" s="1"/>
    </row>
    <row r="810">
      <c r="A810" s="2"/>
      <c r="B810" s="1"/>
    </row>
    <row r="811">
      <c r="A811" s="2"/>
      <c r="B811" s="1"/>
    </row>
    <row r="812">
      <c r="A812" s="2"/>
      <c r="B812" s="1"/>
    </row>
    <row r="813">
      <c r="A813" s="2"/>
      <c r="B813" s="1"/>
    </row>
    <row r="814">
      <c r="A814" s="2"/>
      <c r="B814" s="1"/>
    </row>
    <row r="815">
      <c r="A815" s="2"/>
      <c r="B815" s="1"/>
    </row>
    <row r="816">
      <c r="A816" s="2"/>
      <c r="B816" s="1"/>
    </row>
    <row r="817">
      <c r="A817" s="2"/>
      <c r="B817" s="1"/>
    </row>
    <row r="818">
      <c r="A818" s="2"/>
      <c r="B818" s="1"/>
    </row>
    <row r="819">
      <c r="A819" s="2"/>
      <c r="B819" s="1"/>
    </row>
    <row r="820">
      <c r="A820" s="2"/>
      <c r="B820" s="1"/>
    </row>
    <row r="821">
      <c r="A821" s="2"/>
      <c r="B821" s="1"/>
    </row>
    <row r="822">
      <c r="A822" s="2"/>
      <c r="B822" s="1"/>
    </row>
    <row r="823">
      <c r="A823" s="2"/>
      <c r="B823" s="1"/>
    </row>
    <row r="824">
      <c r="A824" s="2"/>
      <c r="B824" s="1"/>
    </row>
    <row r="825">
      <c r="A825" s="2"/>
      <c r="B825" s="1"/>
    </row>
    <row r="826">
      <c r="A826" s="2"/>
      <c r="B826" s="1"/>
    </row>
    <row r="827">
      <c r="A827" s="2"/>
      <c r="B827" s="1"/>
    </row>
    <row r="828">
      <c r="A828" s="2"/>
      <c r="B828" s="1"/>
    </row>
    <row r="829">
      <c r="A829" s="2"/>
      <c r="B829" s="1"/>
    </row>
    <row r="830">
      <c r="A830" s="2"/>
      <c r="B830" s="1"/>
    </row>
    <row r="831">
      <c r="A831" s="2"/>
      <c r="B831" s="1"/>
    </row>
    <row r="832">
      <c r="A832" s="2"/>
      <c r="B832" s="1"/>
    </row>
    <row r="833">
      <c r="A833" s="2"/>
      <c r="B833" s="1"/>
    </row>
    <row r="834">
      <c r="A834" s="2"/>
      <c r="B834" s="1"/>
    </row>
    <row r="835">
      <c r="A835" s="2"/>
      <c r="B835" s="1"/>
    </row>
    <row r="836">
      <c r="A836" s="2"/>
      <c r="B836" s="1"/>
    </row>
    <row r="837">
      <c r="A837" s="2"/>
      <c r="B837" s="1"/>
    </row>
    <row r="838">
      <c r="A838" s="2"/>
      <c r="B838" s="1"/>
    </row>
    <row r="839">
      <c r="A839" s="2"/>
      <c r="B839" s="1"/>
    </row>
    <row r="840">
      <c r="A840" s="2"/>
      <c r="B840" s="1"/>
    </row>
    <row r="841">
      <c r="A841" s="2"/>
      <c r="B841" s="1"/>
    </row>
    <row r="842">
      <c r="A842" s="2"/>
      <c r="B842" s="1"/>
    </row>
    <row r="843">
      <c r="A843" s="2"/>
      <c r="B843" s="1"/>
    </row>
    <row r="844">
      <c r="A844" s="2"/>
      <c r="B844" s="1"/>
    </row>
    <row r="845">
      <c r="A845" s="2"/>
      <c r="B845" s="1"/>
    </row>
    <row r="846">
      <c r="A846" s="2"/>
      <c r="B846" s="1"/>
    </row>
    <row r="847">
      <c r="A847" s="2"/>
      <c r="B847" s="1"/>
    </row>
    <row r="848">
      <c r="A848" s="2"/>
      <c r="B848" s="1"/>
    </row>
    <row r="849">
      <c r="A849" s="2"/>
      <c r="B849" s="1"/>
    </row>
    <row r="850">
      <c r="A850" s="2"/>
      <c r="B850" s="1"/>
    </row>
    <row r="851">
      <c r="A851" s="2"/>
      <c r="B851" s="1"/>
    </row>
    <row r="852">
      <c r="A852" s="2"/>
      <c r="B852" s="1"/>
    </row>
    <row r="853">
      <c r="A853" s="2"/>
      <c r="B853" s="1"/>
    </row>
    <row r="854">
      <c r="A854" s="2"/>
      <c r="B854" s="1"/>
    </row>
    <row r="855">
      <c r="A855" s="2"/>
      <c r="B855" s="1"/>
    </row>
    <row r="856">
      <c r="A856" s="2"/>
      <c r="B856" s="1"/>
    </row>
    <row r="857">
      <c r="A857" s="2"/>
      <c r="B857" s="1"/>
    </row>
    <row r="858">
      <c r="A858" s="2"/>
      <c r="B858" s="1"/>
    </row>
    <row r="859">
      <c r="A859" s="2"/>
      <c r="B859" s="1"/>
    </row>
    <row r="860">
      <c r="A860" s="2"/>
      <c r="B860" s="1"/>
    </row>
    <row r="861">
      <c r="A861" s="2"/>
      <c r="B861" s="1"/>
    </row>
    <row r="862">
      <c r="A862" s="2"/>
      <c r="B862" s="1"/>
    </row>
    <row r="863">
      <c r="A863" s="2"/>
      <c r="B863" s="1"/>
    </row>
    <row r="864">
      <c r="A864" s="2"/>
      <c r="B864" s="1"/>
    </row>
    <row r="865">
      <c r="A865" s="2"/>
      <c r="B865" s="1"/>
    </row>
    <row r="866">
      <c r="A866" s="2"/>
      <c r="B866" s="1"/>
    </row>
    <row r="867">
      <c r="A867" s="2"/>
      <c r="B867" s="1"/>
    </row>
    <row r="868">
      <c r="A868" s="2"/>
      <c r="B868" s="1"/>
    </row>
    <row r="869">
      <c r="A869" s="2"/>
      <c r="B869" s="1"/>
    </row>
    <row r="870">
      <c r="A870" s="2"/>
      <c r="B870" s="1"/>
    </row>
    <row r="871">
      <c r="A871" s="2"/>
      <c r="B871" s="1"/>
    </row>
    <row r="872">
      <c r="A872" s="2"/>
      <c r="B872" s="1"/>
    </row>
    <row r="873">
      <c r="A873" s="2"/>
      <c r="B873" s="1"/>
    </row>
    <row r="874">
      <c r="A874" s="2"/>
      <c r="B874" s="1"/>
    </row>
    <row r="875">
      <c r="A875" s="2"/>
      <c r="B875" s="1"/>
    </row>
    <row r="876">
      <c r="A876" s="2"/>
      <c r="B876" s="1"/>
    </row>
    <row r="877">
      <c r="A877" s="2"/>
      <c r="B877" s="1"/>
    </row>
    <row r="878">
      <c r="A878" s="2"/>
      <c r="B878" s="1"/>
    </row>
    <row r="879">
      <c r="A879" s="2"/>
      <c r="B879" s="1"/>
    </row>
    <row r="880">
      <c r="A880" s="2"/>
      <c r="B880" s="1"/>
    </row>
    <row r="881">
      <c r="A881" s="2"/>
      <c r="B881" s="1"/>
    </row>
    <row r="882">
      <c r="A882" s="2"/>
      <c r="B882" s="1"/>
    </row>
    <row r="883">
      <c r="A883" s="2"/>
      <c r="B883" s="1"/>
    </row>
    <row r="884">
      <c r="A884" s="2"/>
      <c r="B884" s="1"/>
    </row>
    <row r="885">
      <c r="A885" s="2"/>
      <c r="B885" s="1"/>
    </row>
    <row r="886">
      <c r="A886" s="2"/>
      <c r="B886" s="1"/>
    </row>
    <row r="887">
      <c r="A887" s="2"/>
      <c r="B887" s="1"/>
    </row>
    <row r="888">
      <c r="A888" s="2"/>
      <c r="B888" s="1"/>
    </row>
    <row r="889">
      <c r="A889" s="2"/>
      <c r="B889" s="1"/>
    </row>
    <row r="890">
      <c r="A890" s="2"/>
      <c r="B890" s="1"/>
    </row>
    <row r="891">
      <c r="A891" s="2"/>
      <c r="B891" s="1"/>
    </row>
    <row r="892">
      <c r="A892" s="2"/>
      <c r="B892" s="1"/>
    </row>
    <row r="893">
      <c r="A893" s="2"/>
      <c r="B893" s="1"/>
    </row>
    <row r="894">
      <c r="A894" s="2"/>
      <c r="B894" s="1"/>
    </row>
    <row r="895">
      <c r="A895" s="2"/>
      <c r="B895" s="1"/>
    </row>
    <row r="896">
      <c r="A896" s="2"/>
      <c r="B896" s="1"/>
    </row>
    <row r="897">
      <c r="A897" s="2"/>
      <c r="B897" s="1"/>
    </row>
    <row r="898">
      <c r="A898" s="2"/>
      <c r="B898" s="1"/>
    </row>
    <row r="899">
      <c r="A899" s="2"/>
      <c r="B899" s="1"/>
    </row>
    <row r="900">
      <c r="A900" s="2"/>
      <c r="B900" s="1"/>
    </row>
    <row r="901">
      <c r="A901" s="2"/>
      <c r="B901" s="1"/>
    </row>
    <row r="902">
      <c r="A902" s="2"/>
      <c r="B902" s="1"/>
    </row>
    <row r="903">
      <c r="A903" s="2"/>
      <c r="B903" s="1"/>
    </row>
    <row r="904">
      <c r="A904" s="2"/>
      <c r="B904" s="1"/>
    </row>
    <row r="905">
      <c r="A905" s="2"/>
      <c r="B905" s="1"/>
    </row>
    <row r="906">
      <c r="A906" s="2"/>
      <c r="B906" s="1"/>
    </row>
    <row r="907">
      <c r="A907" s="2"/>
      <c r="B907" s="1"/>
    </row>
    <row r="908">
      <c r="A908" s="2"/>
      <c r="B908" s="1"/>
    </row>
    <row r="909">
      <c r="A909" s="2"/>
      <c r="B909" s="1"/>
    </row>
    <row r="910">
      <c r="A910" s="2"/>
      <c r="B910" s="1"/>
    </row>
    <row r="911">
      <c r="A911" s="2"/>
      <c r="B911" s="1"/>
    </row>
    <row r="912">
      <c r="A912" s="2"/>
      <c r="B912" s="1"/>
    </row>
    <row r="913">
      <c r="A913" s="2"/>
      <c r="B913" s="1"/>
    </row>
    <row r="914">
      <c r="A914" s="2"/>
      <c r="B914" s="1"/>
    </row>
    <row r="915">
      <c r="A915" s="2"/>
      <c r="B915" s="1"/>
    </row>
    <row r="916">
      <c r="A916" s="2"/>
      <c r="B916" s="1"/>
    </row>
    <row r="917">
      <c r="A917" s="2"/>
      <c r="B917" s="1"/>
    </row>
    <row r="918">
      <c r="A918" s="2"/>
      <c r="B918" s="1"/>
    </row>
    <row r="919">
      <c r="A919" s="2"/>
      <c r="B919" s="1"/>
    </row>
    <row r="920">
      <c r="A920" s="2"/>
      <c r="B920" s="1"/>
    </row>
    <row r="921">
      <c r="A921" s="2"/>
      <c r="B921" s="1"/>
    </row>
    <row r="922">
      <c r="A922" s="2"/>
      <c r="B922" s="1"/>
    </row>
    <row r="923">
      <c r="A923" s="2"/>
      <c r="B923" s="1"/>
    </row>
    <row r="924">
      <c r="A924" s="2"/>
      <c r="B924" s="1"/>
    </row>
    <row r="925">
      <c r="A925" s="2"/>
      <c r="B925" s="1"/>
    </row>
    <row r="926">
      <c r="A926" s="2"/>
      <c r="B926" s="1"/>
    </row>
    <row r="927">
      <c r="A927" s="2"/>
      <c r="B927" s="1"/>
    </row>
    <row r="928">
      <c r="A928" s="2"/>
      <c r="B928" s="1"/>
    </row>
  </sheetData>
  <autoFilter ref="$A$2:$C$27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818.0</v>
      </c>
      <c r="B1" s="3">
        <v>12.0</v>
      </c>
      <c r="C1" s="3" t="s">
        <v>237</v>
      </c>
    </row>
    <row r="2">
      <c r="A2" s="3">
        <v>1009.0</v>
      </c>
      <c r="B2" s="3">
        <v>12.0</v>
      </c>
      <c r="C2" s="3" t="s">
        <v>237</v>
      </c>
    </row>
    <row r="3">
      <c r="A3" s="3">
        <v>943.0</v>
      </c>
      <c r="B3" s="3">
        <v>12.0</v>
      </c>
      <c r="C3" s="3" t="s">
        <v>237</v>
      </c>
    </row>
    <row r="4">
      <c r="A4" s="3">
        <v>1032.0</v>
      </c>
      <c r="B4" s="3">
        <v>12.0</v>
      </c>
      <c r="C4" s="3" t="s">
        <v>237</v>
      </c>
    </row>
    <row r="5">
      <c r="A5" s="3">
        <v>1035.0</v>
      </c>
      <c r="B5" s="3">
        <v>12.0</v>
      </c>
      <c r="C5" s="3" t="s">
        <v>237</v>
      </c>
    </row>
    <row r="6">
      <c r="A6" s="3">
        <v>699.0</v>
      </c>
      <c r="B6" s="3">
        <v>12.0</v>
      </c>
      <c r="C6" s="3" t="s">
        <v>237</v>
      </c>
    </row>
    <row r="7">
      <c r="A7" s="3">
        <v>712.0</v>
      </c>
      <c r="B7" s="3">
        <v>12.0</v>
      </c>
      <c r="C7" s="3" t="s">
        <v>237</v>
      </c>
    </row>
    <row r="8">
      <c r="A8" s="3">
        <v>941.0</v>
      </c>
      <c r="B8" s="3">
        <v>12.0</v>
      </c>
      <c r="C8" s="3" t="s">
        <v>237</v>
      </c>
    </row>
    <row r="9">
      <c r="A9" s="3">
        <v>405.0</v>
      </c>
      <c r="B9" s="3">
        <v>12.0</v>
      </c>
      <c r="C9" s="3" t="s">
        <v>237</v>
      </c>
    </row>
    <row r="10">
      <c r="A10" s="3">
        <v>996.0</v>
      </c>
      <c r="B10" s="3">
        <v>12.0</v>
      </c>
      <c r="C10" s="3" t="s">
        <v>237</v>
      </c>
    </row>
    <row r="11">
      <c r="A11" s="3">
        <v>926.0</v>
      </c>
      <c r="B11" s="3">
        <v>12.0</v>
      </c>
      <c r="C11" s="3" t="s">
        <v>237</v>
      </c>
    </row>
    <row r="12">
      <c r="A12" s="3">
        <v>1043.0</v>
      </c>
      <c r="B12" s="3">
        <v>12.0</v>
      </c>
      <c r="C12" s="3" t="s">
        <v>237</v>
      </c>
    </row>
    <row r="13">
      <c r="A13" s="3">
        <v>1046.0</v>
      </c>
      <c r="B13" s="3">
        <v>12.0</v>
      </c>
      <c r="C13" s="3" t="s">
        <v>237</v>
      </c>
    </row>
    <row r="14">
      <c r="A14" s="3">
        <v>989.0</v>
      </c>
      <c r="B14" s="3">
        <v>12.0</v>
      </c>
      <c r="C14" s="3" t="s">
        <v>237</v>
      </c>
    </row>
    <row r="15">
      <c r="A15" s="3">
        <v>612.0</v>
      </c>
      <c r="B15" s="3">
        <v>12.0</v>
      </c>
      <c r="C15" s="3" t="s">
        <v>237</v>
      </c>
    </row>
    <row r="16">
      <c r="A16" s="3">
        <v>184.0</v>
      </c>
      <c r="B16" s="3">
        <v>12.0</v>
      </c>
      <c r="C16" s="3" t="s">
        <v>237</v>
      </c>
    </row>
    <row r="17">
      <c r="A17" s="3">
        <v>160.0</v>
      </c>
      <c r="B17" s="3">
        <v>12.0</v>
      </c>
      <c r="C17" s="3" t="s">
        <v>237</v>
      </c>
    </row>
    <row r="18">
      <c r="A18" s="3">
        <v>333.0</v>
      </c>
      <c r="B18" s="3">
        <v>12.0</v>
      </c>
      <c r="C18" s="3" t="s">
        <v>237</v>
      </c>
    </row>
    <row r="19">
      <c r="A19" s="3">
        <v>453.0</v>
      </c>
      <c r="B19" s="3">
        <v>12.0</v>
      </c>
      <c r="C19" s="3" t="s">
        <v>237</v>
      </c>
    </row>
    <row r="20">
      <c r="A20" s="3">
        <v>997.0</v>
      </c>
      <c r="B20" s="3">
        <v>12.0</v>
      </c>
      <c r="C20" s="3" t="s">
        <v>237</v>
      </c>
    </row>
    <row r="21">
      <c r="A21" s="3">
        <v>657.0</v>
      </c>
      <c r="B21" s="3">
        <v>3.0</v>
      </c>
      <c r="C21" s="3" t="s">
        <v>238</v>
      </c>
    </row>
    <row r="22">
      <c r="A22" s="3">
        <v>271.0</v>
      </c>
      <c r="B22" s="3">
        <v>3.0</v>
      </c>
      <c r="C22" s="3" t="s">
        <v>238</v>
      </c>
    </row>
    <row r="23">
      <c r="A23" s="3">
        <v>713.0</v>
      </c>
      <c r="B23" s="3">
        <v>3.0</v>
      </c>
      <c r="C23" s="3" t="s">
        <v>238</v>
      </c>
    </row>
    <row r="24">
      <c r="A24" s="3">
        <v>386.0</v>
      </c>
      <c r="B24" s="3">
        <v>3.0</v>
      </c>
      <c r="C24" s="3" t="s">
        <v>238</v>
      </c>
    </row>
    <row r="25">
      <c r="A25" s="3">
        <v>72.0</v>
      </c>
      <c r="B25" s="3">
        <v>3.0</v>
      </c>
      <c r="C25" s="3" t="s">
        <v>238</v>
      </c>
    </row>
    <row r="26">
      <c r="A26" s="3">
        <v>537.0</v>
      </c>
      <c r="B26" s="3">
        <v>3.0</v>
      </c>
      <c r="C26" s="3" t="s">
        <v>238</v>
      </c>
    </row>
    <row r="27">
      <c r="A27" s="3">
        <v>282.0</v>
      </c>
      <c r="B27" s="3">
        <v>3.0</v>
      </c>
      <c r="C27" s="3" t="s">
        <v>238</v>
      </c>
    </row>
    <row r="28">
      <c r="A28" s="3">
        <v>484.0</v>
      </c>
      <c r="B28" s="3">
        <v>3.0</v>
      </c>
      <c r="C28" s="3" t="s">
        <v>238</v>
      </c>
    </row>
    <row r="29">
      <c r="A29" s="3">
        <v>260.0</v>
      </c>
      <c r="B29" s="3">
        <v>3.0</v>
      </c>
      <c r="C29" s="3" t="s">
        <v>238</v>
      </c>
    </row>
    <row r="30">
      <c r="A30" s="3">
        <v>676.0</v>
      </c>
      <c r="B30" s="3">
        <v>3.0</v>
      </c>
      <c r="C30" s="3" t="s">
        <v>238</v>
      </c>
    </row>
    <row r="31">
      <c r="A31" s="3">
        <v>800.0</v>
      </c>
      <c r="B31" s="3">
        <v>3.0</v>
      </c>
      <c r="C31" s="3" t="s">
        <v>238</v>
      </c>
    </row>
    <row r="32">
      <c r="A32" s="3">
        <v>373.0</v>
      </c>
      <c r="B32" s="3">
        <v>3.0</v>
      </c>
      <c r="C32" s="3" t="s">
        <v>238</v>
      </c>
    </row>
    <row r="33">
      <c r="A33" s="3">
        <v>464.0</v>
      </c>
      <c r="B33" s="3">
        <v>3.0</v>
      </c>
      <c r="C33" s="3" t="s">
        <v>238</v>
      </c>
    </row>
    <row r="34">
      <c r="A34" s="3">
        <v>131.0</v>
      </c>
      <c r="B34" s="3">
        <v>3.0</v>
      </c>
      <c r="C34" s="3" t="s">
        <v>238</v>
      </c>
    </row>
    <row r="35">
      <c r="A35" s="3">
        <v>472.0</v>
      </c>
      <c r="B35" s="3">
        <v>3.0</v>
      </c>
      <c r="C35" s="3" t="s">
        <v>238</v>
      </c>
    </row>
    <row r="36">
      <c r="A36" s="3">
        <v>701.0</v>
      </c>
      <c r="B36" s="3">
        <v>3.0</v>
      </c>
      <c r="C36" s="3" t="s">
        <v>238</v>
      </c>
    </row>
    <row r="37">
      <c r="A37" s="3">
        <v>736.0</v>
      </c>
      <c r="B37" s="3">
        <v>3.0</v>
      </c>
      <c r="C37" s="3" t="s">
        <v>238</v>
      </c>
    </row>
    <row r="38">
      <c r="A38" s="3">
        <v>600.0</v>
      </c>
      <c r="B38" s="3">
        <v>3.0</v>
      </c>
      <c r="C38" s="3" t="s">
        <v>238</v>
      </c>
    </row>
    <row r="39">
      <c r="A39" s="3">
        <v>5.0</v>
      </c>
      <c r="B39" s="3">
        <v>3.0</v>
      </c>
      <c r="C39" s="3" t="s">
        <v>238</v>
      </c>
    </row>
    <row r="40">
      <c r="A40" s="3">
        <v>636.0</v>
      </c>
      <c r="B40" s="3">
        <v>3.0</v>
      </c>
      <c r="C40" s="3" t="s">
        <v>238</v>
      </c>
    </row>
    <row r="41">
      <c r="A41" s="3">
        <v>599.0</v>
      </c>
      <c r="B41" s="3">
        <v>3.0</v>
      </c>
      <c r="C41" s="3" t="s">
        <v>238</v>
      </c>
    </row>
    <row r="42">
      <c r="A42" s="3">
        <v>598.0</v>
      </c>
      <c r="B42" s="3">
        <v>3.0</v>
      </c>
      <c r="C42" s="3" t="s">
        <v>238</v>
      </c>
    </row>
    <row r="43">
      <c r="A43" s="3">
        <v>799.0</v>
      </c>
      <c r="B43" s="3">
        <v>3.0</v>
      </c>
      <c r="C43" s="3" t="s">
        <v>238</v>
      </c>
    </row>
    <row r="44">
      <c r="A44" s="3">
        <v>781.0</v>
      </c>
      <c r="B44" s="3">
        <v>3.0</v>
      </c>
      <c r="C44" s="3" t="s">
        <v>238</v>
      </c>
    </row>
    <row r="45">
      <c r="A45" s="3">
        <v>625.0</v>
      </c>
      <c r="B45" s="3">
        <v>3.0</v>
      </c>
      <c r="C45" s="3" t="s">
        <v>238</v>
      </c>
    </row>
    <row r="46">
      <c r="A46" s="3">
        <v>731.0</v>
      </c>
      <c r="B46" s="3">
        <v>3.0</v>
      </c>
      <c r="C46" s="3" t="s">
        <v>238</v>
      </c>
    </row>
    <row r="47">
      <c r="A47" s="3">
        <v>935.0</v>
      </c>
      <c r="B47" s="3">
        <v>3.0</v>
      </c>
      <c r="C47" s="3" t="s">
        <v>238</v>
      </c>
    </row>
    <row r="48">
      <c r="A48" s="3">
        <v>77.0</v>
      </c>
      <c r="B48" s="3">
        <v>3.0</v>
      </c>
      <c r="C48" s="3" t="s">
        <v>238</v>
      </c>
    </row>
    <row r="49">
      <c r="A49" s="3">
        <v>218.0</v>
      </c>
      <c r="B49" s="3">
        <v>3.0</v>
      </c>
      <c r="C49" s="3" t="s">
        <v>238</v>
      </c>
    </row>
    <row r="50">
      <c r="A50" s="3">
        <v>490.0</v>
      </c>
      <c r="B50" s="3">
        <v>3.0</v>
      </c>
      <c r="C50" s="3" t="s">
        <v>238</v>
      </c>
    </row>
    <row r="51">
      <c r="A51" s="3">
        <v>393.0</v>
      </c>
      <c r="B51" s="3">
        <v>3.0</v>
      </c>
      <c r="C51" s="3" t="s">
        <v>238</v>
      </c>
    </row>
    <row r="52">
      <c r="A52" s="3">
        <v>322.0</v>
      </c>
      <c r="B52" s="3">
        <v>3.0</v>
      </c>
      <c r="C52" s="3" t="s">
        <v>238</v>
      </c>
    </row>
    <row r="53">
      <c r="A53" s="3">
        <v>847.0</v>
      </c>
      <c r="B53" s="3">
        <v>3.0</v>
      </c>
      <c r="C53" s="3" t="s">
        <v>238</v>
      </c>
    </row>
    <row r="54">
      <c r="A54" s="3">
        <v>367.0</v>
      </c>
      <c r="B54" s="3">
        <v>3.0</v>
      </c>
      <c r="C54" s="3" t="s">
        <v>238</v>
      </c>
    </row>
    <row r="55">
      <c r="A55" s="3">
        <v>198.0</v>
      </c>
      <c r="B55" s="3">
        <v>3.0</v>
      </c>
      <c r="C55" s="3" t="s">
        <v>238</v>
      </c>
    </row>
    <row r="56">
      <c r="A56" s="3">
        <v>794.0</v>
      </c>
      <c r="B56" s="3">
        <v>3.0</v>
      </c>
      <c r="C56" s="3" t="s">
        <v>238</v>
      </c>
    </row>
    <row r="57">
      <c r="A57" s="3">
        <v>407.0</v>
      </c>
      <c r="B57" s="3">
        <v>3.0</v>
      </c>
      <c r="C57" s="3" t="s">
        <v>238</v>
      </c>
    </row>
    <row r="58">
      <c r="A58" s="3">
        <v>6.0</v>
      </c>
      <c r="B58" s="3">
        <v>3.0</v>
      </c>
      <c r="C58" s="3" t="s">
        <v>238</v>
      </c>
    </row>
    <row r="59">
      <c r="A59" s="3">
        <v>32.0</v>
      </c>
      <c r="B59" s="3">
        <v>3.0</v>
      </c>
      <c r="C59" s="3" t="s">
        <v>238</v>
      </c>
    </row>
    <row r="60">
      <c r="A60" s="3">
        <v>327.0</v>
      </c>
      <c r="B60" s="3">
        <v>3.0</v>
      </c>
      <c r="C60" s="3" t="s">
        <v>238</v>
      </c>
    </row>
    <row r="61">
      <c r="A61" s="3">
        <v>146.0</v>
      </c>
      <c r="B61" s="3">
        <v>3.0</v>
      </c>
      <c r="C61" s="3" t="s">
        <v>238</v>
      </c>
    </row>
    <row r="62">
      <c r="A62" s="3">
        <v>671.0</v>
      </c>
      <c r="B62" s="3">
        <v>3.0</v>
      </c>
      <c r="C62" s="3" t="s">
        <v>238</v>
      </c>
    </row>
    <row r="63">
      <c r="A63" s="3">
        <v>444.0</v>
      </c>
      <c r="B63" s="3">
        <v>3.0</v>
      </c>
      <c r="C63" s="3" t="s">
        <v>238</v>
      </c>
    </row>
    <row r="64">
      <c r="A64" s="3">
        <v>651.0</v>
      </c>
      <c r="B64" s="3">
        <v>3.0</v>
      </c>
      <c r="C64" s="3" t="s">
        <v>238</v>
      </c>
    </row>
    <row r="65">
      <c r="A65" s="3">
        <v>101.0</v>
      </c>
      <c r="B65" s="3">
        <v>3.0</v>
      </c>
      <c r="C65" s="3" t="s">
        <v>238</v>
      </c>
    </row>
    <row r="66">
      <c r="A66" s="3">
        <v>614.0</v>
      </c>
      <c r="B66" s="3">
        <v>3.0</v>
      </c>
      <c r="C66" s="3" t="s">
        <v>238</v>
      </c>
    </row>
    <row r="67">
      <c r="A67" s="3">
        <v>639.0</v>
      </c>
      <c r="B67" s="3">
        <v>3.0</v>
      </c>
      <c r="C67" s="3" t="s">
        <v>238</v>
      </c>
    </row>
    <row r="68">
      <c r="A68" s="3">
        <v>248.0</v>
      </c>
      <c r="B68" s="3">
        <v>3.0</v>
      </c>
      <c r="C68" s="3" t="s">
        <v>238</v>
      </c>
    </row>
    <row r="69">
      <c r="A69" s="3">
        <v>103.0</v>
      </c>
      <c r="B69" s="3">
        <v>3.0</v>
      </c>
      <c r="C69" s="3" t="s">
        <v>238</v>
      </c>
    </row>
    <row r="70">
      <c r="A70" s="3">
        <v>700.0</v>
      </c>
      <c r="B70" s="3">
        <v>3.0</v>
      </c>
      <c r="C70" s="3" t="s">
        <v>238</v>
      </c>
    </row>
    <row r="71">
      <c r="A71" s="3">
        <v>842.0</v>
      </c>
      <c r="B71" s="3">
        <v>3.0</v>
      </c>
      <c r="C71" s="3" t="s">
        <v>238</v>
      </c>
    </row>
    <row r="72">
      <c r="A72" s="3">
        <v>629.0</v>
      </c>
      <c r="B72" s="3">
        <v>3.0</v>
      </c>
      <c r="C72" s="3" t="s">
        <v>238</v>
      </c>
    </row>
    <row r="73">
      <c r="A73" s="3">
        <v>110.0</v>
      </c>
      <c r="B73" s="3">
        <v>3.0</v>
      </c>
      <c r="C73" s="3" t="s">
        <v>238</v>
      </c>
    </row>
    <row r="74">
      <c r="A74" s="3">
        <v>1022.0</v>
      </c>
      <c r="B74" s="3">
        <v>3.0</v>
      </c>
      <c r="C74" s="3" t="s">
        <v>238</v>
      </c>
    </row>
    <row r="75">
      <c r="A75" s="3">
        <v>109.0</v>
      </c>
      <c r="B75" s="3">
        <v>3.0</v>
      </c>
      <c r="C75" s="3" t="s">
        <v>238</v>
      </c>
    </row>
    <row r="76">
      <c r="A76" s="3">
        <v>724.0</v>
      </c>
      <c r="B76" s="3">
        <v>3.0</v>
      </c>
      <c r="C76" s="3" t="s">
        <v>238</v>
      </c>
    </row>
    <row r="77">
      <c r="A77" s="3">
        <v>448.0</v>
      </c>
      <c r="B77" s="3">
        <v>3.0</v>
      </c>
      <c r="C77" s="3" t="s">
        <v>238</v>
      </c>
    </row>
    <row r="78">
      <c r="A78" s="3">
        <v>360.0</v>
      </c>
      <c r="B78" s="3">
        <v>3.0</v>
      </c>
      <c r="C78" s="3" t="s">
        <v>238</v>
      </c>
    </row>
    <row r="79">
      <c r="A79" s="3">
        <v>618.0</v>
      </c>
      <c r="B79" s="3">
        <v>3.0</v>
      </c>
      <c r="C79" s="3" t="s">
        <v>238</v>
      </c>
    </row>
    <row r="80">
      <c r="A80" s="3">
        <v>395.0</v>
      </c>
      <c r="B80" s="3">
        <v>3.0</v>
      </c>
      <c r="C80" s="3" t="s">
        <v>238</v>
      </c>
    </row>
    <row r="81">
      <c r="A81" s="3">
        <v>753.0</v>
      </c>
      <c r="B81" s="3">
        <v>12.0</v>
      </c>
      <c r="C81" s="3" t="s">
        <v>237</v>
      </c>
    </row>
    <row r="82">
      <c r="A82" s="3">
        <v>228.0</v>
      </c>
      <c r="B82" s="3">
        <v>3.0</v>
      </c>
      <c r="C82" s="3" t="s">
        <v>238</v>
      </c>
    </row>
    <row r="83">
      <c r="A83" s="3">
        <v>942.0</v>
      </c>
      <c r="B83" s="3">
        <v>12.0</v>
      </c>
      <c r="C83" s="3" t="s">
        <v>237</v>
      </c>
    </row>
    <row r="84">
      <c r="A84" s="3">
        <v>359.0</v>
      </c>
      <c r="B84" s="3">
        <v>12.0</v>
      </c>
      <c r="C84" s="3" t="s">
        <v>237</v>
      </c>
    </row>
    <row r="85">
      <c r="A85" s="3">
        <v>944.0</v>
      </c>
      <c r="B85" s="3">
        <v>12.0</v>
      </c>
      <c r="C85" s="3" t="s">
        <v>237</v>
      </c>
    </row>
    <row r="86">
      <c r="A86" s="3">
        <v>945.0</v>
      </c>
      <c r="B86" s="3">
        <v>12.0</v>
      </c>
      <c r="C86" s="3" t="s">
        <v>237</v>
      </c>
    </row>
    <row r="87">
      <c r="A87" s="3">
        <v>619.0</v>
      </c>
      <c r="B87" s="3">
        <v>12.0</v>
      </c>
      <c r="C87" s="3" t="s">
        <v>237</v>
      </c>
    </row>
    <row r="88">
      <c r="A88" s="3">
        <v>751.0</v>
      </c>
      <c r="B88" s="3">
        <v>12.0</v>
      </c>
      <c r="C88" s="3" t="s">
        <v>237</v>
      </c>
    </row>
    <row r="89">
      <c r="A89" s="3">
        <v>56.0</v>
      </c>
      <c r="B89" s="3">
        <v>12.0</v>
      </c>
      <c r="C89" s="3" t="s">
        <v>237</v>
      </c>
    </row>
    <row r="90">
      <c r="A90" s="3">
        <v>723.0</v>
      </c>
      <c r="B90" s="3">
        <v>12.0</v>
      </c>
      <c r="C90" s="3" t="s">
        <v>237</v>
      </c>
    </row>
    <row r="91">
      <c r="A91" s="3">
        <v>382.0</v>
      </c>
      <c r="B91" s="3">
        <v>12.0</v>
      </c>
      <c r="C91" s="3" t="s">
        <v>237</v>
      </c>
    </row>
    <row r="92">
      <c r="A92" s="3">
        <v>529.0</v>
      </c>
      <c r="B92" s="3">
        <v>12.0</v>
      </c>
      <c r="C92" s="3" t="s">
        <v>237</v>
      </c>
    </row>
    <row r="93">
      <c r="A93" s="3">
        <v>919.0</v>
      </c>
      <c r="B93" s="3">
        <v>12.0</v>
      </c>
      <c r="C93" s="3" t="s">
        <v>237</v>
      </c>
    </row>
    <row r="94">
      <c r="A94" s="3">
        <v>249.0</v>
      </c>
      <c r="B94" s="3">
        <v>12.0</v>
      </c>
      <c r="C94" s="3" t="s">
        <v>237</v>
      </c>
    </row>
    <row r="95">
      <c r="A95" s="3">
        <v>777.0</v>
      </c>
      <c r="B95" s="3">
        <v>12.0</v>
      </c>
      <c r="C95" s="3" t="s">
        <v>237</v>
      </c>
    </row>
    <row r="96">
      <c r="A96" s="3">
        <v>783.0</v>
      </c>
      <c r="B96" s="3">
        <v>12.0</v>
      </c>
      <c r="C96" s="3" t="s">
        <v>237</v>
      </c>
    </row>
    <row r="97">
      <c r="A97" s="3">
        <v>413.0</v>
      </c>
      <c r="B97" s="3">
        <v>12.0</v>
      </c>
      <c r="C97" s="3" t="s">
        <v>237</v>
      </c>
    </row>
    <row r="98">
      <c r="A98" s="3">
        <v>670.0</v>
      </c>
      <c r="B98" s="3">
        <v>12.0</v>
      </c>
      <c r="C98" s="3" t="s">
        <v>237</v>
      </c>
    </row>
    <row r="99">
      <c r="A99" s="3">
        <v>902.0</v>
      </c>
      <c r="B99" s="3">
        <v>12.0</v>
      </c>
      <c r="C99" s="3" t="s">
        <v>237</v>
      </c>
    </row>
    <row r="100">
      <c r="A100" s="3">
        <v>181.0</v>
      </c>
      <c r="B100" s="3">
        <v>12.0</v>
      </c>
      <c r="C100" s="3" t="s">
        <v>237</v>
      </c>
    </row>
    <row r="101">
      <c r="A101" s="3">
        <v>1018.0</v>
      </c>
      <c r="B101" s="3">
        <v>12.0</v>
      </c>
      <c r="C101" s="3" t="s">
        <v>237</v>
      </c>
    </row>
    <row r="102">
      <c r="A102" s="3">
        <v>904.0</v>
      </c>
      <c r="B102" s="3">
        <v>4.0</v>
      </c>
      <c r="C102" s="3" t="s">
        <v>239</v>
      </c>
    </row>
    <row r="103">
      <c r="A103" s="3">
        <v>961.0</v>
      </c>
      <c r="B103" s="3">
        <v>4.0</v>
      </c>
      <c r="C103" s="3" t="s">
        <v>239</v>
      </c>
    </row>
    <row r="104">
      <c r="A104" s="3">
        <v>628.0</v>
      </c>
      <c r="B104" s="3">
        <v>3.0</v>
      </c>
      <c r="C104" s="3" t="s">
        <v>238</v>
      </c>
    </row>
    <row r="105">
      <c r="A105" s="3">
        <v>17.0</v>
      </c>
      <c r="B105" s="3">
        <v>4.0</v>
      </c>
      <c r="C105" s="3" t="s">
        <v>239</v>
      </c>
    </row>
    <row r="106">
      <c r="A106" s="3">
        <v>122.0</v>
      </c>
      <c r="B106" s="3">
        <v>3.0</v>
      </c>
      <c r="C106" s="3" t="s">
        <v>238</v>
      </c>
    </row>
    <row r="107">
      <c r="A107" s="3">
        <v>357.0</v>
      </c>
      <c r="B107" s="3">
        <v>3.0</v>
      </c>
      <c r="C107" s="3" t="s">
        <v>238</v>
      </c>
    </row>
    <row r="108">
      <c r="A108" s="3">
        <v>920.0</v>
      </c>
      <c r="B108" s="3">
        <v>4.0</v>
      </c>
      <c r="C108" s="3" t="s">
        <v>239</v>
      </c>
    </row>
    <row r="109">
      <c r="A109" s="3">
        <v>316.0</v>
      </c>
      <c r="B109" s="3">
        <v>3.0</v>
      </c>
      <c r="C109" s="3" t="s">
        <v>238</v>
      </c>
    </row>
    <row r="110">
      <c r="A110" s="3">
        <v>88.0</v>
      </c>
      <c r="B110" s="3">
        <v>3.0</v>
      </c>
      <c r="C110" s="3" t="s">
        <v>238</v>
      </c>
    </row>
    <row r="111">
      <c r="A111" s="3">
        <v>428.0</v>
      </c>
      <c r="B111" s="3">
        <v>3.0</v>
      </c>
      <c r="C111" s="3" t="s">
        <v>238</v>
      </c>
    </row>
    <row r="112">
      <c r="A112" s="3">
        <v>219.0</v>
      </c>
      <c r="B112" s="3">
        <v>3.0</v>
      </c>
      <c r="C112" s="3" t="s">
        <v>238</v>
      </c>
    </row>
    <row r="113">
      <c r="A113" s="3">
        <v>370.0</v>
      </c>
      <c r="B113" s="3">
        <v>3.0</v>
      </c>
      <c r="C113" s="3" t="s">
        <v>238</v>
      </c>
    </row>
    <row r="114">
      <c r="A114" s="3">
        <v>496.0</v>
      </c>
      <c r="B114" s="3">
        <v>3.0</v>
      </c>
      <c r="C114" s="3" t="s">
        <v>238</v>
      </c>
    </row>
    <row r="115">
      <c r="A115" s="3">
        <v>674.0</v>
      </c>
      <c r="B115" s="3">
        <v>4.0</v>
      </c>
      <c r="C115" s="3" t="s">
        <v>239</v>
      </c>
    </row>
    <row r="116">
      <c r="A116" s="3">
        <v>363.0</v>
      </c>
      <c r="B116" s="3">
        <v>4.0</v>
      </c>
      <c r="C116" s="3" t="s">
        <v>239</v>
      </c>
    </row>
    <row r="117">
      <c r="A117" s="3">
        <v>429.0</v>
      </c>
      <c r="B117" s="3">
        <v>4.0</v>
      </c>
      <c r="C117" s="3" t="s">
        <v>239</v>
      </c>
    </row>
    <row r="118">
      <c r="A118" s="3">
        <v>960.0</v>
      </c>
      <c r="B118" s="3">
        <v>2.0</v>
      </c>
      <c r="C118" s="3" t="s">
        <v>240</v>
      </c>
    </row>
    <row r="119">
      <c r="A119" s="3">
        <v>648.0</v>
      </c>
      <c r="B119" s="3">
        <v>4.0</v>
      </c>
      <c r="C119" s="3" t="s">
        <v>239</v>
      </c>
    </row>
    <row r="120">
      <c r="A120" s="3">
        <v>693.0</v>
      </c>
      <c r="B120" s="3">
        <v>4.0</v>
      </c>
      <c r="C120" s="3" t="s">
        <v>239</v>
      </c>
    </row>
    <row r="121">
      <c r="A121" s="3">
        <v>200.0</v>
      </c>
      <c r="B121" s="3">
        <v>4.0</v>
      </c>
      <c r="C121" s="3" t="s">
        <v>239</v>
      </c>
    </row>
    <row r="122">
      <c r="A122" s="3">
        <v>697.0</v>
      </c>
      <c r="B122" s="3">
        <v>3.0</v>
      </c>
      <c r="C122" s="3" t="s">
        <v>241</v>
      </c>
    </row>
    <row r="123">
      <c r="A123" s="3">
        <v>233.0</v>
      </c>
      <c r="B123" s="3">
        <v>3.0</v>
      </c>
      <c r="C123" s="3" t="s">
        <v>238</v>
      </c>
    </row>
    <row r="124">
      <c r="A124" s="3">
        <v>124.0</v>
      </c>
      <c r="B124" s="3">
        <v>3.0</v>
      </c>
      <c r="C124" s="3" t="s">
        <v>238</v>
      </c>
    </row>
    <row r="125">
      <c r="A125" s="3">
        <v>769.0</v>
      </c>
      <c r="B125" s="3">
        <v>4.0</v>
      </c>
      <c r="C125" s="3" t="s">
        <v>239</v>
      </c>
    </row>
    <row r="126">
      <c r="A126" s="3">
        <v>1024.0</v>
      </c>
      <c r="B126" s="3">
        <v>2.0</v>
      </c>
      <c r="C126" s="3" t="s">
        <v>240</v>
      </c>
    </row>
    <row r="127">
      <c r="A127" s="3">
        <v>340.0</v>
      </c>
      <c r="B127" s="3">
        <v>3.0</v>
      </c>
      <c r="C127" s="3" t="s">
        <v>238</v>
      </c>
    </row>
    <row r="128">
      <c r="A128" s="3">
        <v>1045.0</v>
      </c>
      <c r="B128" s="3">
        <v>4.0</v>
      </c>
      <c r="C128" s="3" t="s">
        <v>239</v>
      </c>
    </row>
    <row r="129">
      <c r="A129" s="3">
        <v>1033.0</v>
      </c>
      <c r="B129" s="3">
        <v>12.0</v>
      </c>
      <c r="C129" s="3" t="s">
        <v>237</v>
      </c>
    </row>
    <row r="130">
      <c r="A130" s="3">
        <v>136.0</v>
      </c>
      <c r="B130" s="3">
        <v>2.0</v>
      </c>
      <c r="C130" s="3" t="s">
        <v>240</v>
      </c>
    </row>
    <row r="131">
      <c r="A131" s="3">
        <v>631.0</v>
      </c>
      <c r="B131" s="3">
        <v>2.0</v>
      </c>
      <c r="C131" s="3" t="s">
        <v>240</v>
      </c>
    </row>
    <row r="132">
      <c r="A132" s="3">
        <v>580.0</v>
      </c>
      <c r="B132" s="3">
        <v>4.0</v>
      </c>
      <c r="C132" s="3" t="s">
        <v>239</v>
      </c>
    </row>
    <row r="133">
      <c r="A133" s="3">
        <v>744.0</v>
      </c>
      <c r="B133" s="3">
        <v>4.0</v>
      </c>
      <c r="C133" s="3" t="s">
        <v>239</v>
      </c>
    </row>
    <row r="134">
      <c r="A134" s="3">
        <v>142.0</v>
      </c>
      <c r="B134" s="3">
        <v>2.0</v>
      </c>
      <c r="C134" s="3" t="s">
        <v>240</v>
      </c>
    </row>
    <row r="135">
      <c r="A135" s="3">
        <v>983.0</v>
      </c>
      <c r="B135" s="3">
        <v>4.0</v>
      </c>
      <c r="C135" s="3" t="s">
        <v>239</v>
      </c>
    </row>
    <row r="136">
      <c r="A136" s="3">
        <v>105.0</v>
      </c>
      <c r="B136" s="3">
        <v>4.0</v>
      </c>
      <c r="C136" s="3" t="s">
        <v>239</v>
      </c>
    </row>
    <row r="137">
      <c r="A137" s="3">
        <v>384.0</v>
      </c>
      <c r="B137" s="3">
        <v>4.0</v>
      </c>
      <c r="C137" s="3" t="s">
        <v>239</v>
      </c>
    </row>
    <row r="138">
      <c r="A138" s="3">
        <v>400.0</v>
      </c>
      <c r="B138" s="3">
        <v>2.0</v>
      </c>
      <c r="C138" s="3" t="s">
        <v>240</v>
      </c>
    </row>
    <row r="139">
      <c r="A139" s="3">
        <v>650.0</v>
      </c>
      <c r="B139" s="3">
        <v>2.0</v>
      </c>
      <c r="C139" s="3" t="s">
        <v>240</v>
      </c>
    </row>
    <row r="140">
      <c r="A140" s="3">
        <v>70.0</v>
      </c>
      <c r="B140" s="3">
        <v>2.0</v>
      </c>
      <c r="C140" s="3" t="s">
        <v>240</v>
      </c>
    </row>
    <row r="141">
      <c r="A141" s="3">
        <v>207.0</v>
      </c>
      <c r="B141" s="3">
        <v>2.0</v>
      </c>
      <c r="C141" s="3" t="s">
        <v>240</v>
      </c>
    </row>
    <row r="142">
      <c r="A142" s="3">
        <v>378.0</v>
      </c>
      <c r="B142" s="3">
        <v>2.0</v>
      </c>
      <c r="C142" s="3" t="s">
        <v>240</v>
      </c>
    </row>
    <row r="143">
      <c r="A143" s="3">
        <v>392.0</v>
      </c>
      <c r="B143" s="3">
        <v>2.0</v>
      </c>
      <c r="C143" s="3" t="s">
        <v>240</v>
      </c>
    </row>
    <row r="144">
      <c r="A144" s="3">
        <v>827.0</v>
      </c>
      <c r="B144" s="3">
        <v>2.0</v>
      </c>
      <c r="C144" s="3" t="s">
        <v>240</v>
      </c>
    </row>
    <row r="145">
      <c r="A145" s="3">
        <v>855.0</v>
      </c>
      <c r="B145" s="3">
        <v>2.0</v>
      </c>
      <c r="C145" s="3" t="s">
        <v>240</v>
      </c>
    </row>
    <row r="146">
      <c r="A146" s="3">
        <v>156.0</v>
      </c>
      <c r="B146" s="3">
        <v>2.0</v>
      </c>
      <c r="C146" s="3" t="s">
        <v>240</v>
      </c>
    </row>
    <row r="147">
      <c r="A147" s="3">
        <v>199.0</v>
      </c>
      <c r="B147" s="3">
        <v>2.0</v>
      </c>
      <c r="C147" s="3" t="s">
        <v>240</v>
      </c>
    </row>
    <row r="148">
      <c r="A148" s="3">
        <v>984.0</v>
      </c>
      <c r="B148" s="3">
        <v>3.0</v>
      </c>
      <c r="C148" s="3" t="s">
        <v>238</v>
      </c>
    </row>
    <row r="149">
      <c r="A149" s="3">
        <v>940.0</v>
      </c>
      <c r="B149" s="3">
        <v>2.0</v>
      </c>
      <c r="C149" s="3" t="s">
        <v>240</v>
      </c>
    </row>
    <row r="150">
      <c r="A150" s="3">
        <v>891.0</v>
      </c>
      <c r="B150" s="3">
        <v>2.0</v>
      </c>
      <c r="C150" s="3" t="s">
        <v>240</v>
      </c>
    </row>
    <row r="151">
      <c r="A151" s="3">
        <v>829.0</v>
      </c>
      <c r="B151" s="3">
        <v>2.0</v>
      </c>
      <c r="C151" s="3" t="s">
        <v>240</v>
      </c>
    </row>
    <row r="152">
      <c r="A152" s="3">
        <v>913.0</v>
      </c>
      <c r="B152" s="3">
        <v>2.0</v>
      </c>
      <c r="C152" s="3" t="s">
        <v>240</v>
      </c>
    </row>
    <row r="153">
      <c r="A153" s="3">
        <v>1019.0</v>
      </c>
      <c r="B153" s="3">
        <v>2.0</v>
      </c>
      <c r="C153" s="3" t="s">
        <v>240</v>
      </c>
    </row>
    <row r="154">
      <c r="A154" s="3">
        <v>679.0</v>
      </c>
      <c r="B154" s="3">
        <v>2.0</v>
      </c>
      <c r="C154" s="3" t="s">
        <v>240</v>
      </c>
    </row>
    <row r="155">
      <c r="A155" s="3">
        <v>765.0</v>
      </c>
      <c r="B155" s="3">
        <v>2.0</v>
      </c>
      <c r="C155" s="3" t="s">
        <v>240</v>
      </c>
    </row>
    <row r="156">
      <c r="A156" s="3">
        <v>576.0</v>
      </c>
      <c r="B156" s="3">
        <v>4.0</v>
      </c>
      <c r="C156" s="3" t="s">
        <v>239</v>
      </c>
    </row>
    <row r="157">
      <c r="A157" s="3">
        <v>1029.0</v>
      </c>
      <c r="B157" s="3">
        <v>4.0</v>
      </c>
      <c r="C157" s="3" t="s">
        <v>239</v>
      </c>
    </row>
    <row r="158">
      <c r="A158" s="3">
        <v>1030.0</v>
      </c>
      <c r="B158" s="3">
        <v>4.0</v>
      </c>
      <c r="C158" s="3" t="s">
        <v>239</v>
      </c>
    </row>
    <row r="159">
      <c r="A159" s="3">
        <v>869.0</v>
      </c>
      <c r="B159" s="3">
        <v>4.0</v>
      </c>
      <c r="C159" s="3" t="s">
        <v>239</v>
      </c>
    </row>
    <row r="160">
      <c r="A160" s="3">
        <v>698.0</v>
      </c>
      <c r="B160" s="3">
        <v>12.0</v>
      </c>
      <c r="C160" s="3" t="s">
        <v>237</v>
      </c>
    </row>
    <row r="161">
      <c r="A161" s="3">
        <v>730.0</v>
      </c>
      <c r="B161" s="3">
        <v>12.0</v>
      </c>
      <c r="C161" s="3" t="s">
        <v>237</v>
      </c>
    </row>
    <row r="162">
      <c r="A162" s="3">
        <v>972.0</v>
      </c>
      <c r="B162" s="3">
        <v>12.0</v>
      </c>
      <c r="C162" s="3" t="s">
        <v>237</v>
      </c>
    </row>
    <row r="163">
      <c r="A163" s="3">
        <v>775.0</v>
      </c>
      <c r="B163" s="3">
        <v>12.0</v>
      </c>
      <c r="C163" s="3" t="s">
        <v>237</v>
      </c>
    </row>
    <row r="164">
      <c r="A164" s="3">
        <v>755.0</v>
      </c>
      <c r="B164" s="3">
        <v>12.0</v>
      </c>
      <c r="C164" s="3" t="s">
        <v>237</v>
      </c>
    </row>
    <row r="165">
      <c r="A165" s="3">
        <v>725.0</v>
      </c>
      <c r="B165" s="3">
        <v>12.0</v>
      </c>
      <c r="C165" s="3" t="s">
        <v>237</v>
      </c>
    </row>
    <row r="166">
      <c r="A166" s="3">
        <v>718.0</v>
      </c>
      <c r="B166" s="3">
        <v>12.0</v>
      </c>
      <c r="C166" s="3" t="s">
        <v>237</v>
      </c>
    </row>
    <row r="167">
      <c r="A167" s="3">
        <v>903.0</v>
      </c>
      <c r="B167" s="3">
        <v>12.0</v>
      </c>
      <c r="C167" s="3" t="s">
        <v>237</v>
      </c>
    </row>
    <row r="168">
      <c r="A168" s="3">
        <v>762.0</v>
      </c>
      <c r="B168" s="3">
        <v>12.0</v>
      </c>
      <c r="C168" s="3" t="s">
        <v>237</v>
      </c>
    </row>
    <row r="169">
      <c r="A169" s="3">
        <v>832.0</v>
      </c>
      <c r="B169" s="3">
        <v>12.0</v>
      </c>
      <c r="C169" s="3" t="s">
        <v>237</v>
      </c>
    </row>
    <row r="170">
      <c r="A170" s="3">
        <v>749.0</v>
      </c>
      <c r="B170" s="3">
        <v>12.0</v>
      </c>
      <c r="C170" s="3" t="s">
        <v>237</v>
      </c>
    </row>
    <row r="171">
      <c r="A171" s="3">
        <v>988.0</v>
      </c>
      <c r="B171" s="3">
        <v>12.0</v>
      </c>
      <c r="C171" s="3" t="s">
        <v>237</v>
      </c>
    </row>
    <row r="172">
      <c r="A172" s="3">
        <v>905.0</v>
      </c>
      <c r="B172" s="3">
        <v>12.0</v>
      </c>
      <c r="C172" s="3" t="s">
        <v>237</v>
      </c>
    </row>
    <row r="173">
      <c r="A173" s="3">
        <v>215.0</v>
      </c>
      <c r="B173" s="3">
        <v>12.0</v>
      </c>
      <c r="C173" s="3" t="s">
        <v>237</v>
      </c>
    </row>
    <row r="174">
      <c r="A174" s="3">
        <v>759.0</v>
      </c>
      <c r="B174" s="3">
        <v>12.0</v>
      </c>
      <c r="C174" s="3" t="s">
        <v>237</v>
      </c>
    </row>
    <row r="175">
      <c r="A175" s="3">
        <v>826.0</v>
      </c>
      <c r="B175" s="3">
        <v>12.0</v>
      </c>
      <c r="C175" s="3" t="s">
        <v>237</v>
      </c>
    </row>
    <row r="176">
      <c r="A176" s="3">
        <v>825.0</v>
      </c>
      <c r="B176" s="3">
        <v>12.0</v>
      </c>
      <c r="C176" s="3" t="s">
        <v>237</v>
      </c>
    </row>
    <row r="177">
      <c r="A177" s="3">
        <v>7.0</v>
      </c>
      <c r="B177" s="3">
        <v>12.0</v>
      </c>
      <c r="C177" s="3" t="s">
        <v>237</v>
      </c>
    </row>
    <row r="178">
      <c r="A178" s="3">
        <v>536.0</v>
      </c>
      <c r="B178" s="3">
        <v>12.0</v>
      </c>
      <c r="C178" s="3" t="s">
        <v>237</v>
      </c>
    </row>
    <row r="179">
      <c r="A179" s="3">
        <v>315.0</v>
      </c>
      <c r="B179" s="3">
        <v>12.0</v>
      </c>
      <c r="C179" s="3" t="s">
        <v>237</v>
      </c>
    </row>
    <row r="180">
      <c r="A180" s="3">
        <v>1014.0</v>
      </c>
      <c r="B180" s="3">
        <v>12.0</v>
      </c>
      <c r="C180" s="3" t="s">
        <v>237</v>
      </c>
    </row>
    <row r="181">
      <c r="A181" s="3">
        <v>798.0</v>
      </c>
      <c r="B181" s="3">
        <v>12.0</v>
      </c>
      <c r="C181" s="3" t="s">
        <v>237</v>
      </c>
    </row>
    <row r="182">
      <c r="A182" s="3">
        <v>719.0</v>
      </c>
      <c r="B182" s="3">
        <v>12.0</v>
      </c>
      <c r="C182" s="3" t="s">
        <v>237</v>
      </c>
    </row>
    <row r="183">
      <c r="A183" s="3">
        <v>819.0</v>
      </c>
      <c r="B183" s="3">
        <v>12.0</v>
      </c>
      <c r="C183" s="3" t="s">
        <v>237</v>
      </c>
    </row>
    <row r="184">
      <c r="A184" s="3">
        <v>715.0</v>
      </c>
      <c r="B184" s="3">
        <v>12.0</v>
      </c>
      <c r="C184" s="3" t="s">
        <v>237</v>
      </c>
    </row>
    <row r="185">
      <c r="A185" s="3">
        <v>1034.0</v>
      </c>
      <c r="B185" s="3">
        <v>12.0</v>
      </c>
      <c r="C185" s="3" t="s">
        <v>237</v>
      </c>
    </row>
    <row r="186">
      <c r="A186" s="3">
        <v>250.0</v>
      </c>
      <c r="B186" s="3">
        <v>10.0</v>
      </c>
      <c r="C186" s="3" t="s">
        <v>242</v>
      </c>
    </row>
    <row r="187">
      <c r="A187" s="3">
        <v>1006.0</v>
      </c>
      <c r="B187" s="3">
        <v>4.0</v>
      </c>
      <c r="C187" s="3" t="s">
        <v>239</v>
      </c>
    </row>
    <row r="188">
      <c r="A188" s="3">
        <v>342.0</v>
      </c>
      <c r="B188" s="3">
        <v>4.0</v>
      </c>
      <c r="C188" s="3" t="s">
        <v>239</v>
      </c>
    </row>
    <row r="189">
      <c r="A189" s="3">
        <v>852.0</v>
      </c>
      <c r="B189" s="3">
        <v>4.0</v>
      </c>
      <c r="C189" s="3" t="s">
        <v>239</v>
      </c>
    </row>
    <row r="190">
      <c r="A190" s="3">
        <v>466.0</v>
      </c>
      <c r="B190" s="3">
        <v>4.0</v>
      </c>
      <c r="C190" s="3" t="s">
        <v>239</v>
      </c>
    </row>
    <row r="191">
      <c r="A191" s="3">
        <v>433.0</v>
      </c>
      <c r="B191" s="3">
        <v>4.0</v>
      </c>
      <c r="C191" s="3" t="s">
        <v>239</v>
      </c>
    </row>
    <row r="192">
      <c r="A192" s="3">
        <v>824.0</v>
      </c>
      <c r="B192" s="3">
        <v>4.0</v>
      </c>
      <c r="C192" s="3" t="s">
        <v>239</v>
      </c>
    </row>
    <row r="193">
      <c r="A193" s="3">
        <v>84.0</v>
      </c>
      <c r="B193" s="3">
        <v>10.0</v>
      </c>
      <c r="C193" s="3" t="s">
        <v>242</v>
      </c>
    </row>
    <row r="194">
      <c r="A194" s="3">
        <v>1026.0</v>
      </c>
      <c r="B194" s="3">
        <v>3.0</v>
      </c>
      <c r="C194" s="3" t="s">
        <v>238</v>
      </c>
    </row>
    <row r="195">
      <c r="A195" s="3">
        <v>1039.0</v>
      </c>
      <c r="B195" s="3">
        <v>3.0</v>
      </c>
      <c r="C195" s="3" t="s">
        <v>238</v>
      </c>
    </row>
    <row r="196">
      <c r="A196" s="3">
        <v>761.0</v>
      </c>
      <c r="B196" s="3">
        <v>12.0</v>
      </c>
      <c r="C196" s="3" t="s">
        <v>237</v>
      </c>
    </row>
    <row r="197">
      <c r="A197" s="3">
        <v>235.0</v>
      </c>
      <c r="B197" s="3">
        <v>12.0</v>
      </c>
      <c r="C197" s="3" t="s">
        <v>237</v>
      </c>
    </row>
    <row r="198">
      <c r="A198" s="3">
        <v>454.0</v>
      </c>
      <c r="B198" s="3">
        <v>12.0</v>
      </c>
      <c r="C198" s="3" t="s">
        <v>237</v>
      </c>
    </row>
    <row r="199">
      <c r="A199" s="3">
        <v>460.0</v>
      </c>
      <c r="B199" s="3">
        <v>12.0</v>
      </c>
      <c r="C199" s="3" t="s">
        <v>237</v>
      </c>
    </row>
    <row r="200">
      <c r="A200" s="3">
        <v>967.0</v>
      </c>
      <c r="B200" s="3">
        <v>12.0</v>
      </c>
      <c r="C200" s="3" t="s">
        <v>237</v>
      </c>
    </row>
    <row r="201">
      <c r="A201" s="3">
        <v>8.0</v>
      </c>
      <c r="B201" s="3">
        <v>12.0</v>
      </c>
      <c r="C201" s="3" t="s">
        <v>237</v>
      </c>
    </row>
    <row r="202">
      <c r="A202" s="3">
        <v>981.0</v>
      </c>
      <c r="B202" s="3">
        <v>12.0</v>
      </c>
      <c r="C202" s="3" t="s">
        <v>237</v>
      </c>
    </row>
    <row r="203">
      <c r="A203" s="3">
        <v>853.0</v>
      </c>
      <c r="B203" s="3">
        <v>12.0</v>
      </c>
      <c r="C203" s="3" t="s">
        <v>237</v>
      </c>
    </row>
    <row r="204">
      <c r="A204" s="3">
        <v>130.0</v>
      </c>
      <c r="B204" s="3">
        <v>12.0</v>
      </c>
      <c r="C204" s="3" t="s">
        <v>237</v>
      </c>
    </row>
    <row r="205">
      <c r="A205" s="3">
        <v>389.0</v>
      </c>
      <c r="B205" s="3">
        <v>12.0</v>
      </c>
      <c r="C205" s="3" t="s">
        <v>237</v>
      </c>
    </row>
    <row r="206">
      <c r="A206" s="3">
        <v>98.0</v>
      </c>
      <c r="B206" s="3">
        <v>12.0</v>
      </c>
      <c r="C206" s="3" t="s">
        <v>237</v>
      </c>
    </row>
    <row r="207">
      <c r="A207" s="3">
        <v>506.0</v>
      </c>
      <c r="B207" s="3">
        <v>12.0</v>
      </c>
      <c r="C207" s="3" t="s">
        <v>237</v>
      </c>
    </row>
    <row r="208">
      <c r="A208" s="3">
        <v>104.0</v>
      </c>
      <c r="B208" s="3">
        <v>4.0</v>
      </c>
      <c r="C208" s="3" t="s">
        <v>239</v>
      </c>
    </row>
    <row r="209">
      <c r="A209" s="3">
        <v>306.0</v>
      </c>
      <c r="B209" s="3">
        <v>12.0</v>
      </c>
      <c r="C209" s="3" t="s">
        <v>237</v>
      </c>
    </row>
    <row r="210">
      <c r="A210" s="3">
        <v>807.0</v>
      </c>
      <c r="B210" s="3">
        <v>12.0</v>
      </c>
      <c r="C210" s="3" t="s">
        <v>237</v>
      </c>
    </row>
    <row r="211">
      <c r="A211" s="3">
        <v>504.0</v>
      </c>
      <c r="B211" s="3">
        <v>12.0</v>
      </c>
      <c r="C211" s="3" t="s">
        <v>237</v>
      </c>
    </row>
    <row r="212">
      <c r="A212" s="3">
        <v>567.0</v>
      </c>
      <c r="B212" s="3">
        <v>12.0</v>
      </c>
      <c r="C212" s="3" t="s">
        <v>237</v>
      </c>
    </row>
    <row r="213">
      <c r="A213" s="3">
        <v>292.0</v>
      </c>
      <c r="B213" s="3">
        <v>12.0</v>
      </c>
      <c r="C213" s="3" t="s">
        <v>237</v>
      </c>
    </row>
    <row r="214">
      <c r="A214" s="3">
        <v>125.0</v>
      </c>
      <c r="B214" s="3">
        <v>2.0</v>
      </c>
      <c r="C214" s="3" t="s">
        <v>240</v>
      </c>
    </row>
    <row r="215">
      <c r="A215" s="3">
        <v>959.0</v>
      </c>
      <c r="B215" s="3">
        <v>12.0</v>
      </c>
      <c r="C215" s="3" t="s">
        <v>237</v>
      </c>
    </row>
    <row r="216">
      <c r="A216" s="3">
        <v>703.0</v>
      </c>
      <c r="B216" s="3">
        <v>12.0</v>
      </c>
      <c r="C216" s="3" t="s">
        <v>237</v>
      </c>
    </row>
    <row r="217">
      <c r="A217" s="3">
        <v>212.0</v>
      </c>
      <c r="B217" s="3">
        <v>12.0</v>
      </c>
      <c r="C217" s="3" t="s">
        <v>237</v>
      </c>
    </row>
    <row r="218">
      <c r="A218" s="3">
        <v>915.0</v>
      </c>
      <c r="B218" s="3">
        <v>2.0</v>
      </c>
      <c r="C218" s="3" t="s">
        <v>240</v>
      </c>
    </row>
    <row r="219">
      <c r="A219" s="3">
        <v>952.0</v>
      </c>
      <c r="B219" s="3">
        <v>2.0</v>
      </c>
      <c r="C219" s="3" t="s">
        <v>240</v>
      </c>
    </row>
    <row r="220">
      <c r="A220" s="3">
        <v>221.0</v>
      </c>
      <c r="B220" s="3">
        <v>2.0</v>
      </c>
      <c r="C220" s="3" t="s">
        <v>240</v>
      </c>
    </row>
    <row r="221">
      <c r="A221" s="3">
        <v>3.0</v>
      </c>
      <c r="B221" s="3">
        <v>2.0</v>
      </c>
      <c r="C221" s="3" t="s">
        <v>240</v>
      </c>
    </row>
    <row r="222">
      <c r="A222" s="3">
        <v>364.0</v>
      </c>
      <c r="B222" s="3">
        <v>2.0</v>
      </c>
      <c r="C222" s="3" t="s">
        <v>240</v>
      </c>
    </row>
    <row r="223">
      <c r="A223" s="3">
        <v>575.0</v>
      </c>
      <c r="B223" s="3">
        <v>2.0</v>
      </c>
      <c r="C223" s="3" t="s">
        <v>240</v>
      </c>
    </row>
    <row r="224">
      <c r="A224" s="3">
        <v>135.0</v>
      </c>
      <c r="B224" s="3">
        <v>2.0</v>
      </c>
      <c r="C224" s="3" t="s">
        <v>240</v>
      </c>
    </row>
    <row r="225">
      <c r="A225" s="3">
        <v>339.0</v>
      </c>
      <c r="B225" s="3">
        <v>4.0</v>
      </c>
      <c r="C225" s="3" t="s">
        <v>239</v>
      </c>
    </row>
    <row r="226">
      <c r="A226" s="3">
        <v>467.0</v>
      </c>
      <c r="B226" s="3">
        <v>4.0</v>
      </c>
      <c r="C226" s="3" t="s">
        <v>239</v>
      </c>
    </row>
    <row r="227">
      <c r="A227" s="3">
        <v>519.0</v>
      </c>
      <c r="B227" s="3">
        <v>4.0</v>
      </c>
      <c r="C227" s="3" t="s">
        <v>239</v>
      </c>
    </row>
    <row r="228">
      <c r="A228" s="3">
        <v>254.0</v>
      </c>
      <c r="B228" s="3">
        <v>12.0</v>
      </c>
      <c r="C228" s="3" t="s">
        <v>237</v>
      </c>
    </row>
    <row r="229">
      <c r="A229" s="3">
        <v>963.0</v>
      </c>
      <c r="B229" s="3">
        <v>2.0</v>
      </c>
      <c r="C229" s="3" t="s">
        <v>240</v>
      </c>
    </row>
    <row r="230">
      <c r="A230" s="3">
        <v>377.0</v>
      </c>
      <c r="B230" s="3">
        <v>2.0</v>
      </c>
      <c r="C230" s="3" t="s">
        <v>240</v>
      </c>
    </row>
    <row r="231">
      <c r="A231" s="3">
        <v>804.0</v>
      </c>
      <c r="B231" s="3">
        <v>2.0</v>
      </c>
      <c r="C231" s="3" t="s">
        <v>240</v>
      </c>
    </row>
    <row r="232">
      <c r="A232" s="3">
        <v>186.0</v>
      </c>
      <c r="B232" s="3">
        <v>2.0</v>
      </c>
      <c r="C232" s="3" t="s">
        <v>240</v>
      </c>
    </row>
    <row r="233">
      <c r="A233" s="3">
        <v>273.0</v>
      </c>
      <c r="B233" s="3">
        <v>2.0</v>
      </c>
      <c r="C233" s="3" t="s">
        <v>240</v>
      </c>
    </row>
    <row r="234">
      <c r="A234" s="3">
        <v>337.0</v>
      </c>
      <c r="B234" s="3">
        <v>2.0</v>
      </c>
      <c r="C234" s="3" t="s">
        <v>240</v>
      </c>
    </row>
    <row r="235">
      <c r="A235" s="3">
        <v>704.0</v>
      </c>
      <c r="B235" s="3">
        <v>12.0</v>
      </c>
      <c r="C235" s="3" t="s">
        <v>237</v>
      </c>
    </row>
    <row r="236">
      <c r="A236" s="3">
        <v>442.0</v>
      </c>
      <c r="B236" s="3">
        <v>3.0</v>
      </c>
      <c r="C236" s="3" t="s">
        <v>238</v>
      </c>
    </row>
    <row r="237">
      <c r="A237" s="3">
        <v>96.0</v>
      </c>
      <c r="B237" s="3">
        <v>12.0</v>
      </c>
      <c r="C237" s="3" t="s">
        <v>237</v>
      </c>
    </row>
    <row r="238">
      <c r="A238" s="3">
        <v>815.0</v>
      </c>
      <c r="B238" s="3">
        <v>3.0</v>
      </c>
      <c r="C238" s="3" t="s">
        <v>238</v>
      </c>
    </row>
    <row r="239">
      <c r="A239" s="3">
        <v>1028.0</v>
      </c>
      <c r="B239" s="3">
        <v>3.0</v>
      </c>
      <c r="C239" s="3" t="s">
        <v>238</v>
      </c>
    </row>
    <row r="240">
      <c r="A240" s="3">
        <v>410.0</v>
      </c>
      <c r="B240" s="3">
        <v>3.0</v>
      </c>
      <c r="C240" s="3" t="s">
        <v>238</v>
      </c>
    </row>
    <row r="241">
      <c r="A241" s="3">
        <v>627.0</v>
      </c>
      <c r="B241" s="3">
        <v>3.0</v>
      </c>
      <c r="C241" s="3" t="s">
        <v>238</v>
      </c>
    </row>
    <row r="242">
      <c r="A242" s="3">
        <v>12.0</v>
      </c>
      <c r="B242" s="3">
        <v>3.0</v>
      </c>
      <c r="C242" s="3" t="s">
        <v>238</v>
      </c>
    </row>
    <row r="243">
      <c r="A243" s="3">
        <v>338.0</v>
      </c>
      <c r="B243" s="3">
        <v>3.0</v>
      </c>
      <c r="C243" s="3" t="s">
        <v>238</v>
      </c>
    </row>
    <row r="244">
      <c r="A244" s="3">
        <v>577.0</v>
      </c>
      <c r="B244" s="3">
        <v>3.0</v>
      </c>
      <c r="C244" s="3" t="s">
        <v>238</v>
      </c>
    </row>
    <row r="245">
      <c r="A245" s="3">
        <v>668.0</v>
      </c>
      <c r="B245" s="3">
        <v>3.0</v>
      </c>
      <c r="C245" s="3" t="s">
        <v>238</v>
      </c>
    </row>
    <row r="246">
      <c r="A246" s="3">
        <v>727.0</v>
      </c>
      <c r="B246" s="3">
        <v>3.0</v>
      </c>
      <c r="C246" s="3" t="s">
        <v>238</v>
      </c>
    </row>
    <row r="247">
      <c r="A247" s="3">
        <v>582.0</v>
      </c>
      <c r="B247" s="3">
        <v>3.0</v>
      </c>
      <c r="C247" s="3" t="s">
        <v>238</v>
      </c>
    </row>
    <row r="248">
      <c r="A248" s="3">
        <v>605.0</v>
      </c>
      <c r="B248" s="3">
        <v>3.0</v>
      </c>
      <c r="C248" s="3" t="s">
        <v>238</v>
      </c>
    </row>
    <row r="249">
      <c r="A249" s="3">
        <v>549.0</v>
      </c>
      <c r="B249" s="3">
        <v>3.0</v>
      </c>
      <c r="C249" s="3" t="s">
        <v>238</v>
      </c>
    </row>
    <row r="250">
      <c r="A250" s="3">
        <v>864.0</v>
      </c>
      <c r="B250" s="3">
        <v>3.0</v>
      </c>
      <c r="C250" s="3" t="s">
        <v>238</v>
      </c>
    </row>
    <row r="251">
      <c r="A251" s="3">
        <v>738.0</v>
      </c>
      <c r="B251" s="3">
        <v>3.0</v>
      </c>
      <c r="C251" s="3" t="s">
        <v>241</v>
      </c>
    </row>
    <row r="252">
      <c r="A252" s="3">
        <v>658.0</v>
      </c>
      <c r="B252" s="3">
        <v>3.0</v>
      </c>
      <c r="C252" s="3" t="s">
        <v>238</v>
      </c>
    </row>
    <row r="253">
      <c r="A253" s="3">
        <v>830.0</v>
      </c>
      <c r="B253" s="3">
        <v>3.0</v>
      </c>
      <c r="C253" s="3" t="s">
        <v>241</v>
      </c>
    </row>
    <row r="254">
      <c r="A254" s="3">
        <v>548.0</v>
      </c>
      <c r="B254" s="3">
        <v>3.0</v>
      </c>
      <c r="C254" s="3" t="s">
        <v>238</v>
      </c>
    </row>
    <row r="255">
      <c r="A255" s="3">
        <v>279.0</v>
      </c>
      <c r="B255" s="3">
        <v>3.0</v>
      </c>
      <c r="C255" s="3" t="s">
        <v>238</v>
      </c>
    </row>
    <row r="256">
      <c r="A256" s="3">
        <v>162.0</v>
      </c>
      <c r="B256" s="3">
        <v>3.0</v>
      </c>
      <c r="C256" s="3" t="s">
        <v>238</v>
      </c>
    </row>
    <row r="257">
      <c r="A257" s="3">
        <v>66.0</v>
      </c>
      <c r="B257" s="3">
        <v>3.0</v>
      </c>
      <c r="C257" s="3" t="s">
        <v>238</v>
      </c>
    </row>
    <row r="258">
      <c r="A258" s="3">
        <v>692.0</v>
      </c>
      <c r="B258" s="3">
        <v>3.0</v>
      </c>
      <c r="C258" s="3" t="s">
        <v>238</v>
      </c>
    </row>
    <row r="259">
      <c r="A259" s="3">
        <v>656.0</v>
      </c>
      <c r="B259" s="3">
        <v>12.0</v>
      </c>
      <c r="C259" s="3" t="s">
        <v>237</v>
      </c>
    </row>
    <row r="260">
      <c r="A260" s="3">
        <v>1042.0</v>
      </c>
      <c r="B260" s="3">
        <v>12.0</v>
      </c>
      <c r="C260" s="3" t="s">
        <v>237</v>
      </c>
    </row>
    <row r="261">
      <c r="A261" s="3">
        <v>660.0</v>
      </c>
      <c r="B261" s="3">
        <v>3.0</v>
      </c>
      <c r="C261" s="3" t="s">
        <v>238</v>
      </c>
    </row>
    <row r="262">
      <c r="A262" s="3">
        <v>522.0</v>
      </c>
      <c r="B262" s="3">
        <v>3.0</v>
      </c>
      <c r="C262" s="3" t="s">
        <v>238</v>
      </c>
    </row>
    <row r="263">
      <c r="A263" s="3">
        <v>491.0</v>
      </c>
      <c r="B263" s="3">
        <v>3.0</v>
      </c>
      <c r="C263" s="3" t="s">
        <v>238</v>
      </c>
    </row>
    <row r="264">
      <c r="A264" s="3">
        <v>987.0</v>
      </c>
      <c r="B264" s="3">
        <v>4.0</v>
      </c>
      <c r="C264" s="3" t="s">
        <v>239</v>
      </c>
    </row>
    <row r="265">
      <c r="A265" s="3">
        <v>590.0</v>
      </c>
      <c r="B265" s="3">
        <v>3.0</v>
      </c>
      <c r="C265" s="3" t="s">
        <v>238</v>
      </c>
    </row>
    <row r="266">
      <c r="A266" s="3">
        <v>958.0</v>
      </c>
      <c r="B266" s="3">
        <v>12.0</v>
      </c>
      <c r="C266" s="3" t="s">
        <v>237</v>
      </c>
    </row>
    <row r="267">
      <c r="A267" s="3">
        <v>305.0</v>
      </c>
      <c r="B267" s="3">
        <v>3.0</v>
      </c>
      <c r="C267" s="3" t="s">
        <v>238</v>
      </c>
    </row>
    <row r="268">
      <c r="A268" s="3">
        <v>533.0</v>
      </c>
      <c r="B268" s="3">
        <v>3.0</v>
      </c>
      <c r="C268" s="3" t="s">
        <v>238</v>
      </c>
    </row>
    <row r="269">
      <c r="A269" s="3">
        <v>558.0</v>
      </c>
      <c r="B269" s="3">
        <v>3.0</v>
      </c>
      <c r="C269" s="3" t="s">
        <v>238</v>
      </c>
    </row>
    <row r="270">
      <c r="A270" s="3">
        <v>900.0</v>
      </c>
      <c r="B270" s="3">
        <v>3.0</v>
      </c>
      <c r="C270" s="3" t="s">
        <v>238</v>
      </c>
    </row>
    <row r="271">
      <c r="A271" s="3">
        <v>643.0</v>
      </c>
      <c r="B271" s="3">
        <v>3.0</v>
      </c>
      <c r="C271" s="3" t="s">
        <v>238</v>
      </c>
    </row>
    <row r="272">
      <c r="A272" s="3">
        <v>351.0</v>
      </c>
      <c r="B272" s="3">
        <v>3.0</v>
      </c>
      <c r="C272" s="3" t="s">
        <v>238</v>
      </c>
    </row>
    <row r="273">
      <c r="A273" s="3">
        <v>2.0</v>
      </c>
      <c r="B273" s="3">
        <v>3.0</v>
      </c>
      <c r="C273" s="3" t="s">
        <v>238</v>
      </c>
    </row>
    <row r="274">
      <c r="A274" s="3">
        <v>956.0</v>
      </c>
      <c r="B274" s="3">
        <v>3.0</v>
      </c>
      <c r="C274" s="3" t="s">
        <v>238</v>
      </c>
    </row>
    <row r="275">
      <c r="A275" s="3">
        <v>347.0</v>
      </c>
      <c r="B275" s="3">
        <v>3.0</v>
      </c>
      <c r="C275" s="3" t="s">
        <v>238</v>
      </c>
    </row>
    <row r="276">
      <c r="A276" s="3">
        <v>167.0</v>
      </c>
      <c r="B276" s="3">
        <v>3.0</v>
      </c>
      <c r="C276" s="3" t="s">
        <v>238</v>
      </c>
    </row>
    <row r="277">
      <c r="A277" s="3">
        <v>969.0</v>
      </c>
      <c r="B277" s="3">
        <v>3.0</v>
      </c>
      <c r="C277" s="3" t="s">
        <v>238</v>
      </c>
    </row>
    <row r="278">
      <c r="A278" s="3">
        <v>707.0</v>
      </c>
      <c r="B278" s="3">
        <v>4.0</v>
      </c>
      <c r="C278" s="3" t="s">
        <v>239</v>
      </c>
    </row>
    <row r="279">
      <c r="A279" s="3">
        <v>932.0</v>
      </c>
      <c r="B279" s="3">
        <v>3.0</v>
      </c>
      <c r="C279" s="3" t="s">
        <v>238</v>
      </c>
    </row>
    <row r="280">
      <c r="A280" s="3">
        <v>1011.0</v>
      </c>
      <c r="B280" s="3">
        <v>3.0</v>
      </c>
      <c r="C280" s="3" t="s">
        <v>238</v>
      </c>
    </row>
    <row r="281">
      <c r="A281" s="3">
        <v>909.0</v>
      </c>
      <c r="B281" s="3">
        <v>4.0</v>
      </c>
      <c r="C281" s="3" t="s">
        <v>239</v>
      </c>
    </row>
    <row r="282">
      <c r="A282" s="3">
        <v>563.0</v>
      </c>
      <c r="B282" s="3">
        <v>3.0</v>
      </c>
      <c r="C282" s="3" t="s">
        <v>238</v>
      </c>
    </row>
    <row r="283">
      <c r="A283" s="3">
        <v>1010.0</v>
      </c>
      <c r="B283" s="3">
        <v>3.0</v>
      </c>
      <c r="C283" s="3" t="s">
        <v>238</v>
      </c>
    </row>
    <row r="284">
      <c r="A284" s="3">
        <v>698.0</v>
      </c>
      <c r="B284" s="3">
        <v>4.0</v>
      </c>
      <c r="C284" s="3" t="s">
        <v>239</v>
      </c>
    </row>
    <row r="285">
      <c r="A285" s="3">
        <v>971.0</v>
      </c>
      <c r="B285" s="3">
        <v>3.0</v>
      </c>
      <c r="C285" s="3" t="s">
        <v>238</v>
      </c>
    </row>
    <row r="286">
      <c r="A286" s="3">
        <v>67.0</v>
      </c>
      <c r="B286" s="3">
        <v>3.0</v>
      </c>
      <c r="C286" s="3" t="s">
        <v>238</v>
      </c>
    </row>
    <row r="287">
      <c r="A287" s="3">
        <v>328.0</v>
      </c>
      <c r="B287" s="3">
        <v>3.0</v>
      </c>
      <c r="C287" s="3" t="s">
        <v>238</v>
      </c>
    </row>
    <row r="288">
      <c r="A288" s="3">
        <v>318.0</v>
      </c>
      <c r="B288" s="3">
        <v>3.0</v>
      </c>
      <c r="C288" s="3" t="s">
        <v>238</v>
      </c>
    </row>
    <row r="289">
      <c r="A289" s="3">
        <v>82.0</v>
      </c>
      <c r="B289" s="3">
        <v>3.0</v>
      </c>
      <c r="C289" s="3" t="s">
        <v>238</v>
      </c>
    </row>
    <row r="290">
      <c r="A290" s="3">
        <v>1021.0</v>
      </c>
      <c r="B290" s="3">
        <v>3.0</v>
      </c>
      <c r="C290" s="3" t="s">
        <v>238</v>
      </c>
    </row>
    <row r="291">
      <c r="A291" s="3">
        <v>705.0</v>
      </c>
      <c r="B291" s="3">
        <v>4.0</v>
      </c>
      <c r="C291" s="3" t="s">
        <v>239</v>
      </c>
    </row>
    <row r="292">
      <c r="A292" s="3">
        <v>1037.0</v>
      </c>
      <c r="B292" s="3">
        <v>4.0</v>
      </c>
      <c r="C292" s="3" t="s">
        <v>239</v>
      </c>
    </row>
    <row r="293">
      <c r="A293" s="3">
        <v>682.0</v>
      </c>
      <c r="B293" s="3">
        <v>4.0</v>
      </c>
      <c r="C293" s="3" t="s">
        <v>239</v>
      </c>
    </row>
    <row r="294">
      <c r="A294" s="3">
        <v>939.0</v>
      </c>
      <c r="B294" s="3">
        <v>4.0</v>
      </c>
      <c r="C294" s="3" t="s">
        <v>239</v>
      </c>
    </row>
    <row r="295">
      <c r="A295" s="3">
        <v>1044.0</v>
      </c>
      <c r="B295" s="3">
        <v>12.0</v>
      </c>
      <c r="C295" s="3" t="s">
        <v>237</v>
      </c>
    </row>
    <row r="296">
      <c r="A296" s="3">
        <v>425.0</v>
      </c>
      <c r="B296" s="3">
        <v>12.0</v>
      </c>
      <c r="C296" s="3" t="s">
        <v>237</v>
      </c>
    </row>
    <row r="297">
      <c r="A297" s="3">
        <v>906.0</v>
      </c>
      <c r="B297" s="3">
        <v>12.0</v>
      </c>
      <c r="C297" s="3" t="s">
        <v>237</v>
      </c>
    </row>
    <row r="298">
      <c r="A298" s="3">
        <v>806.0</v>
      </c>
      <c r="B298" s="3">
        <v>12.0</v>
      </c>
      <c r="C298" s="3" t="s">
        <v>237</v>
      </c>
    </row>
    <row r="299">
      <c r="A299" s="3">
        <v>918.0</v>
      </c>
      <c r="B299" s="3">
        <v>12.0</v>
      </c>
      <c r="C299" s="3" t="s">
        <v>237</v>
      </c>
    </row>
    <row r="300">
      <c r="A300" s="3">
        <v>735.0</v>
      </c>
      <c r="B300" s="3">
        <v>12.0</v>
      </c>
      <c r="C300" s="3" t="s">
        <v>237</v>
      </c>
    </row>
    <row r="301">
      <c r="A301" s="3">
        <v>175.0</v>
      </c>
      <c r="B301" s="3">
        <v>12.0</v>
      </c>
      <c r="C301" s="3" t="s">
        <v>237</v>
      </c>
    </row>
    <row r="302">
      <c r="A302" s="3">
        <v>535.0</v>
      </c>
      <c r="B302" s="3">
        <v>12.0</v>
      </c>
      <c r="C302" s="3" t="s">
        <v>237</v>
      </c>
    </row>
    <row r="303">
      <c r="A303" s="3">
        <v>589.0</v>
      </c>
      <c r="B303" s="3">
        <v>12.0</v>
      </c>
      <c r="C303" s="3" t="s">
        <v>237</v>
      </c>
    </row>
    <row r="304">
      <c r="A304" s="3">
        <v>16.0</v>
      </c>
      <c r="B304" s="3">
        <v>12.0</v>
      </c>
      <c r="C304" s="3" t="s">
        <v>237</v>
      </c>
    </row>
    <row r="305">
      <c r="A305" s="3">
        <v>83.0</v>
      </c>
      <c r="B305" s="3">
        <v>12.0</v>
      </c>
      <c r="C305" s="3" t="s">
        <v>237</v>
      </c>
    </row>
    <row r="306">
      <c r="A306" s="3">
        <v>189.0</v>
      </c>
      <c r="B306" s="3">
        <v>12.0</v>
      </c>
      <c r="C306" s="3" t="s">
        <v>237</v>
      </c>
    </row>
    <row r="307">
      <c r="A307" s="3">
        <v>993.0</v>
      </c>
      <c r="B307" s="3">
        <v>12.0</v>
      </c>
      <c r="C307" s="3" t="s">
        <v>237</v>
      </c>
    </row>
    <row r="308">
      <c r="A308" s="3">
        <v>746.0</v>
      </c>
      <c r="B308" s="3">
        <v>12.0</v>
      </c>
      <c r="C308" s="3" t="s">
        <v>237</v>
      </c>
    </row>
    <row r="309">
      <c r="A309" s="3">
        <v>161.0</v>
      </c>
      <c r="B309" s="3">
        <v>12.0</v>
      </c>
      <c r="C309" s="3" t="s">
        <v>237</v>
      </c>
    </row>
    <row r="310">
      <c r="A310" s="3">
        <v>526.0</v>
      </c>
      <c r="B310" s="3">
        <v>12.0</v>
      </c>
      <c r="C310" s="3" t="s">
        <v>237</v>
      </c>
    </row>
    <row r="311">
      <c r="A311" s="3">
        <v>295.0</v>
      </c>
      <c r="B311" s="3">
        <v>3.0</v>
      </c>
      <c r="C311" s="3" t="s">
        <v>243</v>
      </c>
    </row>
    <row r="312">
      <c r="A312" s="3">
        <v>226.0</v>
      </c>
      <c r="B312" s="3">
        <v>3.0</v>
      </c>
      <c r="C312" s="3" t="s">
        <v>243</v>
      </c>
    </row>
    <row r="313">
      <c r="A313" s="3">
        <v>356.0</v>
      </c>
      <c r="B313" s="3">
        <v>3.0</v>
      </c>
      <c r="C313" s="3" t="s">
        <v>238</v>
      </c>
    </row>
    <row r="314">
      <c r="A314" s="3">
        <v>523.0</v>
      </c>
      <c r="B314" s="3">
        <v>12.0</v>
      </c>
      <c r="C314" s="3" t="s">
        <v>237</v>
      </c>
    </row>
    <row r="315">
      <c r="A315" s="3">
        <v>534.0</v>
      </c>
      <c r="B315" s="3">
        <v>3.0</v>
      </c>
      <c r="C315" s="3" t="s">
        <v>243</v>
      </c>
    </row>
    <row r="316">
      <c r="A316" s="3">
        <v>255.0</v>
      </c>
      <c r="B316" s="3">
        <v>3.0</v>
      </c>
      <c r="C316" s="3" t="s">
        <v>243</v>
      </c>
    </row>
    <row r="317">
      <c r="A317" s="3">
        <v>106.0</v>
      </c>
      <c r="B317" s="3">
        <v>3.0</v>
      </c>
      <c r="C317" s="3" t="s">
        <v>243</v>
      </c>
    </row>
    <row r="318">
      <c r="A318" s="3">
        <v>477.0</v>
      </c>
      <c r="B318" s="3">
        <v>3.0</v>
      </c>
      <c r="C318" s="3" t="s">
        <v>243</v>
      </c>
    </row>
    <row r="319">
      <c r="A319" s="3">
        <v>375.0</v>
      </c>
      <c r="B319" s="3">
        <v>3.0</v>
      </c>
      <c r="C319" s="3" t="s">
        <v>238</v>
      </c>
    </row>
    <row r="320">
      <c r="A320" s="3">
        <v>52.0</v>
      </c>
      <c r="B320" s="3">
        <v>3.0</v>
      </c>
      <c r="C320" s="3" t="s">
        <v>243</v>
      </c>
    </row>
    <row r="321">
      <c r="A321" s="3">
        <v>756.0</v>
      </c>
      <c r="B321" s="3">
        <v>3.0</v>
      </c>
      <c r="C321" s="3" t="s">
        <v>243</v>
      </c>
    </row>
    <row r="322">
      <c r="A322" s="3">
        <v>630.0</v>
      </c>
      <c r="B322" s="3">
        <v>3.0</v>
      </c>
      <c r="C322" s="3" t="s">
        <v>243</v>
      </c>
    </row>
    <row r="323">
      <c r="A323" s="3">
        <v>93.0</v>
      </c>
      <c r="B323" s="3">
        <v>3.0</v>
      </c>
      <c r="C323" s="3" t="s">
        <v>243</v>
      </c>
    </row>
    <row r="324">
      <c r="A324" s="3">
        <v>573.0</v>
      </c>
      <c r="B324" s="3">
        <v>3.0</v>
      </c>
      <c r="C324" s="3" t="s">
        <v>243</v>
      </c>
    </row>
    <row r="325">
      <c r="A325" s="3">
        <v>584.0</v>
      </c>
      <c r="B325" s="3">
        <v>3.0</v>
      </c>
      <c r="C325" s="3" t="s">
        <v>243</v>
      </c>
    </row>
    <row r="326">
      <c r="A326" s="3">
        <v>258.0</v>
      </c>
      <c r="B326" s="3">
        <v>3.0</v>
      </c>
      <c r="C326" s="3" t="s">
        <v>243</v>
      </c>
    </row>
    <row r="327">
      <c r="A327" s="3">
        <v>49.0</v>
      </c>
      <c r="B327" s="3">
        <v>3.0</v>
      </c>
      <c r="C327" s="3" t="s">
        <v>243</v>
      </c>
    </row>
    <row r="328">
      <c r="A328" s="3">
        <v>597.0</v>
      </c>
      <c r="B328" s="3">
        <v>3.0</v>
      </c>
      <c r="C328" s="3" t="s">
        <v>243</v>
      </c>
    </row>
    <row r="329">
      <c r="A329" s="3">
        <v>585.0</v>
      </c>
      <c r="B329" s="3">
        <v>3.0</v>
      </c>
      <c r="C329" s="3" t="s">
        <v>243</v>
      </c>
    </row>
    <row r="330">
      <c r="A330" s="3">
        <v>530.0</v>
      </c>
      <c r="B330" s="3">
        <v>3.0</v>
      </c>
      <c r="C330" s="3" t="s">
        <v>243</v>
      </c>
    </row>
    <row r="331">
      <c r="A331" s="3">
        <v>546.0</v>
      </c>
      <c r="B331" s="3">
        <v>3.0</v>
      </c>
      <c r="C331" s="3" t="s">
        <v>243</v>
      </c>
    </row>
    <row r="332">
      <c r="A332" s="3">
        <v>694.0</v>
      </c>
      <c r="B332" s="3">
        <v>3.0</v>
      </c>
      <c r="C332" s="3" t="s">
        <v>243</v>
      </c>
    </row>
    <row r="333">
      <c r="A333" s="3">
        <v>64.0</v>
      </c>
      <c r="B333" s="3">
        <v>3.0</v>
      </c>
      <c r="C333" s="3" t="s">
        <v>243</v>
      </c>
    </row>
    <row r="334">
      <c r="A334" s="3">
        <v>531.0</v>
      </c>
      <c r="B334" s="3">
        <v>3.0</v>
      </c>
      <c r="C334" s="3" t="s">
        <v>243</v>
      </c>
    </row>
    <row r="335">
      <c r="A335" s="3">
        <v>557.0</v>
      </c>
      <c r="B335" s="3">
        <v>3.0</v>
      </c>
      <c r="C335" s="3" t="s">
        <v>243</v>
      </c>
    </row>
    <row r="336">
      <c r="A336" s="3">
        <v>562.0</v>
      </c>
      <c r="B336" s="3">
        <v>3.0</v>
      </c>
      <c r="C336" s="3" t="s">
        <v>243</v>
      </c>
    </row>
    <row r="337">
      <c r="A337" s="3">
        <v>745.0</v>
      </c>
      <c r="B337" s="3">
        <v>3.0</v>
      </c>
      <c r="C337" s="3" t="s">
        <v>243</v>
      </c>
    </row>
    <row r="338">
      <c r="A338" s="3">
        <v>518.0</v>
      </c>
      <c r="B338" s="3">
        <v>4.0</v>
      </c>
      <c r="C338" s="3" t="s">
        <v>239</v>
      </c>
    </row>
    <row r="339">
      <c r="A339" s="3">
        <v>214.0</v>
      </c>
      <c r="B339" s="3">
        <v>4.0</v>
      </c>
      <c r="C339" s="3" t="s">
        <v>239</v>
      </c>
    </row>
    <row r="340">
      <c r="A340" s="3">
        <v>489.0</v>
      </c>
      <c r="B340" s="3">
        <v>2.0</v>
      </c>
      <c r="C340" s="3" t="s">
        <v>240</v>
      </c>
    </row>
    <row r="341">
      <c r="A341" s="3">
        <v>449.0</v>
      </c>
      <c r="B341" s="3">
        <v>2.0</v>
      </c>
      <c r="C341" s="3" t="s">
        <v>240</v>
      </c>
    </row>
    <row r="342">
      <c r="A342" s="3">
        <v>937.0</v>
      </c>
      <c r="B342" s="3">
        <v>2.0</v>
      </c>
      <c r="C342" s="3" t="s">
        <v>240</v>
      </c>
    </row>
    <row r="343">
      <c r="A343" s="3">
        <v>787.0</v>
      </c>
      <c r="B343" s="3">
        <v>2.0</v>
      </c>
      <c r="C343" s="3" t="s">
        <v>240</v>
      </c>
    </row>
    <row r="344">
      <c r="A344" s="3">
        <v>930.0</v>
      </c>
      <c r="B344" s="3">
        <v>2.0</v>
      </c>
      <c r="C344" s="3" t="s">
        <v>240</v>
      </c>
    </row>
    <row r="345">
      <c r="A345" s="3">
        <v>938.0</v>
      </c>
      <c r="B345" s="3">
        <v>2.0</v>
      </c>
      <c r="C345" s="3" t="s">
        <v>240</v>
      </c>
    </row>
    <row r="346">
      <c r="A346" s="3">
        <v>966.0</v>
      </c>
      <c r="B346" s="3">
        <v>2.0</v>
      </c>
      <c r="C346" s="3" t="s">
        <v>240</v>
      </c>
    </row>
    <row r="347">
      <c r="A347" s="3">
        <v>722.0</v>
      </c>
      <c r="B347" s="3">
        <v>4.0</v>
      </c>
      <c r="C347" s="3" t="s">
        <v>239</v>
      </c>
    </row>
    <row r="348">
      <c r="A348" s="3">
        <v>870.0</v>
      </c>
      <c r="B348" s="3">
        <v>2.0</v>
      </c>
      <c r="C348" s="3" t="s">
        <v>240</v>
      </c>
    </row>
    <row r="349">
      <c r="A349" s="3">
        <v>976.0</v>
      </c>
      <c r="B349" s="3">
        <v>2.0</v>
      </c>
      <c r="C349" s="3" t="s">
        <v>240</v>
      </c>
    </row>
    <row r="350">
      <c r="A350" s="3">
        <v>1027.0</v>
      </c>
      <c r="B350" s="3">
        <v>2.0</v>
      </c>
      <c r="C350" s="3" t="s">
        <v>240</v>
      </c>
    </row>
    <row r="351">
      <c r="A351" s="3">
        <v>1038.0</v>
      </c>
      <c r="B351" s="3">
        <v>2.0</v>
      </c>
      <c r="C351" s="3" t="s">
        <v>240</v>
      </c>
    </row>
    <row r="352">
      <c r="A352" s="3">
        <v>53.0</v>
      </c>
      <c r="B352" s="3">
        <v>3.0</v>
      </c>
      <c r="C352" s="3" t="s">
        <v>238</v>
      </c>
    </row>
    <row r="353">
      <c r="A353" s="3">
        <v>706.0</v>
      </c>
      <c r="B353" s="3">
        <v>3.0</v>
      </c>
      <c r="C353" s="3" t="s">
        <v>243</v>
      </c>
    </row>
    <row r="354">
      <c r="A354" s="3">
        <v>358.0</v>
      </c>
      <c r="B354" s="3">
        <v>3.0</v>
      </c>
      <c r="C354" s="3" t="s">
        <v>243</v>
      </c>
    </row>
    <row r="355">
      <c r="A355" s="3">
        <v>229.0</v>
      </c>
      <c r="B355" s="3">
        <v>10.0</v>
      </c>
      <c r="C355" s="3" t="s">
        <v>244</v>
      </c>
    </row>
    <row r="356">
      <c r="A356" s="3">
        <v>974.0</v>
      </c>
      <c r="B356" s="3">
        <v>4.0</v>
      </c>
      <c r="C356" s="3" t="s">
        <v>239</v>
      </c>
    </row>
    <row r="357">
      <c r="A357" s="3">
        <v>485.0</v>
      </c>
      <c r="B357" s="3">
        <v>3.0</v>
      </c>
      <c r="C357" s="3" t="s">
        <v>243</v>
      </c>
    </row>
    <row r="358">
      <c r="A358" s="3">
        <v>422.0</v>
      </c>
      <c r="B358" s="3">
        <v>3.0</v>
      </c>
      <c r="C358" s="3" t="s">
        <v>243</v>
      </c>
    </row>
    <row r="359">
      <c r="A359" s="3">
        <v>757.0</v>
      </c>
      <c r="B359" s="3">
        <v>3.0</v>
      </c>
      <c r="C359" s="3" t="s">
        <v>238</v>
      </c>
    </row>
    <row r="360">
      <c r="A360" s="3">
        <v>383.0</v>
      </c>
      <c r="B360" s="3">
        <v>3.0</v>
      </c>
      <c r="C360" s="3" t="s">
        <v>238</v>
      </c>
    </row>
    <row r="361">
      <c r="A361" s="3">
        <v>1041.0</v>
      </c>
      <c r="B361" s="3">
        <v>2.0</v>
      </c>
      <c r="C361" s="3" t="s">
        <v>240</v>
      </c>
    </row>
    <row r="362">
      <c r="A362" s="3">
        <v>999.0</v>
      </c>
      <c r="B362" s="3">
        <v>3.0</v>
      </c>
      <c r="C362" s="3" t="s">
        <v>238</v>
      </c>
    </row>
    <row r="363">
      <c r="A363" s="3">
        <v>888.0</v>
      </c>
      <c r="B363" s="3">
        <v>3.0</v>
      </c>
      <c r="C363" s="3" t="s">
        <v>238</v>
      </c>
    </row>
    <row r="364">
      <c r="A364" s="3">
        <v>527.0</v>
      </c>
      <c r="B364" s="3">
        <v>3.0</v>
      </c>
      <c r="C364" s="3" t="s">
        <v>238</v>
      </c>
    </row>
    <row r="365">
      <c r="A365" s="3">
        <v>779.0</v>
      </c>
      <c r="B365" s="3">
        <v>3.0</v>
      </c>
      <c r="C365" s="3" t="s">
        <v>238</v>
      </c>
    </row>
    <row r="366">
      <c r="A366" s="3">
        <v>805.0</v>
      </c>
      <c r="B366" s="3">
        <v>12.0</v>
      </c>
      <c r="C366" s="3" t="s">
        <v>237</v>
      </c>
    </row>
    <row r="367">
      <c r="A367" s="3">
        <v>571.0</v>
      </c>
      <c r="B367" s="3">
        <v>10.0</v>
      </c>
      <c r="C367" s="3" t="s">
        <v>242</v>
      </c>
    </row>
    <row r="368">
      <c r="A368" s="3">
        <v>814.0</v>
      </c>
      <c r="B368" s="3">
        <v>4.0</v>
      </c>
      <c r="C368" s="3" t="s">
        <v>239</v>
      </c>
    </row>
    <row r="369">
      <c r="A369" s="3">
        <v>821.0</v>
      </c>
      <c r="B369" s="3">
        <v>2.0</v>
      </c>
      <c r="C369" s="3" t="s">
        <v>240</v>
      </c>
    </row>
    <row r="370">
      <c r="A370" s="3">
        <v>341.0</v>
      </c>
      <c r="B370" s="3">
        <v>2.0</v>
      </c>
      <c r="C370" s="3" t="s">
        <v>240</v>
      </c>
    </row>
    <row r="371">
      <c r="A371" s="3">
        <v>509.0</v>
      </c>
      <c r="B371" s="3">
        <v>2.0</v>
      </c>
      <c r="C371" s="3" t="s">
        <v>240</v>
      </c>
    </row>
    <row r="372">
      <c r="A372" s="3">
        <v>955.0</v>
      </c>
      <c r="B372" s="3">
        <v>2.0</v>
      </c>
      <c r="C372" s="3" t="s">
        <v>240</v>
      </c>
    </row>
    <row r="373">
      <c r="A373" s="3">
        <v>917.0</v>
      </c>
      <c r="B373" s="3">
        <v>2.0</v>
      </c>
      <c r="C373" s="3" t="s">
        <v>240</v>
      </c>
    </row>
    <row r="374">
      <c r="A374" s="3">
        <v>953.0</v>
      </c>
      <c r="B374" s="3">
        <v>2.0</v>
      </c>
      <c r="C374" s="3" t="s">
        <v>240</v>
      </c>
    </row>
    <row r="375">
      <c r="A375" s="3">
        <v>419.0</v>
      </c>
      <c r="B375" s="3">
        <v>4.0</v>
      </c>
      <c r="C375" s="3" t="s">
        <v>239</v>
      </c>
    </row>
    <row r="376">
      <c r="A376" s="3">
        <v>632.0</v>
      </c>
      <c r="B376" s="3">
        <v>4.0</v>
      </c>
      <c r="C376" s="3" t="s">
        <v>239</v>
      </c>
    </row>
    <row r="377">
      <c r="A377" s="3">
        <v>309.0</v>
      </c>
      <c r="B377" s="3">
        <v>2.0</v>
      </c>
      <c r="C377" s="3" t="s">
        <v>240</v>
      </c>
    </row>
    <row r="378">
      <c r="A378" s="3">
        <v>1002.0</v>
      </c>
      <c r="B378" s="3">
        <v>4.0</v>
      </c>
      <c r="C378" s="3" t="s">
        <v>239</v>
      </c>
    </row>
    <row r="379">
      <c r="A379" s="3">
        <v>752.0</v>
      </c>
      <c r="B379" s="3">
        <v>4.0</v>
      </c>
      <c r="C379" s="3" t="s">
        <v>239</v>
      </c>
    </row>
    <row r="380">
      <c r="A380" s="3">
        <v>397.0</v>
      </c>
      <c r="B380" s="3">
        <v>4.0</v>
      </c>
      <c r="C380" s="3" t="s">
        <v>239</v>
      </c>
    </row>
    <row r="381">
      <c r="A381" s="3">
        <v>510.0</v>
      </c>
      <c r="B381" s="3">
        <v>4.0</v>
      </c>
      <c r="C381" s="3" t="s">
        <v>239</v>
      </c>
    </row>
    <row r="382">
      <c r="A382" s="3">
        <v>687.0</v>
      </c>
      <c r="B382" s="3">
        <v>4.0</v>
      </c>
      <c r="C382" s="3" t="s">
        <v>239</v>
      </c>
    </row>
    <row r="383">
      <c r="A383" s="3">
        <v>711.0</v>
      </c>
      <c r="B383" s="3">
        <v>4.0</v>
      </c>
      <c r="C383" s="3" t="s">
        <v>239</v>
      </c>
    </row>
    <row r="384">
      <c r="A384" s="3">
        <v>302.0</v>
      </c>
      <c r="B384" s="3">
        <v>4.0</v>
      </c>
      <c r="C384" s="3" t="s">
        <v>239</v>
      </c>
    </row>
    <row r="385">
      <c r="A385" s="3">
        <v>588.0</v>
      </c>
      <c r="B385" s="3">
        <v>4.0</v>
      </c>
      <c r="C385" s="3" t="s">
        <v>239</v>
      </c>
    </row>
    <row r="386">
      <c r="A386" s="3">
        <v>187.0</v>
      </c>
      <c r="B386" s="3">
        <v>4.0</v>
      </c>
      <c r="C386" s="3" t="s">
        <v>239</v>
      </c>
    </row>
    <row r="387">
      <c r="A387" s="3">
        <v>470.0</v>
      </c>
      <c r="B387" s="3">
        <v>4.0</v>
      </c>
      <c r="C387" s="3" t="s">
        <v>239</v>
      </c>
    </row>
    <row r="388">
      <c r="A388" s="3">
        <v>102.0</v>
      </c>
      <c r="B388" s="3">
        <v>4.0</v>
      </c>
      <c r="C388" s="3" t="s">
        <v>239</v>
      </c>
    </row>
    <row r="389">
      <c r="A389" s="3">
        <v>34.0</v>
      </c>
      <c r="B389" s="3">
        <v>4.0</v>
      </c>
      <c r="C389" s="3" t="s">
        <v>239</v>
      </c>
    </row>
    <row r="390">
      <c r="A390" s="3">
        <v>962.0</v>
      </c>
      <c r="B390" s="3">
        <v>4.0</v>
      </c>
      <c r="C390" s="3" t="s">
        <v>239</v>
      </c>
    </row>
    <row r="391">
      <c r="A391" s="3">
        <v>239.0</v>
      </c>
      <c r="B391" s="3">
        <v>12.0</v>
      </c>
      <c r="C391" s="3" t="s">
        <v>237</v>
      </c>
    </row>
    <row r="392">
      <c r="A392" s="3">
        <v>772.0</v>
      </c>
      <c r="B392" s="3">
        <v>12.0</v>
      </c>
      <c r="C392" s="3" t="s">
        <v>237</v>
      </c>
    </row>
    <row r="393">
      <c r="A393" s="3">
        <v>672.0</v>
      </c>
      <c r="B393" s="3">
        <v>3.0</v>
      </c>
      <c r="C393" s="3" t="s">
        <v>238</v>
      </c>
    </row>
    <row r="394">
      <c r="A394" s="3">
        <v>747.0</v>
      </c>
      <c r="B394" s="3">
        <v>12.0</v>
      </c>
      <c r="C394" s="3" t="s">
        <v>237</v>
      </c>
    </row>
    <row r="395">
      <c r="A395" s="3">
        <v>37.0</v>
      </c>
      <c r="B395" s="3">
        <v>12.0</v>
      </c>
      <c r="C395" s="3" t="s">
        <v>237</v>
      </c>
    </row>
    <row r="396">
      <c r="A396" s="3">
        <v>544.0</v>
      </c>
      <c r="B396" s="3">
        <v>12.0</v>
      </c>
      <c r="C396" s="3" t="s">
        <v>237</v>
      </c>
    </row>
    <row r="397">
      <c r="A397" s="3">
        <v>1023.0</v>
      </c>
      <c r="B397" s="3">
        <v>12.0</v>
      </c>
      <c r="C397" s="3" t="s">
        <v>237</v>
      </c>
    </row>
    <row r="398">
      <c r="A398" s="3">
        <v>773.0</v>
      </c>
      <c r="B398" s="3">
        <v>3.0</v>
      </c>
      <c r="C398" s="3" t="s">
        <v>238</v>
      </c>
    </row>
    <row r="399">
      <c r="A399" s="3">
        <v>430.0</v>
      </c>
      <c r="B399" s="3">
        <v>3.0</v>
      </c>
      <c r="C399" s="3" t="s">
        <v>238</v>
      </c>
    </row>
    <row r="400">
      <c r="A400" s="3">
        <v>232.0</v>
      </c>
      <c r="B400" s="3">
        <v>3.0</v>
      </c>
      <c r="C400" s="3" t="s">
        <v>238</v>
      </c>
    </row>
    <row r="401">
      <c r="A401" s="3">
        <v>741.0</v>
      </c>
      <c r="B401" s="3">
        <v>3.0</v>
      </c>
      <c r="C401" s="3" t="s">
        <v>238</v>
      </c>
    </row>
    <row r="402">
      <c r="A402" s="3">
        <v>446.0</v>
      </c>
      <c r="B402" s="3">
        <v>3.0</v>
      </c>
      <c r="C402" s="3" t="s">
        <v>238</v>
      </c>
    </row>
    <row r="403">
      <c r="A403" s="3">
        <v>975.0</v>
      </c>
      <c r="B403" s="3">
        <v>3.0</v>
      </c>
      <c r="C403" s="3" t="s">
        <v>238</v>
      </c>
    </row>
    <row r="404">
      <c r="A404" s="3">
        <v>812.0</v>
      </c>
      <c r="B404" s="3">
        <v>3.0</v>
      </c>
      <c r="C404" s="3" t="s">
        <v>238</v>
      </c>
    </row>
    <row r="405">
      <c r="A405" s="3">
        <v>40.0</v>
      </c>
      <c r="B405" s="3">
        <v>3.0</v>
      </c>
      <c r="C405" s="3" t="s">
        <v>238</v>
      </c>
    </row>
    <row r="406">
      <c r="A406" s="3">
        <v>592.0</v>
      </c>
      <c r="B406" s="3">
        <v>3.0</v>
      </c>
      <c r="C406" s="3" t="s">
        <v>238</v>
      </c>
    </row>
    <row r="407">
      <c r="A407" s="3">
        <v>560.0</v>
      </c>
      <c r="B407" s="3">
        <v>3.0</v>
      </c>
      <c r="C407" s="3" t="s">
        <v>238</v>
      </c>
    </row>
    <row r="408">
      <c r="A408" s="3">
        <v>112.0</v>
      </c>
      <c r="B408" s="3">
        <v>3.0</v>
      </c>
      <c r="C408" s="3" t="s">
        <v>238</v>
      </c>
    </row>
    <row r="409">
      <c r="A409" s="3">
        <v>437.0</v>
      </c>
      <c r="B409" s="3">
        <v>3.0</v>
      </c>
      <c r="C409" s="3" t="s">
        <v>238</v>
      </c>
    </row>
    <row r="410">
      <c r="A410" s="3">
        <v>780.0</v>
      </c>
      <c r="B410" s="3">
        <v>3.0</v>
      </c>
      <c r="C410" s="3" t="s">
        <v>238</v>
      </c>
    </row>
    <row r="411">
      <c r="A411" s="3">
        <v>73.0</v>
      </c>
      <c r="B411" s="3">
        <v>3.0</v>
      </c>
      <c r="C411" s="3" t="s">
        <v>238</v>
      </c>
    </row>
    <row r="412">
      <c r="A412" s="3">
        <v>19.0</v>
      </c>
      <c r="B412" s="3">
        <v>3.0</v>
      </c>
      <c r="C412" s="3" t="s">
        <v>238</v>
      </c>
    </row>
    <row r="413">
      <c r="A413" s="3">
        <v>188.0</v>
      </c>
      <c r="B413" s="3">
        <v>3.0</v>
      </c>
      <c r="C413" s="3" t="s">
        <v>238</v>
      </c>
    </row>
    <row r="414">
      <c r="A414" s="3">
        <v>733.0</v>
      </c>
      <c r="B414" s="3">
        <v>3.0</v>
      </c>
      <c r="C414" s="3" t="s">
        <v>238</v>
      </c>
    </row>
    <row r="415">
      <c r="A415" s="3">
        <v>234.0</v>
      </c>
      <c r="B415" s="3">
        <v>3.0</v>
      </c>
      <c r="C415" s="3" t="s">
        <v>238</v>
      </c>
    </row>
    <row r="416">
      <c r="A416" s="3">
        <v>288.0</v>
      </c>
      <c r="B416" s="3">
        <v>3.0</v>
      </c>
      <c r="C416" s="3" t="s">
        <v>238</v>
      </c>
    </row>
    <row r="417">
      <c r="A417" s="3">
        <v>336.0</v>
      </c>
      <c r="B417" s="3">
        <v>3.0</v>
      </c>
      <c r="C417" s="3" t="s">
        <v>238</v>
      </c>
    </row>
    <row r="418">
      <c r="A418" s="3">
        <v>65.0</v>
      </c>
      <c r="B418" s="3">
        <v>3.0</v>
      </c>
      <c r="C418" s="3" t="s">
        <v>238</v>
      </c>
    </row>
    <row r="419">
      <c r="A419" s="3">
        <v>978.0</v>
      </c>
      <c r="B419" s="3">
        <v>3.0</v>
      </c>
      <c r="C419" s="3" t="s">
        <v>238</v>
      </c>
    </row>
    <row r="420">
      <c r="A420" s="3" t="e">
        <v>#N/A</v>
      </c>
      <c r="B420" s="3">
        <v>4.0</v>
      </c>
      <c r="C420" s="3" t="s">
        <v>239</v>
      </c>
    </row>
    <row r="421">
      <c r="A421" s="3" t="e">
        <v>#N/A</v>
      </c>
      <c r="B421" s="3">
        <v>4.0</v>
      </c>
      <c r="C421" s="3" t="s">
        <v>239</v>
      </c>
    </row>
    <row r="422">
      <c r="A422" s="3" t="e">
        <v>#N/A</v>
      </c>
      <c r="B422" s="3">
        <v>4.0</v>
      </c>
      <c r="C422" s="3" t="s">
        <v>239</v>
      </c>
    </row>
    <row r="423">
      <c r="A423" s="3" t="e">
        <v>#N/A</v>
      </c>
      <c r="B423" s="3">
        <v>4.0</v>
      </c>
      <c r="C423" s="3" t="s">
        <v>239</v>
      </c>
    </row>
    <row r="424">
      <c r="A424" s="3" t="e">
        <v>#N/A</v>
      </c>
      <c r="B424" s="3">
        <v>4.0</v>
      </c>
      <c r="C424" s="3" t="s">
        <v>239</v>
      </c>
    </row>
    <row r="425">
      <c r="A425" s="3" t="e">
        <v>#N/A</v>
      </c>
      <c r="B425" s="3">
        <v>4.0</v>
      </c>
      <c r="C425" s="3" t="s">
        <v>239</v>
      </c>
    </row>
    <row r="426">
      <c r="A426" s="3" t="e">
        <v>#N/A</v>
      </c>
      <c r="B426" s="3">
        <v>4.0</v>
      </c>
      <c r="C426" s="3" t="s">
        <v>239</v>
      </c>
    </row>
    <row r="427">
      <c r="A427" s="3">
        <v>910.0</v>
      </c>
      <c r="B427" s="3">
        <v>2.0</v>
      </c>
      <c r="C427" s="3" t="s">
        <v>240</v>
      </c>
    </row>
    <row r="428">
      <c r="A428" s="3">
        <v>63.0</v>
      </c>
      <c r="B428" s="3">
        <v>2.0</v>
      </c>
      <c r="C428" s="3" t="s">
        <v>240</v>
      </c>
    </row>
    <row r="429">
      <c r="A429" s="3">
        <v>300.0</v>
      </c>
      <c r="B429" s="3">
        <v>4.0</v>
      </c>
      <c r="C429" s="3" t="s">
        <v>239</v>
      </c>
    </row>
    <row r="430">
      <c r="A430" s="3">
        <v>452.0</v>
      </c>
      <c r="B430" s="3">
        <v>4.0</v>
      </c>
      <c r="C430" s="3" t="s">
        <v>239</v>
      </c>
    </row>
    <row r="431">
      <c r="A431" s="3">
        <v>507.0</v>
      </c>
      <c r="B431" s="3">
        <v>3.0</v>
      </c>
      <c r="C431" s="3" t="s">
        <v>238</v>
      </c>
    </row>
    <row r="432">
      <c r="A432" s="3">
        <v>501.0</v>
      </c>
      <c r="B432" s="3">
        <v>2.0</v>
      </c>
      <c r="C432" s="3" t="s">
        <v>240</v>
      </c>
    </row>
    <row r="433">
      <c r="A433" s="3">
        <v>606.0</v>
      </c>
      <c r="B433" s="3">
        <v>2.0</v>
      </c>
      <c r="C433" s="3" t="s">
        <v>240</v>
      </c>
    </row>
    <row r="434">
      <c r="A434" s="3">
        <v>54.0</v>
      </c>
      <c r="B434" s="3">
        <v>2.0</v>
      </c>
      <c r="C434" s="3" t="s">
        <v>240</v>
      </c>
    </row>
    <row r="435">
      <c r="A435" s="3">
        <v>379.0</v>
      </c>
      <c r="B435" s="3">
        <v>2.0</v>
      </c>
      <c r="C435" s="3" t="s">
        <v>240</v>
      </c>
    </row>
    <row r="436">
      <c r="A436" s="3">
        <v>503.0</v>
      </c>
      <c r="B436" s="3">
        <v>2.0</v>
      </c>
      <c r="C436" s="3" t="s">
        <v>240</v>
      </c>
    </row>
    <row r="437">
      <c r="A437" s="3">
        <v>145.0</v>
      </c>
      <c r="B437" s="3">
        <v>2.0</v>
      </c>
      <c r="C437" s="3" t="s">
        <v>240</v>
      </c>
    </row>
    <row r="438">
      <c r="A438" s="3">
        <v>159.0</v>
      </c>
      <c r="B438" s="3">
        <v>2.0</v>
      </c>
      <c r="C438" s="3" t="s">
        <v>240</v>
      </c>
    </row>
    <row r="439">
      <c r="A439" s="3">
        <v>173.0</v>
      </c>
      <c r="B439" s="3">
        <v>2.0</v>
      </c>
      <c r="C439" s="3" t="s">
        <v>240</v>
      </c>
    </row>
    <row r="440">
      <c r="A440" s="3">
        <v>205.0</v>
      </c>
      <c r="B440" s="3">
        <v>2.0</v>
      </c>
      <c r="C440" s="3" t="s">
        <v>240</v>
      </c>
    </row>
    <row r="441">
      <c r="A441" s="3">
        <v>220.0</v>
      </c>
      <c r="B441" s="3">
        <v>2.0</v>
      </c>
      <c r="C441" s="3" t="s">
        <v>240</v>
      </c>
    </row>
    <row r="442">
      <c r="A442" s="3">
        <v>224.0</v>
      </c>
      <c r="B442" s="3">
        <v>2.0</v>
      </c>
      <c r="C442" s="3" t="s">
        <v>240</v>
      </c>
    </row>
    <row r="443">
      <c r="A443" s="3">
        <v>293.0</v>
      </c>
      <c r="B443" s="3">
        <v>2.0</v>
      </c>
      <c r="C443" s="3" t="s">
        <v>240</v>
      </c>
    </row>
    <row r="444">
      <c r="A444" s="3">
        <v>540.0</v>
      </c>
      <c r="B444" s="3">
        <v>2.0</v>
      </c>
      <c r="C444" s="3" t="s">
        <v>240</v>
      </c>
    </row>
    <row r="445">
      <c r="A445" s="3">
        <v>257.0</v>
      </c>
      <c r="B445" s="3">
        <v>2.0</v>
      </c>
      <c r="C445" s="3" t="s">
        <v>240</v>
      </c>
    </row>
    <row r="446">
      <c r="A446" s="3">
        <v>604.0</v>
      </c>
      <c r="B446" s="3">
        <v>2.0</v>
      </c>
      <c r="C446" s="3" t="s">
        <v>240</v>
      </c>
    </row>
    <row r="447">
      <c r="A447" s="3">
        <v>329.0</v>
      </c>
      <c r="B447" s="3">
        <v>2.0</v>
      </c>
      <c r="C447" s="3" t="s">
        <v>240</v>
      </c>
    </row>
    <row r="448">
      <c r="A448" s="3">
        <v>346.0</v>
      </c>
      <c r="B448" s="3">
        <v>2.0</v>
      </c>
      <c r="C448" s="3" t="s">
        <v>240</v>
      </c>
    </row>
    <row r="449">
      <c r="A449" s="3">
        <v>417.0</v>
      </c>
      <c r="B449" s="3">
        <v>2.0</v>
      </c>
      <c r="C449" s="3" t="s">
        <v>240</v>
      </c>
    </row>
    <row r="450">
      <c r="A450" s="3">
        <v>505.0</v>
      </c>
      <c r="B450" s="3">
        <v>2.0</v>
      </c>
      <c r="C450" s="3" t="s">
        <v>240</v>
      </c>
    </row>
    <row r="451">
      <c r="A451" s="3">
        <v>732.0</v>
      </c>
      <c r="B451" s="3">
        <v>2.0</v>
      </c>
      <c r="C451" s="3" t="s">
        <v>240</v>
      </c>
    </row>
    <row r="452">
      <c r="A452" s="3">
        <v>840.0</v>
      </c>
      <c r="B452" s="3">
        <v>2.0</v>
      </c>
      <c r="C452" s="3" t="s">
        <v>240</v>
      </c>
    </row>
    <row r="453">
      <c r="A453" s="3">
        <v>848.0</v>
      </c>
      <c r="B453" s="3">
        <v>2.0</v>
      </c>
      <c r="C453" s="3" t="s">
        <v>240</v>
      </c>
    </row>
    <row r="454">
      <c r="A454" s="3">
        <v>517.0</v>
      </c>
      <c r="B454" s="3">
        <v>2.0</v>
      </c>
      <c r="C454" s="3" t="s">
        <v>240</v>
      </c>
    </row>
    <row r="455">
      <c r="A455" s="3">
        <v>423.0</v>
      </c>
      <c r="B455" s="3">
        <v>2.0</v>
      </c>
      <c r="C455" s="3" t="s">
        <v>240</v>
      </c>
    </row>
    <row r="456">
      <c r="A456" s="3">
        <v>31.0</v>
      </c>
      <c r="B456" s="3">
        <v>2.0</v>
      </c>
      <c r="C456" s="3" t="s">
        <v>240</v>
      </c>
    </row>
    <row r="457">
      <c r="A457" s="3">
        <v>626.0</v>
      </c>
      <c r="B457" s="3">
        <v>2.0</v>
      </c>
      <c r="C457" s="3" t="s">
        <v>240</v>
      </c>
    </row>
    <row r="458">
      <c r="A458" s="3">
        <v>245.0</v>
      </c>
      <c r="B458" s="3">
        <v>2.0</v>
      </c>
      <c r="C458" s="3" t="s">
        <v>240</v>
      </c>
    </row>
    <row r="459">
      <c r="A459" s="3">
        <v>263.0</v>
      </c>
      <c r="B459" s="3">
        <v>2.0</v>
      </c>
      <c r="C459" s="3" t="s">
        <v>240</v>
      </c>
    </row>
    <row r="460">
      <c r="A460" s="3">
        <v>193.0</v>
      </c>
      <c r="B460" s="3">
        <v>4.0</v>
      </c>
      <c r="C460" s="3" t="s">
        <v>239</v>
      </c>
    </row>
    <row r="461">
      <c r="A461" s="3">
        <v>836.0</v>
      </c>
      <c r="B461" s="3">
        <v>4.0</v>
      </c>
      <c r="C461" s="3" t="s">
        <v>239</v>
      </c>
    </row>
    <row r="462">
      <c r="A462" s="3">
        <v>923.0</v>
      </c>
      <c r="B462" s="3">
        <v>2.0</v>
      </c>
      <c r="C462" s="3" t="s">
        <v>240</v>
      </c>
    </row>
    <row r="463">
      <c r="A463" s="3">
        <v>86.0</v>
      </c>
      <c r="B463" s="3">
        <v>2.0</v>
      </c>
      <c r="C463" s="3" t="s">
        <v>240</v>
      </c>
    </row>
    <row r="464">
      <c r="A464" s="3">
        <v>601.0</v>
      </c>
      <c r="B464" s="3">
        <v>4.0</v>
      </c>
      <c r="C464" s="3" t="s">
        <v>239</v>
      </c>
    </row>
    <row r="465">
      <c r="A465" s="3">
        <v>94.0</v>
      </c>
      <c r="B465" s="3">
        <v>4.0</v>
      </c>
      <c r="C465" s="3" t="s">
        <v>239</v>
      </c>
    </row>
    <row r="466">
      <c r="A466" s="3">
        <v>247.0</v>
      </c>
      <c r="B466" s="3">
        <v>2.0</v>
      </c>
      <c r="C466" s="3" t="s">
        <v>240</v>
      </c>
    </row>
    <row r="467">
      <c r="A467" s="3">
        <v>482.0</v>
      </c>
      <c r="B467" s="3">
        <v>2.0</v>
      </c>
      <c r="C467" s="3" t="s">
        <v>240</v>
      </c>
    </row>
    <row r="468">
      <c r="A468" s="3">
        <v>737.0</v>
      </c>
      <c r="B468" s="3">
        <v>2.0</v>
      </c>
      <c r="C468" s="3" t="s">
        <v>240</v>
      </c>
    </row>
    <row r="469">
      <c r="A469" s="3">
        <v>313.0</v>
      </c>
      <c r="B469" s="3">
        <v>4.0</v>
      </c>
      <c r="C469" s="3" t="s">
        <v>239</v>
      </c>
    </row>
    <row r="470">
      <c r="A470" s="3">
        <v>87.0</v>
      </c>
      <c r="B470" s="3">
        <v>2.0</v>
      </c>
      <c r="C470" s="3" t="s">
        <v>240</v>
      </c>
    </row>
    <row r="471">
      <c r="A471" s="3">
        <v>478.0</v>
      </c>
      <c r="B471" s="3">
        <v>4.0</v>
      </c>
      <c r="C471" s="3" t="s">
        <v>239</v>
      </c>
    </row>
    <row r="472">
      <c r="A472" s="3">
        <v>766.0</v>
      </c>
      <c r="B472" s="3">
        <v>2.0</v>
      </c>
      <c r="C472" s="3" t="s">
        <v>240</v>
      </c>
    </row>
    <row r="473">
      <c r="A473" s="3">
        <v>362.0</v>
      </c>
      <c r="B473" s="3">
        <v>2.0</v>
      </c>
      <c r="C473" s="3" t="s">
        <v>240</v>
      </c>
    </row>
    <row r="474">
      <c r="A474" s="3">
        <v>286.0</v>
      </c>
      <c r="B474" s="3">
        <v>2.0</v>
      </c>
      <c r="C474" s="3" t="s">
        <v>240</v>
      </c>
    </row>
    <row r="475">
      <c r="A475" s="3">
        <v>789.0</v>
      </c>
      <c r="B475" s="3">
        <v>4.0</v>
      </c>
      <c r="C475" s="3" t="s">
        <v>239</v>
      </c>
    </row>
    <row r="476">
      <c r="A476" s="3">
        <v>810.0</v>
      </c>
      <c r="B476" s="3">
        <v>2.0</v>
      </c>
      <c r="C476" s="3" t="s">
        <v>240</v>
      </c>
    </row>
    <row r="477">
      <c r="A477" s="3">
        <v>645.0</v>
      </c>
      <c r="B477" s="3">
        <v>2.0</v>
      </c>
      <c r="C477" s="3" t="s">
        <v>240</v>
      </c>
    </row>
    <row r="478">
      <c r="A478" s="3">
        <v>169.0</v>
      </c>
      <c r="B478" s="3">
        <v>2.0</v>
      </c>
      <c r="C478" s="3" t="s">
        <v>240</v>
      </c>
    </row>
    <row r="479">
      <c r="A479" s="3">
        <v>172.0</v>
      </c>
      <c r="B479" s="3">
        <v>2.0</v>
      </c>
      <c r="C479" s="3" t="s">
        <v>240</v>
      </c>
    </row>
    <row r="480">
      <c r="A480" s="3">
        <v>143.0</v>
      </c>
      <c r="B480" s="3">
        <v>2.0</v>
      </c>
      <c r="C480" s="3" t="s">
        <v>240</v>
      </c>
    </row>
    <row r="481">
      <c r="A481" s="3">
        <v>151.0</v>
      </c>
      <c r="B481" s="3">
        <v>2.0</v>
      </c>
      <c r="C481" s="3" t="s">
        <v>240</v>
      </c>
    </row>
    <row r="482">
      <c r="A482" s="3">
        <v>896.0</v>
      </c>
      <c r="B482" s="3">
        <v>2.0</v>
      </c>
      <c r="C482" s="3" t="s">
        <v>240</v>
      </c>
    </row>
    <row r="483">
      <c r="A483" s="3">
        <v>238.0</v>
      </c>
      <c r="B483" s="3">
        <v>2.0</v>
      </c>
      <c r="C483" s="3" t="s">
        <v>240</v>
      </c>
    </row>
    <row r="484">
      <c r="A484" s="3">
        <v>456.0</v>
      </c>
      <c r="B484" s="3">
        <v>4.0</v>
      </c>
      <c r="C484" s="3" t="s">
        <v>239</v>
      </c>
    </row>
    <row r="485">
      <c r="A485" s="3">
        <v>13.0</v>
      </c>
      <c r="B485" s="3">
        <v>2.0</v>
      </c>
      <c r="C485" s="3" t="s">
        <v>240</v>
      </c>
    </row>
    <row r="486">
      <c r="A486" s="3">
        <v>613.0</v>
      </c>
      <c r="B486" s="3">
        <v>2.0</v>
      </c>
      <c r="C486" s="3" t="s">
        <v>240</v>
      </c>
    </row>
    <row r="487">
      <c r="A487" s="3">
        <v>74.0</v>
      </c>
      <c r="B487" s="3">
        <v>2.0</v>
      </c>
      <c r="C487" s="3" t="s">
        <v>240</v>
      </c>
    </row>
    <row r="488">
      <c r="A488" s="3">
        <v>512.0</v>
      </c>
      <c r="B488" s="3">
        <v>2.0</v>
      </c>
      <c r="C488" s="3" t="s">
        <v>240</v>
      </c>
    </row>
    <row r="489">
      <c r="A489" s="3">
        <v>675.0</v>
      </c>
      <c r="B489" s="3">
        <v>2.0</v>
      </c>
      <c r="C489" s="3" t="s">
        <v>240</v>
      </c>
    </row>
    <row r="490">
      <c r="A490" s="3">
        <v>823.0</v>
      </c>
      <c r="B490" s="3">
        <v>2.0</v>
      </c>
      <c r="C490" s="3" t="s">
        <v>240</v>
      </c>
    </row>
    <row r="491">
      <c r="A491" s="3">
        <v>18.0</v>
      </c>
      <c r="B491" s="3">
        <v>2.0</v>
      </c>
      <c r="C491" s="3" t="s">
        <v>240</v>
      </c>
    </row>
    <row r="492">
      <c r="A492" s="3">
        <v>925.0</v>
      </c>
      <c r="B492" s="3">
        <v>2.0</v>
      </c>
      <c r="C492" s="3" t="s">
        <v>240</v>
      </c>
    </row>
    <row r="493">
      <c r="A493" s="3">
        <v>538.0</v>
      </c>
      <c r="B493" s="3">
        <v>2.0</v>
      </c>
      <c r="C493" s="3" t="s">
        <v>240</v>
      </c>
    </row>
    <row r="494">
      <c r="A494" s="3">
        <v>231.0</v>
      </c>
      <c r="B494" s="3">
        <v>2.0</v>
      </c>
      <c r="C494" s="3" t="s">
        <v>240</v>
      </c>
    </row>
    <row r="495">
      <c r="A495" s="3">
        <v>119.0</v>
      </c>
      <c r="B495" s="3">
        <v>2.0</v>
      </c>
      <c r="C495" s="3" t="s">
        <v>240</v>
      </c>
    </row>
    <row r="496">
      <c r="A496" s="3">
        <v>29.0</v>
      </c>
      <c r="B496" s="3">
        <v>2.0</v>
      </c>
      <c r="C496" s="3" t="s">
        <v>240</v>
      </c>
    </row>
    <row r="497">
      <c r="A497" s="3">
        <v>126.0</v>
      </c>
      <c r="B497" s="3">
        <v>2.0</v>
      </c>
      <c r="C497" s="3" t="s">
        <v>240</v>
      </c>
    </row>
    <row r="498">
      <c r="A498" s="3">
        <v>330.0</v>
      </c>
      <c r="B498" s="3">
        <v>2.0</v>
      </c>
      <c r="C498" s="3" t="s">
        <v>240</v>
      </c>
    </row>
    <row r="499">
      <c r="A499" s="3">
        <v>261.0</v>
      </c>
      <c r="B499" s="3">
        <v>2.0</v>
      </c>
      <c r="C499" s="3" t="s">
        <v>240</v>
      </c>
    </row>
    <row r="500">
      <c r="A500" s="3">
        <v>552.0</v>
      </c>
      <c r="B500" s="3">
        <v>2.0</v>
      </c>
      <c r="C500" s="3" t="s">
        <v>240</v>
      </c>
    </row>
    <row r="501">
      <c r="A501" s="3">
        <v>123.0</v>
      </c>
      <c r="B501" s="3">
        <v>2.0</v>
      </c>
      <c r="C501" s="3" t="s">
        <v>240</v>
      </c>
    </row>
    <row r="502">
      <c r="A502" s="3">
        <v>934.0</v>
      </c>
      <c r="B502" s="3">
        <v>2.0</v>
      </c>
      <c r="C502" s="3" t="s">
        <v>240</v>
      </c>
    </row>
    <row r="503">
      <c r="A503" s="3">
        <v>665.0</v>
      </c>
      <c r="B503" s="3">
        <v>4.0</v>
      </c>
      <c r="C503" s="3" t="s">
        <v>239</v>
      </c>
    </row>
    <row r="504">
      <c r="A504" s="3">
        <v>368.0</v>
      </c>
      <c r="B504" s="3">
        <v>2.0</v>
      </c>
      <c r="C504" s="3" t="s">
        <v>240</v>
      </c>
    </row>
    <row r="505">
      <c r="A505" s="3">
        <v>770.0</v>
      </c>
      <c r="B505" s="3">
        <v>2.0</v>
      </c>
      <c r="C505" s="3" t="s">
        <v>240</v>
      </c>
    </row>
    <row r="506">
      <c r="A506" s="3">
        <v>355.0</v>
      </c>
      <c r="B506" s="3">
        <v>2.0</v>
      </c>
      <c r="C506" s="3" t="s">
        <v>240</v>
      </c>
    </row>
    <row r="507">
      <c r="A507" s="3">
        <v>615.0</v>
      </c>
      <c r="B507" s="3">
        <v>4.0</v>
      </c>
      <c r="C507" s="3" t="s">
        <v>239</v>
      </c>
    </row>
    <row r="508">
      <c r="A508" s="3">
        <v>758.0</v>
      </c>
      <c r="B508" s="3">
        <v>2.0</v>
      </c>
      <c r="C508" s="3" t="s">
        <v>240</v>
      </c>
    </row>
    <row r="509">
      <c r="A509" s="3">
        <v>243.0</v>
      </c>
      <c r="B509" s="3">
        <v>2.0</v>
      </c>
      <c r="C509" s="3" t="s">
        <v>240</v>
      </c>
    </row>
    <row r="510">
      <c r="A510" s="3">
        <v>416.0</v>
      </c>
      <c r="B510" s="3">
        <v>4.0</v>
      </c>
      <c r="C510" s="3" t="s">
        <v>239</v>
      </c>
    </row>
    <row r="511">
      <c r="A511" s="3">
        <v>594.0</v>
      </c>
      <c r="B511" s="3">
        <v>4.0</v>
      </c>
      <c r="C511" s="3" t="s">
        <v>239</v>
      </c>
    </row>
    <row r="512">
      <c r="A512" s="3">
        <v>185.0</v>
      </c>
      <c r="B512" s="3">
        <v>4.0</v>
      </c>
      <c r="C512" s="3" t="s">
        <v>239</v>
      </c>
    </row>
    <row r="513">
      <c r="A513" s="3">
        <v>520.0</v>
      </c>
      <c r="B513" s="3">
        <v>4.0</v>
      </c>
      <c r="C513" s="3" t="s">
        <v>239</v>
      </c>
    </row>
    <row r="514">
      <c r="A514" s="3">
        <v>354.0</v>
      </c>
      <c r="B514" s="3">
        <v>2.0</v>
      </c>
      <c r="C514" s="3" t="s">
        <v>240</v>
      </c>
    </row>
    <row r="515">
      <c r="A515" s="3">
        <v>14.0</v>
      </c>
      <c r="B515" s="3">
        <v>2.0</v>
      </c>
      <c r="C515" s="3" t="s">
        <v>240</v>
      </c>
    </row>
    <row r="516">
      <c r="A516" s="3">
        <v>132.0</v>
      </c>
      <c r="B516" s="3">
        <v>2.0</v>
      </c>
      <c r="C516" s="3" t="s">
        <v>240</v>
      </c>
    </row>
    <row r="517">
      <c r="A517" s="3">
        <v>134.0</v>
      </c>
      <c r="B517" s="3">
        <v>2.0</v>
      </c>
      <c r="C517" s="3" t="s">
        <v>240</v>
      </c>
    </row>
    <row r="518">
      <c r="A518" s="3">
        <v>191.0</v>
      </c>
      <c r="B518" s="3">
        <v>2.0</v>
      </c>
      <c r="C518" s="3" t="s">
        <v>240</v>
      </c>
    </row>
    <row r="519">
      <c r="A519" s="3">
        <v>281.0</v>
      </c>
      <c r="B519" s="3">
        <v>2.0</v>
      </c>
      <c r="C519" s="3" t="s">
        <v>240</v>
      </c>
    </row>
    <row r="520">
      <c r="A520" s="3">
        <v>345.0</v>
      </c>
      <c r="B520" s="3">
        <v>2.0</v>
      </c>
      <c r="C520" s="3" t="s">
        <v>240</v>
      </c>
    </row>
    <row r="521">
      <c r="A521" s="3">
        <v>791.0</v>
      </c>
      <c r="B521" s="3">
        <v>2.0</v>
      </c>
      <c r="C521" s="3" t="s">
        <v>240</v>
      </c>
    </row>
    <row r="522">
      <c r="A522" s="3">
        <v>47.0</v>
      </c>
      <c r="B522" s="3">
        <v>2.0</v>
      </c>
      <c r="C522" s="3" t="s">
        <v>240</v>
      </c>
    </row>
    <row r="523">
      <c r="A523" s="3">
        <v>901.0</v>
      </c>
      <c r="B523" s="3">
        <v>2.0</v>
      </c>
      <c r="C523" s="3" t="s">
        <v>240</v>
      </c>
    </row>
    <row r="524">
      <c r="A524" s="3">
        <v>570.0</v>
      </c>
      <c r="B524" s="3">
        <v>2.0</v>
      </c>
      <c r="C524" s="3" t="s">
        <v>240</v>
      </c>
    </row>
    <row r="525">
      <c r="A525" s="3">
        <v>1013.0</v>
      </c>
      <c r="B525" s="3">
        <v>2.0</v>
      </c>
      <c r="C525" s="3" t="s">
        <v>240</v>
      </c>
    </row>
    <row r="526">
      <c r="A526" s="3">
        <v>244.0</v>
      </c>
      <c r="B526" s="3">
        <v>2.0</v>
      </c>
      <c r="C526" s="3" t="s">
        <v>240</v>
      </c>
    </row>
    <row r="527">
      <c r="A527" s="3">
        <v>374.0</v>
      </c>
      <c r="B527" s="3">
        <v>2.0</v>
      </c>
      <c r="C527" s="3" t="s">
        <v>240</v>
      </c>
    </row>
    <row r="528">
      <c r="A528" s="3">
        <v>750.0</v>
      </c>
      <c r="B528" s="3">
        <v>4.0</v>
      </c>
      <c r="C528" s="3" t="s">
        <v>239</v>
      </c>
    </row>
    <row r="529">
      <c r="A529" s="3">
        <v>457.0</v>
      </c>
      <c r="B529" s="3">
        <v>4.0</v>
      </c>
      <c r="C529" s="3" t="s">
        <v>239</v>
      </c>
    </row>
    <row r="530">
      <c r="A530" s="3">
        <v>390.0</v>
      </c>
      <c r="B530" s="3">
        <v>2.0</v>
      </c>
      <c r="C530" s="3" t="s">
        <v>240</v>
      </c>
    </row>
    <row r="531">
      <c r="A531" s="3">
        <v>432.0</v>
      </c>
      <c r="B531" s="3">
        <v>4.0</v>
      </c>
      <c r="C531" s="3" t="s">
        <v>239</v>
      </c>
    </row>
    <row r="532">
      <c r="A532" s="3">
        <v>514.0</v>
      </c>
      <c r="B532" s="3">
        <v>4.0</v>
      </c>
      <c r="C532" s="3" t="s">
        <v>239</v>
      </c>
    </row>
    <row r="533">
      <c r="A533" s="3">
        <v>312.0</v>
      </c>
      <c r="B533" s="3">
        <v>4.0</v>
      </c>
      <c r="C533" s="3" t="s">
        <v>239</v>
      </c>
    </row>
    <row r="534">
      <c r="A534" s="3">
        <v>622.0</v>
      </c>
      <c r="B534" s="3">
        <v>4.0</v>
      </c>
      <c r="C534" s="3" t="s">
        <v>239</v>
      </c>
    </row>
    <row r="535">
      <c r="A535" s="3">
        <v>617.0</v>
      </c>
      <c r="B535" s="3">
        <v>4.0</v>
      </c>
      <c r="C535" s="3" t="s">
        <v>239</v>
      </c>
    </row>
    <row r="536">
      <c r="A536" s="3">
        <v>931.0</v>
      </c>
      <c r="B536" s="3">
        <v>4.0</v>
      </c>
      <c r="C536" s="3" t="s">
        <v>239</v>
      </c>
    </row>
    <row r="537">
      <c r="A537" s="3">
        <v>471.0</v>
      </c>
      <c r="B537" s="3">
        <v>4.0</v>
      </c>
      <c r="C537" s="3" t="s">
        <v>239</v>
      </c>
    </row>
    <row r="538">
      <c r="A538" s="3">
        <v>58.0</v>
      </c>
      <c r="B538" s="3">
        <v>4.0</v>
      </c>
      <c r="C538" s="3" t="s">
        <v>239</v>
      </c>
    </row>
    <row r="539">
      <c r="A539" s="3">
        <v>216.0</v>
      </c>
      <c r="B539" s="3">
        <v>4.0</v>
      </c>
      <c r="C539" s="3" t="s">
        <v>239</v>
      </c>
    </row>
    <row r="540">
      <c r="A540" s="3">
        <v>977.0</v>
      </c>
      <c r="B540" s="3">
        <v>2.0</v>
      </c>
      <c r="C540" s="3" t="s">
        <v>240</v>
      </c>
    </row>
    <row r="541">
      <c r="A541" s="3">
        <v>391.0</v>
      </c>
      <c r="B541" s="3">
        <v>4.0</v>
      </c>
      <c r="C541" s="3" t="s">
        <v>239</v>
      </c>
    </row>
    <row r="542">
      <c r="A542" s="3">
        <v>431.0</v>
      </c>
      <c r="B542" s="3">
        <v>4.0</v>
      </c>
      <c r="C542" s="3" t="s">
        <v>239</v>
      </c>
    </row>
    <row r="543">
      <c r="A543" s="3">
        <v>857.0</v>
      </c>
      <c r="B543" s="3">
        <v>2.0</v>
      </c>
      <c r="C543" s="3" t="s">
        <v>240</v>
      </c>
    </row>
    <row r="544">
      <c r="A544" s="3">
        <v>726.0</v>
      </c>
      <c r="B544" s="3">
        <v>4.0</v>
      </c>
      <c r="C544" s="3" t="s">
        <v>239</v>
      </c>
    </row>
    <row r="545">
      <c r="A545" s="3">
        <v>115.0</v>
      </c>
      <c r="B545" s="3">
        <v>4.0</v>
      </c>
      <c r="C545" s="3" t="s">
        <v>239</v>
      </c>
    </row>
    <row r="546">
      <c r="A546" s="3">
        <v>408.0</v>
      </c>
      <c r="B546" s="3">
        <v>4.0</v>
      </c>
      <c r="C546" s="3" t="s">
        <v>239</v>
      </c>
    </row>
    <row r="547">
      <c r="A547" s="3">
        <v>114.0</v>
      </c>
      <c r="B547" s="3">
        <v>4.0</v>
      </c>
      <c r="C547" s="3" t="s">
        <v>239</v>
      </c>
    </row>
    <row r="548">
      <c r="A548" s="3">
        <v>488.0</v>
      </c>
      <c r="B548" s="3">
        <v>2.0</v>
      </c>
      <c r="C548" s="3" t="s">
        <v>240</v>
      </c>
    </row>
    <row r="549">
      <c r="A549" s="3">
        <v>246.0</v>
      </c>
      <c r="B549" s="3">
        <v>4.0</v>
      </c>
      <c r="C549" s="3" t="s">
        <v>239</v>
      </c>
    </row>
    <row r="550">
      <c r="A550" s="3">
        <v>335.0</v>
      </c>
      <c r="B550" s="3">
        <v>4.0</v>
      </c>
      <c r="C550" s="3" t="s">
        <v>239</v>
      </c>
    </row>
    <row r="551">
      <c r="A551" s="3">
        <v>547.0</v>
      </c>
      <c r="B551" s="3">
        <v>4.0</v>
      </c>
      <c r="C551" s="3" t="s">
        <v>239</v>
      </c>
    </row>
    <row r="552">
      <c r="A552" s="3">
        <v>748.0</v>
      </c>
      <c r="B552" s="3">
        <v>4.0</v>
      </c>
      <c r="C552" s="3" t="s">
        <v>239</v>
      </c>
    </row>
    <row r="553">
      <c r="A553" s="3">
        <v>409.0</v>
      </c>
      <c r="B553" s="3">
        <v>4.0</v>
      </c>
      <c r="C553" s="3" t="s">
        <v>239</v>
      </c>
    </row>
    <row r="554">
      <c r="A554" s="3">
        <v>817.0</v>
      </c>
      <c r="B554" s="3">
        <v>4.0</v>
      </c>
      <c r="C554" s="3" t="s">
        <v>239</v>
      </c>
    </row>
    <row r="555">
      <c r="A555" s="3">
        <v>289.0</v>
      </c>
      <c r="B555" s="3">
        <v>4.0</v>
      </c>
      <c r="C555" s="3" t="s">
        <v>239</v>
      </c>
    </row>
    <row r="556">
      <c r="A556" s="3">
        <v>822.0</v>
      </c>
      <c r="B556" s="3">
        <v>4.0</v>
      </c>
      <c r="C556" s="3" t="s">
        <v>239</v>
      </c>
    </row>
    <row r="557">
      <c r="A557" s="3">
        <v>492.0</v>
      </c>
      <c r="B557" s="3">
        <v>4.0</v>
      </c>
      <c r="C557" s="3" t="s">
        <v>239</v>
      </c>
    </row>
    <row r="558">
      <c r="A558" s="3">
        <v>314.0</v>
      </c>
      <c r="B558" s="3">
        <v>4.0</v>
      </c>
      <c r="C558" s="3" t="s">
        <v>239</v>
      </c>
    </row>
    <row r="559">
      <c r="A559" s="3">
        <v>283.0</v>
      </c>
      <c r="B559" s="3">
        <v>4.0</v>
      </c>
      <c r="C559" s="3" t="s">
        <v>239</v>
      </c>
    </row>
    <row r="560">
      <c r="A560" s="3">
        <v>690.0</v>
      </c>
      <c r="B560" s="3">
        <v>4.0</v>
      </c>
      <c r="C560" s="3" t="s">
        <v>239</v>
      </c>
    </row>
    <row r="561">
      <c r="A561" s="3">
        <v>240.0</v>
      </c>
      <c r="B561" s="3">
        <v>4.0</v>
      </c>
      <c r="C561" s="3" t="s">
        <v>239</v>
      </c>
    </row>
    <row r="562">
      <c r="A562" s="3">
        <v>324.0</v>
      </c>
      <c r="B562" s="3">
        <v>4.0</v>
      </c>
      <c r="C562" s="3" t="s">
        <v>239</v>
      </c>
    </row>
    <row r="563">
      <c r="A563" s="3">
        <v>443.0</v>
      </c>
      <c r="B563" s="3">
        <v>4.0</v>
      </c>
      <c r="C563" s="3" t="s">
        <v>239</v>
      </c>
    </row>
    <row r="564">
      <c r="A564" s="3">
        <v>831.0</v>
      </c>
      <c r="B564" s="3">
        <v>4.0</v>
      </c>
      <c r="C564" s="3" t="s">
        <v>239</v>
      </c>
    </row>
    <row r="565">
      <c r="A565" s="3">
        <v>171.0</v>
      </c>
      <c r="B565" s="3">
        <v>4.0</v>
      </c>
      <c r="C565" s="3" t="s">
        <v>239</v>
      </c>
    </row>
    <row r="566">
      <c r="A566" s="3">
        <v>851.0</v>
      </c>
      <c r="B566" s="3">
        <v>4.0</v>
      </c>
      <c r="C566" s="3" t="s">
        <v>239</v>
      </c>
    </row>
    <row r="567">
      <c r="A567" s="3">
        <v>50.0</v>
      </c>
      <c r="B567" s="3">
        <v>4.0</v>
      </c>
      <c r="C567" s="3" t="s">
        <v>239</v>
      </c>
    </row>
    <row r="568">
      <c r="A568" s="3">
        <v>610.0</v>
      </c>
      <c r="B568" s="3">
        <v>4.0</v>
      </c>
      <c r="C568" s="3" t="s">
        <v>239</v>
      </c>
    </row>
    <row r="569">
      <c r="A569" s="3">
        <v>673.0</v>
      </c>
      <c r="B569" s="3">
        <v>2.0</v>
      </c>
      <c r="C569" s="3" t="s">
        <v>240</v>
      </c>
    </row>
    <row r="570">
      <c r="A570" s="3">
        <v>9.0</v>
      </c>
      <c r="B570" s="3">
        <v>2.0</v>
      </c>
      <c r="C570" s="3" t="s">
        <v>240</v>
      </c>
    </row>
    <row r="571">
      <c r="A571" s="3">
        <v>331.0</v>
      </c>
      <c r="B571" s="3">
        <v>2.0</v>
      </c>
      <c r="C571" s="3" t="s">
        <v>240</v>
      </c>
    </row>
    <row r="572">
      <c r="A572" s="3">
        <v>323.0</v>
      </c>
      <c r="B572" s="3">
        <v>4.0</v>
      </c>
      <c r="C572" s="3" t="s">
        <v>239</v>
      </c>
    </row>
    <row r="573">
      <c r="A573" s="3">
        <v>59.0</v>
      </c>
      <c r="B573" s="3">
        <v>4.0</v>
      </c>
      <c r="C573" s="3" t="s">
        <v>239</v>
      </c>
    </row>
    <row r="574">
      <c r="A574" s="3">
        <v>194.0</v>
      </c>
      <c r="B574" s="3">
        <v>4.0</v>
      </c>
      <c r="C574" s="3" t="s">
        <v>239</v>
      </c>
    </row>
    <row r="575">
      <c r="A575" s="3">
        <v>686.0</v>
      </c>
      <c r="B575" s="3">
        <v>4.0</v>
      </c>
      <c r="C575" s="3" t="s">
        <v>239</v>
      </c>
    </row>
    <row r="576">
      <c r="A576" s="3">
        <v>155.0</v>
      </c>
      <c r="B576" s="3">
        <v>4.0</v>
      </c>
      <c r="C576" s="3" t="s">
        <v>239</v>
      </c>
    </row>
    <row r="577">
      <c r="A577" s="3">
        <v>262.0</v>
      </c>
      <c r="B577" s="3">
        <v>2.0</v>
      </c>
      <c r="C577" s="3" t="s">
        <v>240</v>
      </c>
    </row>
    <row r="578">
      <c r="A578" s="3">
        <v>463.0</v>
      </c>
      <c r="B578" s="3">
        <v>4.0</v>
      </c>
      <c r="C578" s="3" t="s">
        <v>239</v>
      </c>
    </row>
    <row r="579">
      <c r="A579" s="3">
        <v>307.0</v>
      </c>
      <c r="B579" s="3">
        <v>4.0</v>
      </c>
      <c r="C579" s="3" t="s">
        <v>239</v>
      </c>
    </row>
    <row r="580">
      <c r="A580" s="3">
        <v>455.0</v>
      </c>
      <c r="B580" s="3">
        <v>2.0</v>
      </c>
      <c r="C580" s="3" t="s">
        <v>240</v>
      </c>
    </row>
    <row r="581">
      <c r="A581" s="3">
        <v>998.0</v>
      </c>
      <c r="B581" s="3">
        <v>4.0</v>
      </c>
      <c r="C581" s="3" t="s">
        <v>239</v>
      </c>
    </row>
    <row r="582">
      <c r="A582" s="3">
        <v>380.0</v>
      </c>
      <c r="B582" s="3">
        <v>4.0</v>
      </c>
      <c r="C582" s="3" t="s">
        <v>239</v>
      </c>
    </row>
    <row r="583">
      <c r="A583" s="3">
        <v>633.0</v>
      </c>
      <c r="B583" s="3">
        <v>4.0</v>
      </c>
      <c r="C583" s="3" t="s">
        <v>239</v>
      </c>
    </row>
    <row r="584">
      <c r="A584" s="3">
        <v>774.0</v>
      </c>
      <c r="B584" s="3">
        <v>3.0</v>
      </c>
      <c r="C584" s="3" t="s">
        <v>238</v>
      </c>
    </row>
    <row r="585">
      <c r="A585" s="3">
        <v>587.0</v>
      </c>
      <c r="B585" s="3">
        <v>4.0</v>
      </c>
      <c r="C585" s="3" t="s">
        <v>239</v>
      </c>
    </row>
    <row r="586">
      <c r="A586" s="3">
        <v>201.0</v>
      </c>
      <c r="B586" s="3">
        <v>2.0</v>
      </c>
      <c r="C586" s="3" t="s">
        <v>240</v>
      </c>
    </row>
    <row r="587">
      <c r="A587" s="3">
        <v>421.0</v>
      </c>
      <c r="B587" s="3">
        <v>2.0</v>
      </c>
      <c r="C587" s="3" t="s">
        <v>240</v>
      </c>
    </row>
    <row r="588">
      <c r="A588" s="3">
        <v>174.0</v>
      </c>
      <c r="B588" s="3">
        <v>4.0</v>
      </c>
      <c r="C588" s="3" t="s">
        <v>239</v>
      </c>
    </row>
    <row r="589">
      <c r="A589" s="3">
        <v>46.0</v>
      </c>
      <c r="B589" s="3">
        <v>4.0</v>
      </c>
      <c r="C589" s="3" t="s">
        <v>239</v>
      </c>
    </row>
    <row r="590">
      <c r="A590" s="3">
        <v>90.0</v>
      </c>
      <c r="B590" s="3">
        <v>4.0</v>
      </c>
      <c r="C590" s="3" t="s">
        <v>239</v>
      </c>
    </row>
    <row r="591">
      <c r="A591" s="3">
        <v>139.0</v>
      </c>
      <c r="B591" s="3">
        <v>4.0</v>
      </c>
      <c r="C591" s="3" t="s">
        <v>239</v>
      </c>
    </row>
    <row r="592">
      <c r="A592" s="3">
        <v>138.0</v>
      </c>
      <c r="B592" s="3">
        <v>4.0</v>
      </c>
      <c r="C592" s="3" t="s">
        <v>239</v>
      </c>
    </row>
    <row r="593">
      <c r="A593" s="3">
        <v>441.0</v>
      </c>
      <c r="B593" s="3">
        <v>4.0</v>
      </c>
      <c r="C593" s="3" t="s">
        <v>239</v>
      </c>
    </row>
    <row r="594">
      <c r="A594" s="3">
        <v>394.0</v>
      </c>
      <c r="B594" s="3">
        <v>2.0</v>
      </c>
      <c r="C594" s="3" t="s">
        <v>240</v>
      </c>
    </row>
    <row r="595">
      <c r="A595" s="3">
        <v>583.0</v>
      </c>
      <c r="B595" s="3">
        <v>4.0</v>
      </c>
      <c r="C595" s="3" t="s">
        <v>239</v>
      </c>
    </row>
    <row r="596">
      <c r="A596" s="3">
        <v>227.0</v>
      </c>
      <c r="B596" s="3">
        <v>2.0</v>
      </c>
      <c r="C596" s="3" t="s">
        <v>240</v>
      </c>
    </row>
    <row r="597">
      <c r="A597" s="3">
        <v>350.0</v>
      </c>
      <c r="B597" s="3">
        <v>4.0</v>
      </c>
      <c r="C597" s="3" t="s">
        <v>239</v>
      </c>
    </row>
    <row r="598">
      <c r="A598" s="3">
        <v>195.0</v>
      </c>
      <c r="B598" s="3">
        <v>2.0</v>
      </c>
      <c r="C598" s="3" t="s">
        <v>240</v>
      </c>
    </row>
    <row r="599">
      <c r="A599" s="3">
        <v>297.0</v>
      </c>
      <c r="B599" s="3">
        <v>2.0</v>
      </c>
      <c r="C599" s="3" t="s">
        <v>240</v>
      </c>
    </row>
    <row r="600">
      <c r="A600" s="3">
        <v>256.0</v>
      </c>
      <c r="B600" s="3">
        <v>2.0</v>
      </c>
      <c r="C600" s="3" t="s">
        <v>240</v>
      </c>
    </row>
    <row r="601">
      <c r="A601" s="3">
        <v>500.0</v>
      </c>
      <c r="B601" s="3">
        <v>4.0</v>
      </c>
      <c r="C601" s="3" t="s">
        <v>239</v>
      </c>
    </row>
    <row r="602">
      <c r="A602" s="3">
        <v>487.0</v>
      </c>
      <c r="B602" s="3">
        <v>4.0</v>
      </c>
      <c r="C602" s="3" t="s">
        <v>239</v>
      </c>
    </row>
    <row r="603">
      <c r="A603" s="3">
        <v>141.0</v>
      </c>
      <c r="B603" s="3">
        <v>4.0</v>
      </c>
      <c r="C603" s="3" t="s">
        <v>239</v>
      </c>
    </row>
    <row r="604">
      <c r="A604" s="3">
        <v>190.0</v>
      </c>
      <c r="B604" s="3">
        <v>4.0</v>
      </c>
      <c r="C604" s="3" t="s">
        <v>239</v>
      </c>
    </row>
    <row r="605">
      <c r="A605" s="3">
        <v>222.0</v>
      </c>
      <c r="B605" s="3">
        <v>4.0</v>
      </c>
      <c r="C605" s="3" t="s">
        <v>239</v>
      </c>
    </row>
    <row r="606">
      <c r="A606" s="3">
        <v>68.0</v>
      </c>
      <c r="B606" s="3">
        <v>2.0</v>
      </c>
      <c r="C606" s="3" t="s">
        <v>240</v>
      </c>
    </row>
    <row r="607">
      <c r="A607" s="3">
        <v>524.0</v>
      </c>
      <c r="B607" s="3">
        <v>4.0</v>
      </c>
      <c r="C607" s="3" t="s">
        <v>239</v>
      </c>
    </row>
    <row r="608">
      <c r="A608" s="3">
        <v>285.0</v>
      </c>
      <c r="B608" s="3">
        <v>4.0</v>
      </c>
      <c r="C608" s="3" t="s">
        <v>239</v>
      </c>
    </row>
    <row r="609">
      <c r="A609" s="3">
        <v>353.0</v>
      </c>
      <c r="B609" s="3">
        <v>4.0</v>
      </c>
      <c r="C609" s="3" t="s">
        <v>239</v>
      </c>
    </row>
    <row r="610">
      <c r="A610" s="3">
        <v>591.0</v>
      </c>
      <c r="B610" s="3">
        <v>4.0</v>
      </c>
      <c r="C610" s="3" t="s">
        <v>239</v>
      </c>
    </row>
    <row r="611">
      <c r="A611" s="3">
        <v>36.0</v>
      </c>
      <c r="B611" s="3">
        <v>4.0</v>
      </c>
      <c r="C611" s="3" t="s">
        <v>239</v>
      </c>
    </row>
    <row r="612">
      <c r="A612" s="3">
        <v>498.0</v>
      </c>
      <c r="B612" s="3">
        <v>4.0</v>
      </c>
      <c r="C612" s="3" t="s">
        <v>239</v>
      </c>
    </row>
    <row r="613">
      <c r="A613" s="3">
        <v>177.0</v>
      </c>
      <c r="B613" s="3">
        <v>4.0</v>
      </c>
      <c r="C613" s="3" t="s">
        <v>239</v>
      </c>
    </row>
    <row r="614">
      <c r="A614" s="3">
        <v>296.0</v>
      </c>
      <c r="B614" s="3">
        <v>4.0</v>
      </c>
      <c r="C614" s="3" t="s">
        <v>239</v>
      </c>
    </row>
    <row r="615">
      <c r="A615" s="3">
        <v>274.0</v>
      </c>
      <c r="B615" s="3">
        <v>4.0</v>
      </c>
      <c r="C615" s="3" t="s">
        <v>239</v>
      </c>
    </row>
    <row r="616">
      <c r="A616" s="3">
        <v>168.0</v>
      </c>
      <c r="B616" s="3">
        <v>4.0</v>
      </c>
      <c r="C616" s="3" t="s">
        <v>239</v>
      </c>
    </row>
    <row r="617">
      <c r="A617" s="3">
        <v>24.0</v>
      </c>
      <c r="B617" s="3">
        <v>4.0</v>
      </c>
      <c r="C617" s="3" t="s">
        <v>239</v>
      </c>
    </row>
    <row r="618">
      <c r="A618" s="3">
        <v>15.0</v>
      </c>
      <c r="B618" s="3">
        <v>4.0</v>
      </c>
      <c r="C618" s="3" t="s">
        <v>239</v>
      </c>
    </row>
    <row r="619">
      <c r="A619" s="3">
        <v>76.0</v>
      </c>
      <c r="B619" s="3">
        <v>4.0</v>
      </c>
      <c r="C619" s="3" t="s">
        <v>239</v>
      </c>
    </row>
    <row r="620">
      <c r="A620" s="3">
        <v>78.0</v>
      </c>
      <c r="B620" s="3">
        <v>4.0</v>
      </c>
      <c r="C620" s="3" t="s">
        <v>239</v>
      </c>
    </row>
    <row r="621">
      <c r="A621" s="3">
        <v>107.0</v>
      </c>
      <c r="B621" s="3">
        <v>2.0</v>
      </c>
      <c r="C621" s="3" t="s">
        <v>240</v>
      </c>
    </row>
    <row r="622">
      <c r="A622" s="3">
        <v>834.0</v>
      </c>
      <c r="B622" s="3">
        <v>2.0</v>
      </c>
      <c r="C622" s="3" t="s">
        <v>240</v>
      </c>
    </row>
    <row r="623">
      <c r="A623" s="3">
        <v>436.0</v>
      </c>
      <c r="B623" s="3">
        <v>2.0</v>
      </c>
      <c r="C623" s="3" t="s">
        <v>240</v>
      </c>
    </row>
    <row r="624">
      <c r="A624" s="3">
        <v>438.0</v>
      </c>
      <c r="B624" s="3">
        <v>4.0</v>
      </c>
      <c r="C624" s="3" t="s">
        <v>239</v>
      </c>
    </row>
    <row r="625">
      <c r="A625" s="3">
        <v>166.0</v>
      </c>
      <c r="B625" s="3">
        <v>4.0</v>
      </c>
      <c r="C625" s="3" t="s">
        <v>239</v>
      </c>
    </row>
    <row r="626">
      <c r="A626" s="3">
        <v>265.0</v>
      </c>
      <c r="B626" s="3">
        <v>2.0</v>
      </c>
      <c r="C626" s="3" t="s">
        <v>240</v>
      </c>
    </row>
    <row r="627">
      <c r="A627" s="3">
        <v>396.0</v>
      </c>
      <c r="B627" s="3">
        <v>2.0</v>
      </c>
      <c r="C627" s="3" t="s">
        <v>240</v>
      </c>
    </row>
    <row r="628">
      <c r="A628" s="3">
        <v>398.0</v>
      </c>
      <c r="B628" s="3">
        <v>2.0</v>
      </c>
      <c r="C628" s="3" t="s">
        <v>240</v>
      </c>
    </row>
    <row r="629">
      <c r="A629" s="3">
        <v>479.0</v>
      </c>
      <c r="B629" s="3">
        <v>2.0</v>
      </c>
      <c r="C629" s="3" t="s">
        <v>240</v>
      </c>
    </row>
    <row r="630">
      <c r="A630" s="3">
        <v>611.0</v>
      </c>
      <c r="B630" s="3">
        <v>2.0</v>
      </c>
      <c r="C630" s="3" t="s">
        <v>240</v>
      </c>
    </row>
    <row r="631">
      <c r="A631" s="3">
        <v>729.0</v>
      </c>
      <c r="B631" s="3">
        <v>2.0</v>
      </c>
      <c r="C631" s="3" t="s">
        <v>240</v>
      </c>
    </row>
    <row r="632">
      <c r="A632" s="3">
        <v>197.0</v>
      </c>
      <c r="B632" s="3">
        <v>2.0</v>
      </c>
      <c r="C632" s="3" t="s">
        <v>240</v>
      </c>
    </row>
    <row r="633">
      <c r="A633" s="3">
        <v>80.0</v>
      </c>
      <c r="B633" s="3">
        <v>2.0</v>
      </c>
      <c r="C633" s="3" t="s">
        <v>240</v>
      </c>
    </row>
    <row r="634">
      <c r="A634" s="3">
        <v>637.0</v>
      </c>
      <c r="B634" s="3">
        <v>2.0</v>
      </c>
      <c r="C634" s="3" t="s">
        <v>240</v>
      </c>
    </row>
    <row r="635">
      <c r="A635" s="3">
        <v>434.0</v>
      </c>
      <c r="B635" s="3">
        <v>4.0</v>
      </c>
      <c r="C635" s="3" t="s">
        <v>239</v>
      </c>
    </row>
    <row r="636">
      <c r="A636" s="3">
        <v>486.0</v>
      </c>
      <c r="B636" s="3">
        <v>4.0</v>
      </c>
      <c r="C636" s="3" t="s">
        <v>239</v>
      </c>
    </row>
    <row r="637">
      <c r="A637" s="3">
        <v>494.0</v>
      </c>
      <c r="B637" s="3">
        <v>4.0</v>
      </c>
      <c r="C637" s="3" t="s">
        <v>239</v>
      </c>
    </row>
    <row r="638">
      <c r="A638" s="3">
        <v>521.0</v>
      </c>
      <c r="B638" s="3">
        <v>4.0</v>
      </c>
      <c r="C638" s="3" t="s">
        <v>239</v>
      </c>
    </row>
    <row r="639">
      <c r="A639" s="3">
        <v>564.0</v>
      </c>
      <c r="B639" s="3">
        <v>4.0</v>
      </c>
      <c r="C639" s="3" t="s">
        <v>239</v>
      </c>
    </row>
    <row r="640">
      <c r="A640" s="3">
        <v>689.0</v>
      </c>
      <c r="B640" s="3">
        <v>4.0</v>
      </c>
      <c r="C640" s="3" t="s">
        <v>239</v>
      </c>
    </row>
    <row r="641">
      <c r="A641" s="3">
        <v>782.0</v>
      </c>
      <c r="B641" s="3">
        <v>4.0</v>
      </c>
      <c r="C641" s="3" t="s">
        <v>239</v>
      </c>
    </row>
    <row r="642">
      <c r="A642" s="3">
        <v>839.0</v>
      </c>
      <c r="B642" s="3">
        <v>4.0</v>
      </c>
      <c r="C642" s="3" t="s">
        <v>239</v>
      </c>
    </row>
    <row r="643">
      <c r="A643" s="3">
        <v>206.0</v>
      </c>
      <c r="B643" s="3">
        <v>2.0</v>
      </c>
      <c r="C643" s="3" t="s">
        <v>240</v>
      </c>
    </row>
    <row r="644">
      <c r="A644" s="3">
        <v>802.0</v>
      </c>
      <c r="B644" s="3">
        <v>4.0</v>
      </c>
      <c r="C644" s="3" t="s">
        <v>239</v>
      </c>
    </row>
    <row r="645">
      <c r="A645" s="3">
        <v>241.0</v>
      </c>
      <c r="B645" s="3">
        <v>2.0</v>
      </c>
      <c r="C645" s="3" t="s">
        <v>240</v>
      </c>
    </row>
    <row r="646">
      <c r="A646" s="3">
        <v>30.0</v>
      </c>
      <c r="B646" s="3">
        <v>4.0</v>
      </c>
      <c r="C646" s="3" t="s">
        <v>239</v>
      </c>
    </row>
    <row r="647">
      <c r="A647" s="3">
        <v>654.0</v>
      </c>
      <c r="B647" s="3">
        <v>4.0</v>
      </c>
      <c r="C647" s="3" t="s">
        <v>239</v>
      </c>
    </row>
    <row r="648">
      <c r="A648" s="3">
        <v>684.0</v>
      </c>
      <c r="B648" s="3">
        <v>2.0</v>
      </c>
      <c r="C648" s="3" t="s">
        <v>240</v>
      </c>
    </row>
    <row r="649">
      <c r="A649" s="3">
        <v>418.0</v>
      </c>
      <c r="B649" s="3">
        <v>2.0</v>
      </c>
      <c r="C649" s="3" t="s">
        <v>240</v>
      </c>
    </row>
    <row r="650">
      <c r="A650" s="3">
        <v>28.0</v>
      </c>
      <c r="B650" s="3">
        <v>4.0</v>
      </c>
      <c r="C650" s="3" t="s">
        <v>239</v>
      </c>
    </row>
    <row r="651">
      <c r="A651" s="3">
        <v>767.0</v>
      </c>
      <c r="B651" s="3">
        <v>4.0</v>
      </c>
      <c r="C651" s="3" t="s">
        <v>239</v>
      </c>
    </row>
    <row r="652">
      <c r="A652" s="3">
        <v>176.0</v>
      </c>
      <c r="B652" s="3">
        <v>4.0</v>
      </c>
      <c r="C652" s="3" t="s">
        <v>239</v>
      </c>
    </row>
    <row r="653">
      <c r="A653" s="3">
        <v>264.0</v>
      </c>
      <c r="B653" s="3">
        <v>2.0</v>
      </c>
      <c r="C653" s="3" t="s">
        <v>240</v>
      </c>
    </row>
    <row r="654">
      <c r="A654" s="3">
        <v>43.0</v>
      </c>
      <c r="B654" s="3">
        <v>4.0</v>
      </c>
      <c r="C654" s="3" t="s">
        <v>239</v>
      </c>
    </row>
    <row r="655">
      <c r="A655" s="3">
        <v>27.0</v>
      </c>
      <c r="B655" s="3">
        <v>4.0</v>
      </c>
      <c r="C655" s="3" t="s">
        <v>239</v>
      </c>
    </row>
    <row r="656">
      <c r="A656" s="3">
        <v>45.0</v>
      </c>
      <c r="B656" s="3">
        <v>4.0</v>
      </c>
      <c r="C656" s="3" t="s">
        <v>239</v>
      </c>
    </row>
    <row r="657">
      <c r="A657" s="3">
        <v>213.0</v>
      </c>
      <c r="B657" s="3">
        <v>4.0</v>
      </c>
      <c r="C657" s="3" t="s">
        <v>239</v>
      </c>
    </row>
    <row r="658">
      <c r="A658" s="3">
        <v>266.0</v>
      </c>
      <c r="B658" s="3">
        <v>2.0</v>
      </c>
      <c r="C658" s="3" t="s">
        <v>240</v>
      </c>
    </row>
    <row r="659">
      <c r="A659" s="3">
        <v>140.0</v>
      </c>
      <c r="B659" s="3">
        <v>4.0</v>
      </c>
      <c r="C659" s="3" t="s">
        <v>239</v>
      </c>
    </row>
    <row r="660">
      <c r="A660" s="3">
        <v>844.0</v>
      </c>
      <c r="B660" s="3">
        <v>4.0</v>
      </c>
      <c r="C660" s="3" t="s">
        <v>239</v>
      </c>
    </row>
    <row r="661">
      <c r="A661" s="3">
        <v>581.0</v>
      </c>
      <c r="B661" s="3">
        <v>4.0</v>
      </c>
      <c r="C661" s="3" t="s">
        <v>239</v>
      </c>
    </row>
    <row r="662">
      <c r="A662" s="3">
        <v>1031.0</v>
      </c>
      <c r="B662" s="3">
        <v>4.0</v>
      </c>
      <c r="C662" s="3" t="s">
        <v>239</v>
      </c>
    </row>
    <row r="663">
      <c r="A663" s="3">
        <v>1063.0</v>
      </c>
      <c r="B663" s="3">
        <v>2.0</v>
      </c>
      <c r="C663" s="3" t="s">
        <v>240</v>
      </c>
    </row>
    <row r="664">
      <c r="A664" s="3" t="e">
        <v>#N/A</v>
      </c>
      <c r="B664" s="3">
        <v>2.0</v>
      </c>
      <c r="C664" s="3" t="s">
        <v>240</v>
      </c>
    </row>
    <row r="665">
      <c r="A665" s="3" t="e">
        <v>#N/A</v>
      </c>
      <c r="B665" s="3">
        <v>4.0</v>
      </c>
      <c r="C665" s="3" t="s">
        <v>239</v>
      </c>
    </row>
    <row r="666">
      <c r="A666" s="3">
        <v>865.0</v>
      </c>
      <c r="B666" s="3">
        <v>2.0</v>
      </c>
      <c r="C666" s="3" t="s">
        <v>240</v>
      </c>
    </row>
    <row r="667">
      <c r="A667" s="3">
        <v>609.0</v>
      </c>
      <c r="B667" s="3">
        <v>4.0</v>
      </c>
      <c r="C667" s="3" t="s">
        <v>239</v>
      </c>
    </row>
    <row r="668">
      <c r="A668" s="3">
        <v>1016.0</v>
      </c>
      <c r="B668" s="3">
        <v>4.0</v>
      </c>
      <c r="C668" s="3" t="s">
        <v>239</v>
      </c>
    </row>
    <row r="669">
      <c r="A669" s="3">
        <v>936.0</v>
      </c>
      <c r="B669" s="3">
        <v>12.0</v>
      </c>
      <c r="C669" s="3" t="s">
        <v>237</v>
      </c>
    </row>
    <row r="670">
      <c r="A670" s="3">
        <v>760.0</v>
      </c>
      <c r="B670" s="3">
        <v>2.0</v>
      </c>
      <c r="C670" s="3" t="s">
        <v>240</v>
      </c>
    </row>
    <row r="671">
      <c r="A671" s="3">
        <v>121.0</v>
      </c>
      <c r="B671" s="3">
        <v>2.0</v>
      </c>
      <c r="C671" s="3" t="s">
        <v>240</v>
      </c>
    </row>
    <row r="672">
      <c r="A672" s="3">
        <v>764.0</v>
      </c>
      <c r="B672" s="3">
        <v>2.0</v>
      </c>
      <c r="C672" s="3" t="s">
        <v>240</v>
      </c>
    </row>
    <row r="673">
      <c r="A673" s="3">
        <v>361.0</v>
      </c>
      <c r="B673" s="3">
        <v>2.0</v>
      </c>
      <c r="C673" s="3" t="s">
        <v>240</v>
      </c>
    </row>
    <row r="674">
      <c r="A674" s="3">
        <v>343.0</v>
      </c>
      <c r="B674" s="3">
        <v>2.0</v>
      </c>
      <c r="C674" s="3" t="s">
        <v>240</v>
      </c>
    </row>
    <row r="675">
      <c r="A675" s="3">
        <v>776.0</v>
      </c>
      <c r="B675" s="3">
        <v>2.0</v>
      </c>
      <c r="C675" s="3" t="s">
        <v>240</v>
      </c>
    </row>
    <row r="676">
      <c r="A676" s="3">
        <v>381.0</v>
      </c>
      <c r="B676" s="3">
        <v>2.0</v>
      </c>
      <c r="C676" s="3" t="s">
        <v>240</v>
      </c>
    </row>
    <row r="677">
      <c r="A677" s="3">
        <v>669.0</v>
      </c>
      <c r="B677" s="3">
        <v>2.0</v>
      </c>
      <c r="C677" s="3" t="s">
        <v>240</v>
      </c>
    </row>
    <row r="678">
      <c r="A678" s="3">
        <v>621.0</v>
      </c>
      <c r="B678" s="3">
        <v>2.0</v>
      </c>
      <c r="C678" s="3" t="s">
        <v>240</v>
      </c>
    </row>
    <row r="679">
      <c r="A679" s="3">
        <v>210.0</v>
      </c>
      <c r="B679" s="3">
        <v>4.0</v>
      </c>
      <c r="C679" s="3" t="s">
        <v>239</v>
      </c>
    </row>
    <row r="680">
      <c r="A680" s="3">
        <v>475.0</v>
      </c>
      <c r="B680" s="3">
        <v>4.0</v>
      </c>
      <c r="C680" s="3" t="s">
        <v>239</v>
      </c>
    </row>
    <row r="681">
      <c r="A681" s="3">
        <v>35.0</v>
      </c>
      <c r="B681" s="3">
        <v>4.0</v>
      </c>
      <c r="C681" s="3" t="s">
        <v>239</v>
      </c>
    </row>
    <row r="682">
      <c r="A682" s="3">
        <v>204.0</v>
      </c>
      <c r="B682" s="3">
        <v>4.0</v>
      </c>
      <c r="C682" s="3" t="s">
        <v>239</v>
      </c>
    </row>
    <row r="683">
      <c r="A683" s="3">
        <v>237.0</v>
      </c>
      <c r="B683" s="3">
        <v>4.0</v>
      </c>
      <c r="C683" s="3" t="s">
        <v>239</v>
      </c>
    </row>
    <row r="684">
      <c r="A684" s="3">
        <v>349.0</v>
      </c>
      <c r="B684" s="3">
        <v>4.0</v>
      </c>
      <c r="C684" s="3" t="s">
        <v>239</v>
      </c>
    </row>
    <row r="685">
      <c r="A685" s="3">
        <v>1012.0</v>
      </c>
      <c r="B685" s="3">
        <v>2.0</v>
      </c>
      <c r="C685" s="3" t="s">
        <v>240</v>
      </c>
    </row>
    <row r="686">
      <c r="A686" s="3">
        <v>933.0</v>
      </c>
      <c r="B686" s="3">
        <v>12.0</v>
      </c>
      <c r="C686" s="3" t="s">
        <v>237</v>
      </c>
    </row>
    <row r="687">
      <c r="A687" s="3">
        <v>957.0</v>
      </c>
      <c r="B687" s="3">
        <v>4.0</v>
      </c>
      <c r="C687" s="3" t="s">
        <v>239</v>
      </c>
    </row>
    <row r="688">
      <c r="A688" s="3">
        <v>372.0</v>
      </c>
      <c r="B688" s="3">
        <v>2.0</v>
      </c>
      <c r="C688" s="3" t="s">
        <v>240</v>
      </c>
    </row>
    <row r="689">
      <c r="A689" s="3">
        <v>369.0</v>
      </c>
      <c r="B689" s="3">
        <v>2.0</v>
      </c>
      <c r="C689" s="3" t="s">
        <v>240</v>
      </c>
    </row>
    <row r="690">
      <c r="A690" s="3">
        <v>308.0</v>
      </c>
      <c r="B690" s="3">
        <v>2.0</v>
      </c>
      <c r="C690" s="3" t="s">
        <v>240</v>
      </c>
    </row>
    <row r="691">
      <c r="A691" s="3">
        <v>321.0</v>
      </c>
      <c r="B691" s="3">
        <v>2.0</v>
      </c>
      <c r="C691" s="3" t="s">
        <v>240</v>
      </c>
    </row>
    <row r="692">
      <c r="A692" s="3">
        <v>252.0</v>
      </c>
      <c r="B692" s="3">
        <v>2.0</v>
      </c>
      <c r="C692" s="3" t="s">
        <v>240</v>
      </c>
    </row>
    <row r="693">
      <c r="A693" s="3">
        <v>640.0</v>
      </c>
      <c r="B693" s="3">
        <v>2.0</v>
      </c>
      <c r="C693" s="3" t="s">
        <v>240</v>
      </c>
    </row>
    <row r="694">
      <c r="A694" s="3">
        <v>113.0</v>
      </c>
      <c r="B694" s="3">
        <v>2.0</v>
      </c>
      <c r="C694" s="3" t="s">
        <v>240</v>
      </c>
    </row>
    <row r="695">
      <c r="A695" s="3">
        <v>311.0</v>
      </c>
      <c r="B695" s="3">
        <v>2.0</v>
      </c>
      <c r="C695" s="3" t="s">
        <v>240</v>
      </c>
    </row>
    <row r="696">
      <c r="A696" s="3">
        <v>164.0</v>
      </c>
      <c r="B696" s="3">
        <v>2.0</v>
      </c>
      <c r="C696" s="3" t="s">
        <v>240</v>
      </c>
    </row>
    <row r="697">
      <c r="A697" s="3">
        <v>427.0</v>
      </c>
      <c r="B697" s="3">
        <v>2.0</v>
      </c>
      <c r="C697" s="3" t="s">
        <v>240</v>
      </c>
    </row>
    <row r="698">
      <c r="A698" s="3">
        <v>127.0</v>
      </c>
      <c r="B698" s="3">
        <v>2.0</v>
      </c>
      <c r="C698" s="3" t="s">
        <v>240</v>
      </c>
    </row>
    <row r="699">
      <c r="A699" s="3">
        <v>513.0</v>
      </c>
      <c r="B699" s="3">
        <v>2.0</v>
      </c>
      <c r="C699" s="3" t="s">
        <v>240</v>
      </c>
    </row>
    <row r="700">
      <c r="A700" s="3">
        <v>153.0</v>
      </c>
      <c r="B700" s="3">
        <v>2.0</v>
      </c>
      <c r="C700" s="3" t="s">
        <v>240</v>
      </c>
    </row>
    <row r="701">
      <c r="A701" s="3">
        <v>532.0</v>
      </c>
      <c r="B701" s="3">
        <v>2.0</v>
      </c>
      <c r="C701" s="3" t="s">
        <v>240</v>
      </c>
    </row>
    <row r="702">
      <c r="A702" s="3">
        <v>223.0</v>
      </c>
      <c r="B702" s="3">
        <v>2.0</v>
      </c>
      <c r="C702" s="3" t="s">
        <v>240</v>
      </c>
    </row>
    <row r="703">
      <c r="A703" s="3">
        <v>348.0</v>
      </c>
      <c r="B703" s="3">
        <v>2.0</v>
      </c>
      <c r="C703" s="3" t="s">
        <v>240</v>
      </c>
    </row>
    <row r="704">
      <c r="A704" s="3">
        <v>415.0</v>
      </c>
      <c r="B704" s="3">
        <v>2.0</v>
      </c>
      <c r="C704" s="3" t="s">
        <v>240</v>
      </c>
    </row>
    <row r="705">
      <c r="A705" s="3">
        <v>515.0</v>
      </c>
      <c r="B705" s="3">
        <v>2.0</v>
      </c>
      <c r="C705" s="3" t="s">
        <v>240</v>
      </c>
    </row>
    <row r="706">
      <c r="A706" s="3">
        <v>516.0</v>
      </c>
      <c r="B706" s="3">
        <v>2.0</v>
      </c>
      <c r="C706" s="3" t="s">
        <v>240</v>
      </c>
    </row>
    <row r="707">
      <c r="A707" s="3">
        <v>559.0</v>
      </c>
      <c r="B707" s="3">
        <v>2.0</v>
      </c>
      <c r="C707" s="3" t="s">
        <v>240</v>
      </c>
    </row>
    <row r="708">
      <c r="A708" s="3">
        <v>572.0</v>
      </c>
      <c r="B708" s="3">
        <v>2.0</v>
      </c>
      <c r="C708" s="3" t="s">
        <v>240</v>
      </c>
    </row>
    <row r="709">
      <c r="A709" s="3">
        <v>796.0</v>
      </c>
      <c r="B709" s="3">
        <v>2.0</v>
      </c>
      <c r="C709" s="3" t="s">
        <v>240</v>
      </c>
    </row>
    <row r="710">
      <c r="A710" s="3">
        <v>990.0</v>
      </c>
      <c r="B710" s="3">
        <v>2.0</v>
      </c>
      <c r="C710" s="3" t="s">
        <v>240</v>
      </c>
    </row>
    <row r="711">
      <c r="A711" s="3">
        <v>21.0</v>
      </c>
      <c r="B711" s="3">
        <v>2.0</v>
      </c>
      <c r="C711" s="3" t="s">
        <v>240</v>
      </c>
    </row>
    <row r="712">
      <c r="A712" s="3">
        <v>451.0</v>
      </c>
      <c r="B712" s="3">
        <v>4.0</v>
      </c>
      <c r="C712" s="3" t="s">
        <v>239</v>
      </c>
    </row>
    <row r="713">
      <c r="A713" s="3">
        <v>511.0</v>
      </c>
      <c r="B713" s="3">
        <v>2.0</v>
      </c>
      <c r="C713" s="3" t="s">
        <v>240</v>
      </c>
    </row>
    <row r="714">
      <c r="A714" s="3">
        <v>980.0</v>
      </c>
      <c r="B714" s="3">
        <v>4.0</v>
      </c>
      <c r="C714" s="3" t="s">
        <v>239</v>
      </c>
    </row>
    <row r="715">
      <c r="A715" s="3">
        <v>586.0</v>
      </c>
      <c r="B715" s="3">
        <v>2.0</v>
      </c>
      <c r="C715" s="3" t="s">
        <v>240</v>
      </c>
    </row>
    <row r="716">
      <c r="A716" s="3">
        <v>916.0</v>
      </c>
      <c r="B716" s="3">
        <v>2.0</v>
      </c>
      <c r="C716" s="3" t="s">
        <v>240</v>
      </c>
    </row>
    <row r="717">
      <c r="A717" s="3">
        <v>655.0</v>
      </c>
      <c r="B717" s="3">
        <v>2.0</v>
      </c>
      <c r="C717" s="3" t="s">
        <v>240</v>
      </c>
    </row>
    <row r="718">
      <c r="A718" s="3">
        <v>1000.0</v>
      </c>
      <c r="B718" s="3">
        <v>2.0</v>
      </c>
      <c r="C718" s="3" t="s">
        <v>240</v>
      </c>
    </row>
    <row r="719">
      <c r="A719" s="3">
        <v>680.0</v>
      </c>
      <c r="B719" s="3">
        <v>2.0</v>
      </c>
      <c r="C719" s="3" t="s">
        <v>240</v>
      </c>
    </row>
    <row r="720">
      <c r="A720" s="3">
        <v>849.0</v>
      </c>
      <c r="B720" s="3">
        <v>2.0</v>
      </c>
      <c r="C720" s="3" t="s">
        <v>240</v>
      </c>
    </row>
    <row r="721">
      <c r="A721" s="3">
        <v>508.0</v>
      </c>
      <c r="B721" s="3">
        <v>2.0</v>
      </c>
      <c r="C721" s="3" t="s">
        <v>240</v>
      </c>
    </row>
    <row r="722">
      <c r="A722" s="3">
        <v>447.0</v>
      </c>
      <c r="B722" s="3">
        <v>2.0</v>
      </c>
      <c r="C722" s="3" t="s">
        <v>240</v>
      </c>
    </row>
    <row r="723">
      <c r="A723" s="3">
        <v>771.0</v>
      </c>
      <c r="B723" s="3">
        <v>2.0</v>
      </c>
      <c r="C723" s="3" t="s">
        <v>240</v>
      </c>
    </row>
    <row r="724">
      <c r="A724" s="3">
        <v>22.0</v>
      </c>
      <c r="B724" s="3">
        <v>2.0</v>
      </c>
      <c r="C724" s="3" t="s">
        <v>240</v>
      </c>
    </row>
    <row r="725">
      <c r="A725" s="3">
        <v>388.0</v>
      </c>
      <c r="B725" s="3">
        <v>2.0</v>
      </c>
      <c r="C725" s="3" t="s">
        <v>240</v>
      </c>
    </row>
    <row r="726">
      <c r="A726" s="3">
        <v>445.0</v>
      </c>
      <c r="B726" s="3">
        <v>2.0</v>
      </c>
      <c r="C726" s="3" t="s">
        <v>240</v>
      </c>
    </row>
    <row r="727">
      <c r="A727" s="3">
        <v>426.0</v>
      </c>
      <c r="B727" s="3">
        <v>2.0</v>
      </c>
      <c r="C727" s="3" t="s">
        <v>240</v>
      </c>
    </row>
    <row r="728">
      <c r="A728" s="3">
        <v>366.0</v>
      </c>
      <c r="B728" s="3">
        <v>2.0</v>
      </c>
      <c r="C728" s="3" t="s">
        <v>240</v>
      </c>
    </row>
    <row r="729">
      <c r="A729" s="3">
        <v>1004.0</v>
      </c>
      <c r="B729" s="3">
        <v>2.0</v>
      </c>
      <c r="C729" s="3" t="s">
        <v>240</v>
      </c>
    </row>
    <row r="730">
      <c r="A730" s="3">
        <v>543.0</v>
      </c>
      <c r="B730" s="3">
        <v>4.0</v>
      </c>
      <c r="C730" s="3" t="s">
        <v>239</v>
      </c>
    </row>
    <row r="731">
      <c r="A731" s="3">
        <v>985.0</v>
      </c>
      <c r="B731" s="3">
        <v>2.0</v>
      </c>
      <c r="C731" s="3" t="s">
        <v>240</v>
      </c>
    </row>
    <row r="732">
      <c r="A732" s="3">
        <v>816.0</v>
      </c>
      <c r="B732" s="3">
        <v>2.0</v>
      </c>
      <c r="C732" s="3" t="s">
        <v>240</v>
      </c>
    </row>
    <row r="733">
      <c r="A733" s="3">
        <v>493.0</v>
      </c>
      <c r="B733" s="3">
        <v>4.0</v>
      </c>
      <c r="C733" s="3" t="s">
        <v>239</v>
      </c>
    </row>
    <row r="734">
      <c r="A734" s="3">
        <v>55.0</v>
      </c>
      <c r="B734" s="3">
        <v>4.0</v>
      </c>
      <c r="C734" s="3" t="s">
        <v>239</v>
      </c>
    </row>
    <row r="735">
      <c r="A735" s="3">
        <v>740.0</v>
      </c>
      <c r="B735" s="3">
        <v>4.0</v>
      </c>
      <c r="C735" s="3" t="s">
        <v>239</v>
      </c>
    </row>
    <row r="736">
      <c r="A736" s="3">
        <v>763.0</v>
      </c>
      <c r="B736" s="3">
        <v>4.0</v>
      </c>
      <c r="C736" s="3" t="s">
        <v>239</v>
      </c>
    </row>
    <row r="737">
      <c r="A737" s="3">
        <v>954.0</v>
      </c>
      <c r="B737" s="3">
        <v>4.0</v>
      </c>
      <c r="C737" s="3" t="s">
        <v>239</v>
      </c>
    </row>
    <row r="738">
      <c r="A738" s="3">
        <v>702.0</v>
      </c>
      <c r="B738" s="3">
        <v>4.0</v>
      </c>
      <c r="C738" s="3" t="s">
        <v>239</v>
      </c>
    </row>
    <row r="739">
      <c r="A739" s="3">
        <v>929.0</v>
      </c>
      <c r="B739" s="3">
        <v>4.0</v>
      </c>
      <c r="C739" s="3" t="s">
        <v>239</v>
      </c>
    </row>
    <row r="740">
      <c r="A740" s="3">
        <v>284.0</v>
      </c>
      <c r="B740" s="3">
        <v>4.0</v>
      </c>
      <c r="C740" s="3" t="s">
        <v>239</v>
      </c>
    </row>
    <row r="741">
      <c r="A741" s="3">
        <v>148.0</v>
      </c>
      <c r="B741" s="3">
        <v>4.0</v>
      </c>
      <c r="C741" s="3" t="s">
        <v>239</v>
      </c>
    </row>
    <row r="742">
      <c r="A742" s="3">
        <v>785.0</v>
      </c>
      <c r="B742" s="3">
        <v>4.0</v>
      </c>
      <c r="C742" s="3" t="s">
        <v>239</v>
      </c>
    </row>
    <row r="743">
      <c r="A743" s="3">
        <v>278.0</v>
      </c>
      <c r="B743" s="3">
        <v>4.0</v>
      </c>
      <c r="C743" s="3" t="s">
        <v>239</v>
      </c>
    </row>
    <row r="744">
      <c r="A744" s="3">
        <v>217.0</v>
      </c>
      <c r="B744" s="3">
        <v>4.0</v>
      </c>
      <c r="C744" s="3" t="s">
        <v>239</v>
      </c>
    </row>
    <row r="745">
      <c r="A745" s="3">
        <v>965.0</v>
      </c>
      <c r="B745" s="3">
        <v>4.0</v>
      </c>
      <c r="C745" s="3" t="s">
        <v>239</v>
      </c>
    </row>
    <row r="746">
      <c r="A746" s="3">
        <v>921.0</v>
      </c>
      <c r="B746" s="3">
        <v>4.0</v>
      </c>
      <c r="C746" s="3" t="s">
        <v>239</v>
      </c>
    </row>
    <row r="747">
      <c r="A747" s="3">
        <v>476.0</v>
      </c>
      <c r="B747" s="3">
        <v>4.0</v>
      </c>
      <c r="C747" s="3" t="s">
        <v>239</v>
      </c>
    </row>
    <row r="748">
      <c r="A748" s="3">
        <v>542.0</v>
      </c>
      <c r="B748" s="3">
        <v>4.0</v>
      </c>
      <c r="C748" s="3" t="s">
        <v>239</v>
      </c>
    </row>
    <row r="749">
      <c r="A749" s="3">
        <v>743.0</v>
      </c>
      <c r="B749" s="3">
        <v>4.0</v>
      </c>
      <c r="C749" s="3" t="s">
        <v>239</v>
      </c>
    </row>
    <row r="750">
      <c r="A750" s="3">
        <v>474.0</v>
      </c>
      <c r="B750" s="3">
        <v>4.0</v>
      </c>
      <c r="C750" s="3" t="s">
        <v>239</v>
      </c>
    </row>
    <row r="751">
      <c r="A751" s="3">
        <v>236.0</v>
      </c>
      <c r="B751" s="3">
        <v>4.0</v>
      </c>
      <c r="C751" s="3" t="s">
        <v>239</v>
      </c>
    </row>
    <row r="752">
      <c r="A752" s="3">
        <v>458.0</v>
      </c>
      <c r="B752" s="3">
        <v>4.0</v>
      </c>
      <c r="C752" s="3" t="s">
        <v>239</v>
      </c>
    </row>
    <row r="753">
      <c r="A753" s="3">
        <v>717.0</v>
      </c>
      <c r="B753" s="3">
        <v>4.0</v>
      </c>
      <c r="C753" s="3" t="s">
        <v>239</v>
      </c>
    </row>
    <row r="754">
      <c r="A754" s="3">
        <v>144.0</v>
      </c>
      <c r="B754" s="3">
        <v>4.0</v>
      </c>
      <c r="C754" s="3" t="s">
        <v>239</v>
      </c>
    </row>
    <row r="755">
      <c r="A755" s="3">
        <v>499.0</v>
      </c>
      <c r="B755" s="3">
        <v>4.0</v>
      </c>
      <c r="C755" s="3" t="s">
        <v>239</v>
      </c>
    </row>
    <row r="756">
      <c r="A756" s="3">
        <v>638.0</v>
      </c>
      <c r="B756" s="3">
        <v>4.0</v>
      </c>
      <c r="C756" s="3" t="s">
        <v>239</v>
      </c>
    </row>
    <row r="757">
      <c r="A757" s="3">
        <v>728.0</v>
      </c>
      <c r="B757" s="3">
        <v>4.0</v>
      </c>
      <c r="C757" s="3" t="s">
        <v>239</v>
      </c>
    </row>
    <row r="758">
      <c r="A758" s="3">
        <v>75.0</v>
      </c>
      <c r="B758" s="3">
        <v>4.0</v>
      </c>
      <c r="C758" s="3" t="s">
        <v>239</v>
      </c>
    </row>
    <row r="759">
      <c r="A759" s="3">
        <v>803.0</v>
      </c>
      <c r="B759" s="3">
        <v>4.0</v>
      </c>
      <c r="C759" s="3" t="s">
        <v>239</v>
      </c>
    </row>
    <row r="760">
      <c r="A760" s="3">
        <v>420.0</v>
      </c>
      <c r="B760" s="3">
        <v>4.0</v>
      </c>
      <c r="C760" s="3" t="s">
        <v>239</v>
      </c>
    </row>
    <row r="761">
      <c r="A761" s="3">
        <v>578.0</v>
      </c>
      <c r="B761" s="3">
        <v>4.0</v>
      </c>
      <c r="C761" s="3" t="s">
        <v>239</v>
      </c>
    </row>
    <row r="762">
      <c r="A762" s="3">
        <v>158.0</v>
      </c>
      <c r="B762" s="3">
        <v>4.0</v>
      </c>
      <c r="C762" s="3" t="s">
        <v>239</v>
      </c>
    </row>
    <row r="763">
      <c r="A763" s="3">
        <v>298.0</v>
      </c>
      <c r="B763" s="3">
        <v>4.0</v>
      </c>
      <c r="C763" s="3" t="s">
        <v>239</v>
      </c>
    </row>
    <row r="764">
      <c r="A764" s="3">
        <v>602.0</v>
      </c>
      <c r="B764" s="3">
        <v>4.0</v>
      </c>
      <c r="C764" s="3" t="s">
        <v>239</v>
      </c>
    </row>
    <row r="765">
      <c r="A765" s="3">
        <v>716.0</v>
      </c>
      <c r="B765" s="3">
        <v>4.0</v>
      </c>
      <c r="C765" s="3" t="s">
        <v>239</v>
      </c>
    </row>
    <row r="766">
      <c r="A766" s="3">
        <v>768.0</v>
      </c>
      <c r="B766" s="3">
        <v>4.0</v>
      </c>
      <c r="C766" s="3" t="s">
        <v>239</v>
      </c>
    </row>
    <row r="767">
      <c r="A767" s="3">
        <v>661.0</v>
      </c>
      <c r="B767" s="3">
        <v>4.0</v>
      </c>
      <c r="C767" s="3" t="s">
        <v>239</v>
      </c>
    </row>
    <row r="768">
      <c r="A768" s="3">
        <v>892.0</v>
      </c>
      <c r="B768" s="3">
        <v>4.0</v>
      </c>
      <c r="C768" s="3" t="s">
        <v>239</v>
      </c>
    </row>
    <row r="769">
      <c r="A769" s="3">
        <v>89.0</v>
      </c>
      <c r="B769" s="3">
        <v>2.0</v>
      </c>
      <c r="C769" s="3" t="s">
        <v>240</v>
      </c>
    </row>
    <row r="770">
      <c r="A770" s="3">
        <v>1015.0</v>
      </c>
      <c r="B770" s="3">
        <v>4.0</v>
      </c>
      <c r="C770" s="3" t="s">
        <v>239</v>
      </c>
    </row>
    <row r="771">
      <c r="A771" s="3">
        <v>596.0</v>
      </c>
      <c r="B771" s="3">
        <v>4.0</v>
      </c>
      <c r="C771" s="3" t="s">
        <v>239</v>
      </c>
    </row>
    <row r="772">
      <c r="A772" s="3">
        <v>714.0</v>
      </c>
      <c r="B772" s="3">
        <v>4.0</v>
      </c>
      <c r="C772" s="3" t="s">
        <v>239</v>
      </c>
    </row>
    <row r="773">
      <c r="A773" s="3">
        <v>97.0</v>
      </c>
      <c r="B773" s="3">
        <v>2.0</v>
      </c>
      <c r="C773" s="3" t="s">
        <v>240</v>
      </c>
    </row>
    <row r="774">
      <c r="A774" s="3">
        <v>914.0</v>
      </c>
      <c r="B774" s="3">
        <v>3.0</v>
      </c>
      <c r="C774" s="3" t="s">
        <v>238</v>
      </c>
    </row>
    <row r="775">
      <c r="A775" s="3">
        <v>1036.0</v>
      </c>
      <c r="B775" s="3">
        <v>4.0</v>
      </c>
      <c r="C775" s="3" t="s">
        <v>239</v>
      </c>
    </row>
    <row r="776">
      <c r="A776" s="3">
        <v>808.0</v>
      </c>
      <c r="B776" s="3">
        <v>4.0</v>
      </c>
      <c r="C776" s="3" t="s">
        <v>239</v>
      </c>
    </row>
    <row r="777">
      <c r="A777" s="3">
        <v>1052.0</v>
      </c>
      <c r="B777" s="3">
        <v>4.0</v>
      </c>
      <c r="C777" s="3" t="s">
        <v>239</v>
      </c>
    </row>
    <row r="778">
      <c r="A778" s="3">
        <v>1054.0</v>
      </c>
      <c r="B778" s="3">
        <v>4.0</v>
      </c>
      <c r="C778" s="3" t="s">
        <v>239</v>
      </c>
    </row>
    <row r="779">
      <c r="A779" s="3">
        <v>1058.0</v>
      </c>
      <c r="B779" s="3">
        <v>4.0</v>
      </c>
      <c r="C779" s="3" t="s">
        <v>239</v>
      </c>
    </row>
    <row r="780">
      <c r="A780" s="3">
        <v>964.0</v>
      </c>
      <c r="B780" s="3">
        <v>4.0</v>
      </c>
      <c r="C780" s="3" t="s">
        <v>239</v>
      </c>
    </row>
    <row r="781">
      <c r="A781" s="3">
        <v>1074.0</v>
      </c>
      <c r="B781" s="3">
        <v>4.0</v>
      </c>
      <c r="C781" s="3" t="s">
        <v>239</v>
      </c>
    </row>
    <row r="782">
      <c r="A782" s="3">
        <v>1082.0</v>
      </c>
      <c r="B782" s="3">
        <v>4.0</v>
      </c>
      <c r="C782" s="3" t="s">
        <v>239</v>
      </c>
    </row>
    <row r="783">
      <c r="A783" s="3">
        <v>1083.0</v>
      </c>
      <c r="B783" s="3">
        <v>4.0</v>
      </c>
      <c r="C783" s="3" t="s">
        <v>239</v>
      </c>
    </row>
    <row r="784">
      <c r="A784" s="3">
        <v>1069.0</v>
      </c>
      <c r="B784" s="3">
        <v>12.0</v>
      </c>
      <c r="C784" s="3" t="s">
        <v>237</v>
      </c>
    </row>
    <row r="785">
      <c r="A785" s="3">
        <v>1066.0</v>
      </c>
      <c r="B785" s="3">
        <v>12.0</v>
      </c>
      <c r="C785" s="3" t="s">
        <v>237</v>
      </c>
    </row>
    <row r="786">
      <c r="A786" s="3">
        <v>1081.0</v>
      </c>
      <c r="B786" s="3">
        <v>12.0</v>
      </c>
      <c r="C786" s="3" t="s">
        <v>237</v>
      </c>
    </row>
    <row r="787">
      <c r="A787" s="3">
        <v>1040.0</v>
      </c>
      <c r="B787" s="3">
        <v>12.0</v>
      </c>
      <c r="C787" s="3" t="s">
        <v>237</v>
      </c>
    </row>
    <row r="788">
      <c r="A788" s="3">
        <v>1073.0</v>
      </c>
      <c r="B788" s="3">
        <v>12.0</v>
      </c>
      <c r="C788" s="3" t="s">
        <v>237</v>
      </c>
    </row>
    <row r="789">
      <c r="A789" s="3">
        <v>1061.0</v>
      </c>
      <c r="B789" s="3">
        <v>2.0</v>
      </c>
      <c r="C789" s="3" t="s">
        <v>240</v>
      </c>
    </row>
    <row r="790">
      <c r="A790" s="3">
        <v>1059.0</v>
      </c>
      <c r="B790" s="3">
        <v>2.0</v>
      </c>
      <c r="C790" s="3" t="s">
        <v>240</v>
      </c>
    </row>
    <row r="791">
      <c r="A791" s="3">
        <v>986.0</v>
      </c>
      <c r="B791" s="3">
        <v>2.0</v>
      </c>
      <c r="C791" s="3" t="s">
        <v>240</v>
      </c>
    </row>
    <row r="792">
      <c r="A792" s="3">
        <v>1060.0</v>
      </c>
      <c r="B792" s="3">
        <v>2.0</v>
      </c>
      <c r="C792" s="3" t="s">
        <v>240</v>
      </c>
    </row>
    <row r="793">
      <c r="A793" s="3">
        <v>1065.0</v>
      </c>
      <c r="B793" s="3">
        <v>2.0</v>
      </c>
      <c r="C793" s="3" t="s">
        <v>240</v>
      </c>
    </row>
    <row r="794">
      <c r="A794" s="3">
        <v>1070.0</v>
      </c>
      <c r="B794" s="3">
        <v>2.0</v>
      </c>
      <c r="C794" s="3" t="s">
        <v>240</v>
      </c>
    </row>
    <row r="795">
      <c r="A795" s="3">
        <v>1071.0</v>
      </c>
      <c r="B795" s="3">
        <v>2.0</v>
      </c>
      <c r="C795" s="3" t="s">
        <v>240</v>
      </c>
    </row>
    <row r="796">
      <c r="A796" s="3">
        <v>1049.0</v>
      </c>
      <c r="B796" s="3">
        <v>3.0</v>
      </c>
      <c r="C796" s="3" t="s">
        <v>238</v>
      </c>
    </row>
    <row r="797">
      <c r="A797" s="3">
        <v>1057.0</v>
      </c>
      <c r="B797" s="3">
        <v>3.0</v>
      </c>
      <c r="C797" s="3" t="s">
        <v>238</v>
      </c>
    </row>
    <row r="798">
      <c r="A798" s="3">
        <v>1051.0</v>
      </c>
      <c r="B798" s="3">
        <v>3.0</v>
      </c>
      <c r="C798" s="3" t="s">
        <v>238</v>
      </c>
    </row>
    <row r="799">
      <c r="A799" s="3">
        <v>1068.0</v>
      </c>
      <c r="B799" s="3">
        <v>3.0</v>
      </c>
      <c r="C799" s="3" t="s">
        <v>238</v>
      </c>
    </row>
    <row r="800">
      <c r="A800" s="3">
        <v>1062.0</v>
      </c>
      <c r="B800" s="3">
        <v>3.0</v>
      </c>
      <c r="C800" s="3" t="s">
        <v>238</v>
      </c>
    </row>
    <row r="801">
      <c r="A801" s="3">
        <v>1050.0</v>
      </c>
      <c r="B801" s="3">
        <v>3.0</v>
      </c>
      <c r="C801" s="3" t="s">
        <v>238</v>
      </c>
    </row>
    <row r="802">
      <c r="A802" s="3">
        <v>1077.0</v>
      </c>
      <c r="B802" s="3">
        <v>3.0</v>
      </c>
      <c r="C802" s="3" t="s">
        <v>238</v>
      </c>
    </row>
    <row r="803">
      <c r="A803" s="3">
        <v>1087.0</v>
      </c>
      <c r="B803" s="3">
        <v>3.0</v>
      </c>
      <c r="C803" s="3" t="s">
        <v>238</v>
      </c>
    </row>
    <row r="804">
      <c r="A804" s="3">
        <v>1088.0</v>
      </c>
      <c r="B804" s="3">
        <v>3.0</v>
      </c>
      <c r="C804" s="3" t="s">
        <v>238</v>
      </c>
    </row>
    <row r="805">
      <c r="A805" s="3">
        <v>1090.0</v>
      </c>
      <c r="B805" s="3">
        <v>3.0</v>
      </c>
      <c r="C805" s="3" t="s">
        <v>238</v>
      </c>
    </row>
    <row r="806">
      <c r="A806" s="3">
        <v>1092.0</v>
      </c>
      <c r="B806" s="3">
        <v>3.0</v>
      </c>
      <c r="C806" s="3" t="s">
        <v>238</v>
      </c>
    </row>
    <row r="807">
      <c r="A807" s="3">
        <v>1093.0</v>
      </c>
      <c r="B807" s="3">
        <v>2.0</v>
      </c>
      <c r="C807" s="3" t="s">
        <v>240</v>
      </c>
    </row>
    <row r="808">
      <c r="A808" s="3">
        <v>1094.0</v>
      </c>
      <c r="B808" s="3">
        <v>3.0</v>
      </c>
      <c r="C808" s="3" t="s">
        <v>238</v>
      </c>
    </row>
    <row r="809">
      <c r="A809" s="3">
        <v>1095.0</v>
      </c>
      <c r="B809" s="3">
        <v>4.0</v>
      </c>
      <c r="C809" s="3" t="s">
        <v>239</v>
      </c>
    </row>
    <row r="810">
      <c r="A810" s="3">
        <v>1096.0</v>
      </c>
      <c r="B810" s="3">
        <v>2.0</v>
      </c>
      <c r="C810" s="3" t="s">
        <v>240</v>
      </c>
    </row>
    <row r="811">
      <c r="A811" s="3">
        <v>1190.0</v>
      </c>
      <c r="B811" s="3">
        <v>12.0</v>
      </c>
      <c r="C811" s="3" t="s">
        <v>237</v>
      </c>
    </row>
    <row r="812">
      <c r="A812" s="3">
        <v>1191.0</v>
      </c>
      <c r="B812" s="3">
        <v>2.0</v>
      </c>
      <c r="C812" s="3" t="s">
        <v>240</v>
      </c>
    </row>
    <row r="813">
      <c r="A813" s="3">
        <v>742.0</v>
      </c>
      <c r="B813" s="3">
        <v>12.0</v>
      </c>
      <c r="C813" s="3" t="s">
        <v>237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0.5"/>
    <col customWidth="1" min="3" max="3" width="65.75"/>
    <col customWidth="1" min="4" max="4" width="15.13"/>
  </cols>
  <sheetData>
    <row r="1">
      <c r="A1" s="5" t="s">
        <v>245</v>
      </c>
      <c r="B1" s="6"/>
      <c r="C1" s="6"/>
      <c r="D1" s="7"/>
    </row>
    <row r="2">
      <c r="A2" s="8" t="s">
        <v>246</v>
      </c>
      <c r="B2" s="8" t="s">
        <v>247</v>
      </c>
      <c r="C2" s="8" t="s">
        <v>248</v>
      </c>
      <c r="D2" s="9" t="s">
        <v>249</v>
      </c>
    </row>
    <row r="3" hidden="1">
      <c r="A3" s="10">
        <v>1.0</v>
      </c>
      <c r="B3" s="11" t="s">
        <v>250</v>
      </c>
      <c r="C3" s="12" t="s">
        <v>251</v>
      </c>
      <c r="D3" s="13" t="s">
        <v>252</v>
      </c>
    </row>
    <row r="4">
      <c r="A4" s="14">
        <v>919.0</v>
      </c>
      <c r="B4" s="15" t="s">
        <v>237</v>
      </c>
      <c r="C4" s="15" t="s">
        <v>211</v>
      </c>
      <c r="D4" s="16" t="s">
        <v>253</v>
      </c>
    </row>
    <row r="5" hidden="1">
      <c r="A5" s="10">
        <v>13.0</v>
      </c>
      <c r="B5" s="11" t="s">
        <v>240</v>
      </c>
      <c r="C5" s="12" t="s">
        <v>0</v>
      </c>
      <c r="D5" s="13" t="s">
        <v>254</v>
      </c>
    </row>
    <row r="6" hidden="1">
      <c r="A6" s="10">
        <v>17.0</v>
      </c>
      <c r="B6" s="11" t="s">
        <v>239</v>
      </c>
      <c r="C6" s="12" t="s">
        <v>1</v>
      </c>
      <c r="D6" s="13" t="s">
        <v>255</v>
      </c>
    </row>
    <row r="7" hidden="1">
      <c r="A7" s="10">
        <v>18.0</v>
      </c>
      <c r="B7" s="11" t="s">
        <v>240</v>
      </c>
      <c r="C7" s="12" t="s">
        <v>2</v>
      </c>
      <c r="D7" s="13" t="s">
        <v>256</v>
      </c>
    </row>
    <row r="8" hidden="1">
      <c r="A8" s="14">
        <v>25.0</v>
      </c>
      <c r="B8" s="15" t="s">
        <v>250</v>
      </c>
      <c r="C8" s="15" t="s">
        <v>257</v>
      </c>
      <c r="D8" s="13" t="s">
        <v>258</v>
      </c>
    </row>
    <row r="9" hidden="1">
      <c r="A9" s="10">
        <v>27.0</v>
      </c>
      <c r="B9" s="11" t="s">
        <v>239</v>
      </c>
      <c r="C9" s="12" t="s">
        <v>3</v>
      </c>
      <c r="D9" s="13" t="s">
        <v>259</v>
      </c>
    </row>
    <row r="10" hidden="1">
      <c r="A10" s="10">
        <v>28.0</v>
      </c>
      <c r="B10" s="11" t="s">
        <v>239</v>
      </c>
      <c r="C10" s="12" t="s">
        <v>4</v>
      </c>
      <c r="D10" s="13" t="s">
        <v>260</v>
      </c>
    </row>
    <row r="11" hidden="1">
      <c r="A11" s="10">
        <v>29.0</v>
      </c>
      <c r="B11" s="11" t="s">
        <v>240</v>
      </c>
      <c r="C11" s="12" t="s">
        <v>261</v>
      </c>
      <c r="D11" s="13" t="s">
        <v>262</v>
      </c>
    </row>
    <row r="12" hidden="1">
      <c r="A12" s="10">
        <v>34.0</v>
      </c>
      <c r="B12" s="11" t="s">
        <v>239</v>
      </c>
      <c r="C12" s="12" t="s">
        <v>5</v>
      </c>
      <c r="D12" s="13" t="s">
        <v>263</v>
      </c>
    </row>
    <row r="13">
      <c r="A13" s="10">
        <v>8.0</v>
      </c>
      <c r="B13" s="11" t="s">
        <v>237</v>
      </c>
      <c r="C13" s="12" t="s">
        <v>264</v>
      </c>
      <c r="D13" s="13" t="s">
        <v>265</v>
      </c>
    </row>
    <row r="14" hidden="1">
      <c r="A14" s="10">
        <v>39.0</v>
      </c>
      <c r="B14" s="11" t="s">
        <v>250</v>
      </c>
      <c r="C14" s="12" t="s">
        <v>266</v>
      </c>
      <c r="D14" s="13" t="s">
        <v>267</v>
      </c>
      <c r="F14" s="17"/>
    </row>
    <row r="15" hidden="1">
      <c r="A15" s="14">
        <v>40.0</v>
      </c>
      <c r="B15" s="15" t="s">
        <v>238</v>
      </c>
      <c r="C15" s="15" t="s">
        <v>7</v>
      </c>
      <c r="D15" s="13" t="s">
        <v>268</v>
      </c>
    </row>
    <row r="16" hidden="1">
      <c r="A16" s="10">
        <v>41.0</v>
      </c>
      <c r="B16" s="11" t="s">
        <v>250</v>
      </c>
      <c r="C16" s="12" t="s">
        <v>269</v>
      </c>
      <c r="D16" s="13" t="s">
        <v>270</v>
      </c>
    </row>
    <row r="17" hidden="1">
      <c r="A17" s="10">
        <v>43.0</v>
      </c>
      <c r="B17" s="11" t="s">
        <v>239</v>
      </c>
      <c r="C17" s="12" t="s">
        <v>8</v>
      </c>
      <c r="D17" s="13" t="s">
        <v>271</v>
      </c>
    </row>
    <row r="18" hidden="1">
      <c r="A18" s="10">
        <v>51.0</v>
      </c>
      <c r="B18" s="15" t="s">
        <v>250</v>
      </c>
      <c r="C18" s="15" t="s">
        <v>272</v>
      </c>
      <c r="D18" s="13" t="s">
        <v>273</v>
      </c>
    </row>
    <row r="19" hidden="1">
      <c r="A19" s="10">
        <v>52.0</v>
      </c>
      <c r="B19" s="11" t="s">
        <v>243</v>
      </c>
      <c r="C19" s="12" t="s">
        <v>9</v>
      </c>
      <c r="D19" s="13" t="s">
        <v>274</v>
      </c>
      <c r="F19" s="17"/>
    </row>
    <row r="20" hidden="1">
      <c r="A20" s="10">
        <v>53.0</v>
      </c>
      <c r="B20" s="11" t="s">
        <v>238</v>
      </c>
      <c r="C20" s="12" t="s">
        <v>275</v>
      </c>
      <c r="D20" s="13" t="s">
        <v>276</v>
      </c>
    </row>
    <row r="21" hidden="1">
      <c r="A21" s="10">
        <v>58.0</v>
      </c>
      <c r="B21" s="11" t="s">
        <v>239</v>
      </c>
      <c r="C21" s="12" t="s">
        <v>10</v>
      </c>
      <c r="D21" s="13" t="s">
        <v>277</v>
      </c>
    </row>
    <row r="22" hidden="1">
      <c r="A22" s="10">
        <v>65.0</v>
      </c>
      <c r="B22" s="11" t="s">
        <v>238</v>
      </c>
      <c r="C22" s="12" t="s">
        <v>11</v>
      </c>
      <c r="D22" s="13" t="s">
        <v>278</v>
      </c>
    </row>
    <row r="23" hidden="1">
      <c r="A23" s="10">
        <v>72.0</v>
      </c>
      <c r="B23" s="11" t="s">
        <v>238</v>
      </c>
      <c r="C23" s="12" t="s">
        <v>13</v>
      </c>
      <c r="D23" s="13" t="s">
        <v>279</v>
      </c>
    </row>
    <row r="24" hidden="1">
      <c r="A24" s="10">
        <v>73.0</v>
      </c>
      <c r="B24" s="11" t="s">
        <v>238</v>
      </c>
      <c r="C24" s="12" t="s">
        <v>14</v>
      </c>
      <c r="D24" s="13" t="s">
        <v>280</v>
      </c>
    </row>
    <row r="25" hidden="1">
      <c r="A25" s="10">
        <v>74.0</v>
      </c>
      <c r="B25" s="11" t="s">
        <v>240</v>
      </c>
      <c r="C25" s="12" t="s">
        <v>15</v>
      </c>
      <c r="D25" s="13" t="s">
        <v>281</v>
      </c>
    </row>
    <row r="26" hidden="1">
      <c r="A26" s="10">
        <v>82.0</v>
      </c>
      <c r="B26" s="11" t="s">
        <v>238</v>
      </c>
      <c r="C26" s="12" t="s">
        <v>16</v>
      </c>
      <c r="D26" s="13" t="s">
        <v>282</v>
      </c>
    </row>
    <row r="27" hidden="1">
      <c r="A27" s="10">
        <v>86.0</v>
      </c>
      <c r="B27" s="11" t="s">
        <v>240</v>
      </c>
      <c r="C27" s="12" t="s">
        <v>17</v>
      </c>
      <c r="D27" s="13" t="s">
        <v>283</v>
      </c>
    </row>
    <row r="28" hidden="1">
      <c r="A28" s="10">
        <v>87.0</v>
      </c>
      <c r="B28" s="11" t="s">
        <v>240</v>
      </c>
      <c r="C28" s="12" t="s">
        <v>18</v>
      </c>
      <c r="D28" s="13" t="s">
        <v>284</v>
      </c>
      <c r="F28" s="17"/>
    </row>
    <row r="29" hidden="1">
      <c r="A29" s="10">
        <v>88.0</v>
      </c>
      <c r="B29" s="11" t="s">
        <v>238</v>
      </c>
      <c r="C29" s="12" t="s">
        <v>19</v>
      </c>
      <c r="D29" s="13" t="s">
        <v>285</v>
      </c>
    </row>
    <row r="30">
      <c r="A30" s="14">
        <v>735.0</v>
      </c>
      <c r="B30" s="15" t="s">
        <v>237</v>
      </c>
      <c r="C30" s="15" t="s">
        <v>286</v>
      </c>
      <c r="D30" s="16" t="s">
        <v>287</v>
      </c>
      <c r="F30" s="17"/>
    </row>
    <row r="31" hidden="1">
      <c r="A31" s="10">
        <v>102.0</v>
      </c>
      <c r="B31" s="11" t="s">
        <v>239</v>
      </c>
      <c r="C31" s="12" t="s">
        <v>21</v>
      </c>
      <c r="D31" s="13" t="s">
        <v>288</v>
      </c>
      <c r="F31" s="17"/>
    </row>
    <row r="32" hidden="1">
      <c r="A32" s="14">
        <v>103.0</v>
      </c>
      <c r="B32" s="15" t="s">
        <v>238</v>
      </c>
      <c r="C32" s="15" t="s">
        <v>22</v>
      </c>
      <c r="D32" s="13" t="s">
        <v>279</v>
      </c>
    </row>
    <row r="33" hidden="1">
      <c r="A33" s="10">
        <v>109.0</v>
      </c>
      <c r="B33" s="11" t="s">
        <v>238</v>
      </c>
      <c r="C33" s="12" t="s">
        <v>23</v>
      </c>
      <c r="D33" s="13" t="s">
        <v>289</v>
      </c>
      <c r="F33" s="17"/>
    </row>
    <row r="34" hidden="1">
      <c r="A34" s="10">
        <v>119.0</v>
      </c>
      <c r="B34" s="11" t="s">
        <v>240</v>
      </c>
      <c r="C34" s="12" t="s">
        <v>25</v>
      </c>
      <c r="D34" s="13" t="s">
        <v>290</v>
      </c>
    </row>
    <row r="35" hidden="1">
      <c r="A35" s="10">
        <v>121.0</v>
      </c>
      <c r="B35" s="11" t="s">
        <v>240</v>
      </c>
      <c r="C35" s="12" t="s">
        <v>26</v>
      </c>
      <c r="D35" s="13" t="s">
        <v>291</v>
      </c>
    </row>
    <row r="36" hidden="1">
      <c r="A36" s="10">
        <v>122.0</v>
      </c>
      <c r="B36" s="11" t="s">
        <v>238</v>
      </c>
      <c r="C36" s="12" t="s">
        <v>27</v>
      </c>
      <c r="D36" s="13" t="s">
        <v>292</v>
      </c>
    </row>
    <row r="37" hidden="1">
      <c r="A37" s="10">
        <v>123.0</v>
      </c>
      <c r="B37" s="11" t="s">
        <v>240</v>
      </c>
      <c r="C37" s="12" t="s">
        <v>28</v>
      </c>
      <c r="D37" s="13" t="s">
        <v>293</v>
      </c>
    </row>
    <row r="38" hidden="1">
      <c r="A38" s="10">
        <v>124.0</v>
      </c>
      <c r="B38" s="11" t="s">
        <v>238</v>
      </c>
      <c r="C38" s="12" t="s">
        <v>29</v>
      </c>
      <c r="D38" s="13" t="s">
        <v>294</v>
      </c>
    </row>
    <row r="39" hidden="1">
      <c r="A39" s="14">
        <v>125.0</v>
      </c>
      <c r="B39" s="15" t="s">
        <v>240</v>
      </c>
      <c r="C39" s="15" t="s">
        <v>30</v>
      </c>
      <c r="D39" s="13" t="s">
        <v>295</v>
      </c>
    </row>
    <row r="40" hidden="1">
      <c r="A40" s="10">
        <v>126.0</v>
      </c>
      <c r="B40" s="11" t="s">
        <v>240</v>
      </c>
      <c r="C40" s="12" t="s">
        <v>31</v>
      </c>
      <c r="D40" s="13" t="s">
        <v>296</v>
      </c>
    </row>
    <row r="41" hidden="1">
      <c r="A41" s="10">
        <v>139.0</v>
      </c>
      <c r="B41" s="11" t="s">
        <v>239</v>
      </c>
      <c r="C41" s="12" t="s">
        <v>32</v>
      </c>
      <c r="D41" s="13" t="s">
        <v>260</v>
      </c>
    </row>
    <row r="42" hidden="1">
      <c r="A42" s="10">
        <v>146.0</v>
      </c>
      <c r="B42" s="11" t="s">
        <v>238</v>
      </c>
      <c r="C42" s="12" t="s">
        <v>297</v>
      </c>
      <c r="D42" s="13" t="s">
        <v>298</v>
      </c>
    </row>
    <row r="43" hidden="1">
      <c r="A43" s="10">
        <v>148.0</v>
      </c>
      <c r="B43" s="11" t="s">
        <v>239</v>
      </c>
      <c r="C43" s="12" t="s">
        <v>33</v>
      </c>
      <c r="D43" s="13" t="s">
        <v>299</v>
      </c>
    </row>
    <row r="44" hidden="1">
      <c r="A44" s="10">
        <v>156.0</v>
      </c>
      <c r="B44" s="11" t="s">
        <v>240</v>
      </c>
      <c r="C44" s="12" t="s">
        <v>34</v>
      </c>
      <c r="D44" s="13" t="s">
        <v>279</v>
      </c>
    </row>
    <row r="45" hidden="1">
      <c r="A45" s="10">
        <v>157.0</v>
      </c>
      <c r="B45" s="11" t="s">
        <v>250</v>
      </c>
      <c r="C45" s="12" t="s">
        <v>300</v>
      </c>
      <c r="D45" s="13" t="s">
        <v>301</v>
      </c>
    </row>
    <row r="46">
      <c r="A46" s="14">
        <v>832.0</v>
      </c>
      <c r="B46" s="15" t="s">
        <v>237</v>
      </c>
      <c r="C46" s="15" t="s">
        <v>203</v>
      </c>
      <c r="D46" s="16" t="s">
        <v>302</v>
      </c>
    </row>
    <row r="47" hidden="1">
      <c r="A47" s="10">
        <v>167.0</v>
      </c>
      <c r="B47" s="11" t="s">
        <v>238</v>
      </c>
      <c r="C47" s="12" t="s">
        <v>35</v>
      </c>
      <c r="D47" s="13" t="s">
        <v>303</v>
      </c>
      <c r="F47" s="17"/>
    </row>
    <row r="48" hidden="1">
      <c r="A48" s="14">
        <v>174.0</v>
      </c>
      <c r="B48" s="15" t="s">
        <v>239</v>
      </c>
      <c r="C48" s="15" t="s">
        <v>36</v>
      </c>
      <c r="D48" s="13" t="s">
        <v>304</v>
      </c>
      <c r="F48" s="17"/>
    </row>
    <row r="49" hidden="1">
      <c r="A49" s="10">
        <v>178.0</v>
      </c>
      <c r="B49" s="11" t="s">
        <v>250</v>
      </c>
      <c r="C49" s="12" t="s">
        <v>305</v>
      </c>
      <c r="D49" s="13" t="s">
        <v>306</v>
      </c>
    </row>
    <row r="50">
      <c r="A50" s="14">
        <v>749.0</v>
      </c>
      <c r="B50" s="15" t="s">
        <v>237</v>
      </c>
      <c r="C50" s="15" t="s">
        <v>180</v>
      </c>
      <c r="D50" s="16" t="s">
        <v>307</v>
      </c>
      <c r="F50" s="17"/>
    </row>
    <row r="51" hidden="1">
      <c r="A51" s="10">
        <v>187.0</v>
      </c>
      <c r="B51" s="11" t="s">
        <v>239</v>
      </c>
      <c r="C51" s="12" t="s">
        <v>38</v>
      </c>
      <c r="D51" s="13" t="s">
        <v>308</v>
      </c>
    </row>
    <row r="52" hidden="1">
      <c r="A52" s="14">
        <v>193.0</v>
      </c>
      <c r="B52" s="15" t="s">
        <v>239</v>
      </c>
      <c r="C52" s="15" t="s">
        <v>39</v>
      </c>
      <c r="D52" s="13" t="s">
        <v>309</v>
      </c>
    </row>
    <row r="53" hidden="1">
      <c r="A53" s="10">
        <v>200.0</v>
      </c>
      <c r="B53" s="15" t="s">
        <v>239</v>
      </c>
      <c r="C53" s="15" t="s">
        <v>40</v>
      </c>
      <c r="D53" s="13" t="s">
        <v>310</v>
      </c>
    </row>
    <row r="54" hidden="1">
      <c r="A54" s="10">
        <v>201.0</v>
      </c>
      <c r="B54" s="15" t="s">
        <v>240</v>
      </c>
      <c r="C54" s="15" t="s">
        <v>41</v>
      </c>
      <c r="D54" s="13" t="s">
        <v>311</v>
      </c>
    </row>
    <row r="55" hidden="1">
      <c r="A55" s="10">
        <v>208.0</v>
      </c>
      <c r="B55" s="11" t="s">
        <v>250</v>
      </c>
      <c r="C55" s="12" t="s">
        <v>312</v>
      </c>
      <c r="D55" s="13" t="s">
        <v>313</v>
      </c>
    </row>
    <row r="56">
      <c r="A56" s="14">
        <v>751.0</v>
      </c>
      <c r="B56" s="15" t="s">
        <v>237</v>
      </c>
      <c r="C56" s="15" t="s">
        <v>181</v>
      </c>
      <c r="D56" s="16" t="s">
        <v>314</v>
      </c>
    </row>
    <row r="57" hidden="1">
      <c r="A57" s="10">
        <v>213.0</v>
      </c>
      <c r="B57" s="11" t="s">
        <v>239</v>
      </c>
      <c r="C57" s="12" t="s">
        <v>43</v>
      </c>
      <c r="D57" s="13" t="s">
        <v>315</v>
      </c>
    </row>
    <row r="58">
      <c r="A58" s="14">
        <v>1218.0</v>
      </c>
      <c r="B58" s="15" t="s">
        <v>237</v>
      </c>
      <c r="C58" s="15" t="s">
        <v>316</v>
      </c>
      <c r="D58" s="16" t="s">
        <v>317</v>
      </c>
    </row>
    <row r="59" hidden="1">
      <c r="A59" s="10">
        <v>216.0</v>
      </c>
      <c r="B59" s="11" t="s">
        <v>239</v>
      </c>
      <c r="C59" s="12" t="s">
        <v>45</v>
      </c>
      <c r="D59" s="13" t="s">
        <v>318</v>
      </c>
    </row>
    <row r="60" hidden="1">
      <c r="A60" s="10">
        <v>217.0</v>
      </c>
      <c r="B60" s="11" t="s">
        <v>239</v>
      </c>
      <c r="C60" s="12" t="s">
        <v>46</v>
      </c>
      <c r="D60" s="13" t="s">
        <v>319</v>
      </c>
    </row>
    <row r="61" hidden="1">
      <c r="A61" s="10">
        <v>219.0</v>
      </c>
      <c r="B61" s="11" t="s">
        <v>238</v>
      </c>
      <c r="C61" s="12" t="s">
        <v>47</v>
      </c>
      <c r="D61" s="13" t="s">
        <v>320</v>
      </c>
      <c r="F61" s="17"/>
    </row>
    <row r="62" hidden="1">
      <c r="A62" s="14">
        <v>225.0</v>
      </c>
      <c r="B62" s="15" t="s">
        <v>250</v>
      </c>
      <c r="C62" s="15" t="s">
        <v>321</v>
      </c>
      <c r="D62" s="13" t="s">
        <v>322</v>
      </c>
    </row>
    <row r="63" hidden="1">
      <c r="A63" s="14">
        <v>226.0</v>
      </c>
      <c r="B63" s="15" t="s">
        <v>243</v>
      </c>
      <c r="C63" s="15" t="s">
        <v>323</v>
      </c>
      <c r="D63" s="13" t="s">
        <v>324</v>
      </c>
    </row>
    <row r="64" hidden="1">
      <c r="A64" s="10">
        <v>227.0</v>
      </c>
      <c r="B64" s="11" t="s">
        <v>240</v>
      </c>
      <c r="C64" s="12" t="s">
        <v>48</v>
      </c>
      <c r="D64" s="13" t="s">
        <v>325</v>
      </c>
    </row>
    <row r="65" hidden="1">
      <c r="A65" s="10">
        <v>228.0</v>
      </c>
      <c r="B65" s="11" t="s">
        <v>238</v>
      </c>
      <c r="C65" s="12" t="s">
        <v>49</v>
      </c>
      <c r="D65" s="13" t="s">
        <v>326</v>
      </c>
    </row>
    <row r="66" hidden="1">
      <c r="A66" s="10">
        <v>231.0</v>
      </c>
      <c r="B66" s="11" t="s">
        <v>240</v>
      </c>
      <c r="C66" s="12" t="s">
        <v>50</v>
      </c>
      <c r="D66" s="13" t="s">
        <v>327</v>
      </c>
    </row>
    <row r="67" hidden="1">
      <c r="A67" s="10">
        <v>232.0</v>
      </c>
      <c r="B67" s="11" t="s">
        <v>238</v>
      </c>
      <c r="C67" s="12" t="s">
        <v>51</v>
      </c>
      <c r="D67" s="13" t="s">
        <v>328</v>
      </c>
    </row>
    <row r="68" hidden="1">
      <c r="A68" s="10">
        <v>233.0</v>
      </c>
      <c r="B68" s="11" t="s">
        <v>238</v>
      </c>
      <c r="C68" s="12" t="s">
        <v>52</v>
      </c>
      <c r="D68" s="13" t="s">
        <v>329</v>
      </c>
      <c r="F68" s="17"/>
    </row>
    <row r="69" hidden="1">
      <c r="A69" s="10">
        <v>234.0</v>
      </c>
      <c r="B69" s="11" t="s">
        <v>238</v>
      </c>
      <c r="C69" s="12" t="s">
        <v>53</v>
      </c>
      <c r="D69" s="13" t="s">
        <v>330</v>
      </c>
    </row>
    <row r="70">
      <c r="A70" s="14">
        <v>918.0</v>
      </c>
      <c r="B70" s="15" t="s">
        <v>237</v>
      </c>
      <c r="C70" s="15" t="s">
        <v>210</v>
      </c>
      <c r="D70" s="16" t="s">
        <v>331</v>
      </c>
    </row>
    <row r="71" hidden="1">
      <c r="A71" s="10">
        <v>236.0</v>
      </c>
      <c r="B71" s="11" t="s">
        <v>239</v>
      </c>
      <c r="C71" s="12" t="s">
        <v>332</v>
      </c>
      <c r="D71" s="13" t="s">
        <v>333</v>
      </c>
    </row>
    <row r="72" hidden="1">
      <c r="A72" s="10">
        <v>238.0</v>
      </c>
      <c r="B72" s="11" t="s">
        <v>240</v>
      </c>
      <c r="C72" s="12" t="s">
        <v>55</v>
      </c>
      <c r="D72" s="13" t="s">
        <v>334</v>
      </c>
    </row>
    <row r="73">
      <c r="A73" s="14">
        <v>755.0</v>
      </c>
      <c r="B73" s="15" t="s">
        <v>237</v>
      </c>
      <c r="C73" s="15" t="s">
        <v>335</v>
      </c>
      <c r="D73" s="16" t="s">
        <v>336</v>
      </c>
    </row>
    <row r="74" hidden="1">
      <c r="A74" s="10">
        <v>243.0</v>
      </c>
      <c r="B74" s="11" t="s">
        <v>240</v>
      </c>
      <c r="C74" s="12" t="s">
        <v>57</v>
      </c>
      <c r="D74" s="13" t="s">
        <v>337</v>
      </c>
    </row>
    <row r="75" hidden="1">
      <c r="A75" s="14">
        <v>244.0</v>
      </c>
      <c r="B75" s="15" t="s">
        <v>240</v>
      </c>
      <c r="C75" s="15" t="s">
        <v>58</v>
      </c>
      <c r="D75" s="13" t="s">
        <v>338</v>
      </c>
    </row>
    <row r="76" hidden="1">
      <c r="A76" s="10">
        <v>245.0</v>
      </c>
      <c r="B76" s="11" t="s">
        <v>240</v>
      </c>
      <c r="C76" s="12" t="s">
        <v>59</v>
      </c>
      <c r="D76" s="13" t="s">
        <v>339</v>
      </c>
    </row>
    <row r="77" hidden="1">
      <c r="A77" s="10">
        <v>246.0</v>
      </c>
      <c r="B77" s="11" t="s">
        <v>239</v>
      </c>
      <c r="C77" s="12" t="s">
        <v>60</v>
      </c>
      <c r="D77" s="13" t="s">
        <v>340</v>
      </c>
    </row>
    <row r="78" hidden="1">
      <c r="A78" s="10">
        <v>248.0</v>
      </c>
      <c r="B78" s="11" t="s">
        <v>238</v>
      </c>
      <c r="C78" s="12" t="s">
        <v>61</v>
      </c>
      <c r="D78" s="13" t="s">
        <v>341</v>
      </c>
    </row>
    <row r="79" hidden="1">
      <c r="A79" s="10">
        <v>252.0</v>
      </c>
      <c r="B79" s="11" t="s">
        <v>240</v>
      </c>
      <c r="C79" s="12" t="s">
        <v>62</v>
      </c>
      <c r="D79" s="13" t="s">
        <v>342</v>
      </c>
    </row>
    <row r="80" hidden="1">
      <c r="A80" s="10">
        <v>256.0</v>
      </c>
      <c r="B80" s="15" t="s">
        <v>240</v>
      </c>
      <c r="C80" s="15" t="s">
        <v>343</v>
      </c>
      <c r="D80" s="13" t="s">
        <v>344</v>
      </c>
    </row>
    <row r="81" hidden="1">
      <c r="A81" s="14">
        <v>261.0</v>
      </c>
      <c r="B81" s="15" t="s">
        <v>240</v>
      </c>
      <c r="C81" s="15" t="s">
        <v>63</v>
      </c>
      <c r="D81" s="13" t="s">
        <v>345</v>
      </c>
    </row>
    <row r="82" hidden="1">
      <c r="A82" s="10">
        <v>263.0</v>
      </c>
      <c r="B82" s="11" t="s">
        <v>240</v>
      </c>
      <c r="C82" s="12" t="s">
        <v>346</v>
      </c>
      <c r="D82" s="13" t="s">
        <v>347</v>
      </c>
    </row>
    <row r="83" hidden="1">
      <c r="A83" s="10">
        <v>264.0</v>
      </c>
      <c r="B83" s="11" t="s">
        <v>240</v>
      </c>
      <c r="C83" s="12" t="s">
        <v>64</v>
      </c>
      <c r="D83" s="13" t="s">
        <v>348</v>
      </c>
    </row>
    <row r="84" hidden="1">
      <c r="A84" s="10">
        <v>266.0</v>
      </c>
      <c r="B84" s="15" t="s">
        <v>240</v>
      </c>
      <c r="C84" s="15" t="s">
        <v>65</v>
      </c>
      <c r="D84" s="13" t="s">
        <v>349</v>
      </c>
    </row>
    <row r="85" hidden="1">
      <c r="A85" s="14">
        <v>278.0</v>
      </c>
      <c r="B85" s="15" t="s">
        <v>239</v>
      </c>
      <c r="C85" s="15" t="s">
        <v>66</v>
      </c>
      <c r="D85" s="13" t="s">
        <v>260</v>
      </c>
    </row>
    <row r="86" hidden="1">
      <c r="A86" s="10">
        <v>279.0</v>
      </c>
      <c r="B86" s="11" t="s">
        <v>238</v>
      </c>
      <c r="C86" s="12" t="s">
        <v>67</v>
      </c>
      <c r="D86" s="13" t="s">
        <v>350</v>
      </c>
    </row>
    <row r="87" hidden="1">
      <c r="A87" s="10">
        <v>284.0</v>
      </c>
      <c r="B87" s="11" t="s">
        <v>239</v>
      </c>
      <c r="C87" s="12" t="s">
        <v>68</v>
      </c>
      <c r="D87" s="13" t="s">
        <v>351</v>
      </c>
    </row>
    <row r="88" hidden="1">
      <c r="A88" s="10">
        <v>285.0</v>
      </c>
      <c r="B88" s="11" t="s">
        <v>239</v>
      </c>
      <c r="C88" s="12" t="s">
        <v>69</v>
      </c>
      <c r="D88" s="13" t="s">
        <v>352</v>
      </c>
    </row>
    <row r="89" hidden="1">
      <c r="A89" s="10">
        <v>286.0</v>
      </c>
      <c r="B89" s="11" t="s">
        <v>240</v>
      </c>
      <c r="C89" s="12" t="s">
        <v>70</v>
      </c>
      <c r="D89" s="13" t="s">
        <v>353</v>
      </c>
    </row>
    <row r="90">
      <c r="A90" s="14">
        <v>853.0</v>
      </c>
      <c r="B90" s="15" t="s">
        <v>237</v>
      </c>
      <c r="C90" s="15" t="s">
        <v>206</v>
      </c>
      <c r="D90" s="16" t="s">
        <v>260</v>
      </c>
    </row>
    <row r="91" hidden="1">
      <c r="A91" s="10">
        <v>296.0</v>
      </c>
      <c r="B91" s="11" t="s">
        <v>239</v>
      </c>
      <c r="C91" s="12" t="s">
        <v>71</v>
      </c>
      <c r="D91" s="13" t="s">
        <v>354</v>
      </c>
    </row>
    <row r="92" hidden="1">
      <c r="A92" s="10">
        <v>300.0</v>
      </c>
      <c r="B92" s="11" t="s">
        <v>239</v>
      </c>
      <c r="C92" s="12" t="s">
        <v>72</v>
      </c>
      <c r="D92" s="13" t="s">
        <v>355</v>
      </c>
    </row>
    <row r="93" hidden="1">
      <c r="A93" s="10">
        <v>302.0</v>
      </c>
      <c r="B93" s="11" t="s">
        <v>239</v>
      </c>
      <c r="C93" s="12" t="s">
        <v>73</v>
      </c>
      <c r="D93" s="13" t="s">
        <v>356</v>
      </c>
    </row>
    <row r="94" hidden="1">
      <c r="A94" s="10">
        <v>305.0</v>
      </c>
      <c r="B94" s="11" t="s">
        <v>238</v>
      </c>
      <c r="C94" s="12" t="s">
        <v>74</v>
      </c>
      <c r="D94" s="13" t="s">
        <v>357</v>
      </c>
    </row>
    <row r="95">
      <c r="A95" s="14">
        <v>1081.0</v>
      </c>
      <c r="B95" s="15" t="s">
        <v>237</v>
      </c>
      <c r="C95" s="15" t="s">
        <v>234</v>
      </c>
      <c r="D95" s="16" t="s">
        <v>358</v>
      </c>
    </row>
    <row r="96" hidden="1">
      <c r="A96" s="10">
        <v>313.0</v>
      </c>
      <c r="B96" s="11" t="s">
        <v>239</v>
      </c>
      <c r="C96" s="12" t="s">
        <v>77</v>
      </c>
      <c r="D96" s="13" t="s">
        <v>359</v>
      </c>
    </row>
    <row r="97">
      <c r="A97" s="14">
        <v>742.0</v>
      </c>
      <c r="B97" s="15" t="s">
        <v>237</v>
      </c>
      <c r="C97" s="15" t="s">
        <v>177</v>
      </c>
      <c r="D97" s="16" t="s">
        <v>360</v>
      </c>
    </row>
    <row r="98" hidden="1">
      <c r="A98" s="10">
        <v>318.0</v>
      </c>
      <c r="B98" s="11" t="s">
        <v>238</v>
      </c>
      <c r="C98" s="12" t="s">
        <v>79</v>
      </c>
      <c r="D98" s="13" t="s">
        <v>361</v>
      </c>
    </row>
    <row r="99" hidden="1">
      <c r="A99" s="10">
        <v>331.0</v>
      </c>
      <c r="B99" s="11" t="s">
        <v>240</v>
      </c>
      <c r="C99" s="12" t="s">
        <v>80</v>
      </c>
      <c r="D99" s="13" t="s">
        <v>362</v>
      </c>
      <c r="F99" s="17"/>
    </row>
    <row r="100">
      <c r="A100" s="10">
        <v>160.0</v>
      </c>
      <c r="B100" s="11" t="s">
        <v>237</v>
      </c>
      <c r="C100" s="12" t="s">
        <v>363</v>
      </c>
      <c r="D100" s="13" t="s">
        <v>364</v>
      </c>
    </row>
    <row r="101" hidden="1">
      <c r="A101" s="10">
        <v>335.0</v>
      </c>
      <c r="B101" s="11" t="s">
        <v>239</v>
      </c>
      <c r="C101" s="12" t="s">
        <v>82</v>
      </c>
      <c r="D101" s="13" t="s">
        <v>365</v>
      </c>
      <c r="F101" s="17"/>
    </row>
    <row r="102" hidden="1">
      <c r="A102" s="10">
        <v>340.0</v>
      </c>
      <c r="B102" s="11" t="s">
        <v>238</v>
      </c>
      <c r="C102" s="12" t="s">
        <v>83</v>
      </c>
      <c r="D102" s="13" t="s">
        <v>366</v>
      </c>
    </row>
    <row r="103" hidden="1">
      <c r="A103" s="10">
        <v>346.0</v>
      </c>
      <c r="B103" s="11" t="s">
        <v>240</v>
      </c>
      <c r="C103" s="12" t="s">
        <v>84</v>
      </c>
      <c r="D103" s="13" t="s">
        <v>367</v>
      </c>
    </row>
    <row r="104" hidden="1">
      <c r="A104" s="10">
        <v>347.0</v>
      </c>
      <c r="B104" s="15" t="s">
        <v>238</v>
      </c>
      <c r="C104" s="15" t="s">
        <v>85</v>
      </c>
      <c r="D104" s="13" t="s">
        <v>368</v>
      </c>
    </row>
    <row r="105" hidden="1">
      <c r="A105" s="10">
        <v>350.0</v>
      </c>
      <c r="B105" s="11" t="s">
        <v>239</v>
      </c>
      <c r="C105" s="12" t="s">
        <v>86</v>
      </c>
      <c r="D105" s="13" t="s">
        <v>369</v>
      </c>
    </row>
    <row r="106" hidden="1">
      <c r="A106" s="14">
        <v>354.0</v>
      </c>
      <c r="B106" s="15" t="s">
        <v>240</v>
      </c>
      <c r="C106" s="15" t="s">
        <v>87</v>
      </c>
      <c r="D106" s="13" t="s">
        <v>370</v>
      </c>
    </row>
    <row r="107" hidden="1">
      <c r="A107" s="10">
        <v>355.0</v>
      </c>
      <c r="B107" s="11" t="s">
        <v>240</v>
      </c>
      <c r="C107" s="12" t="s">
        <v>88</v>
      </c>
      <c r="D107" s="13" t="s">
        <v>317</v>
      </c>
    </row>
    <row r="108">
      <c r="A108" s="10">
        <v>723.0</v>
      </c>
      <c r="B108" s="11" t="s">
        <v>237</v>
      </c>
      <c r="C108" s="12" t="s">
        <v>172</v>
      </c>
      <c r="D108" s="13" t="s">
        <v>371</v>
      </c>
    </row>
    <row r="109" hidden="1">
      <c r="A109" s="10">
        <v>360.0</v>
      </c>
      <c r="B109" s="11" t="s">
        <v>238</v>
      </c>
      <c r="C109" s="12" t="s">
        <v>90</v>
      </c>
      <c r="D109" s="13" t="s">
        <v>301</v>
      </c>
    </row>
    <row r="110" hidden="1">
      <c r="A110" s="10">
        <v>366.0</v>
      </c>
      <c r="B110" s="11" t="s">
        <v>240</v>
      </c>
      <c r="C110" s="12" t="s">
        <v>91</v>
      </c>
      <c r="D110" s="13" t="s">
        <v>372</v>
      </c>
    </row>
    <row r="111" hidden="1">
      <c r="A111" s="10">
        <v>369.0</v>
      </c>
      <c r="B111" s="11" t="s">
        <v>240</v>
      </c>
      <c r="C111" s="12" t="s">
        <v>92</v>
      </c>
      <c r="D111" s="13" t="s">
        <v>373</v>
      </c>
    </row>
    <row r="112" hidden="1">
      <c r="A112" s="10">
        <v>374.0</v>
      </c>
      <c r="B112" s="15" t="s">
        <v>240</v>
      </c>
      <c r="C112" s="15" t="s">
        <v>93</v>
      </c>
      <c r="D112" s="13" t="s">
        <v>374</v>
      </c>
      <c r="F112" s="17"/>
    </row>
    <row r="113" hidden="1">
      <c r="A113" s="14">
        <v>375.0</v>
      </c>
      <c r="B113" s="15" t="s">
        <v>238</v>
      </c>
      <c r="C113" s="15" t="s">
        <v>94</v>
      </c>
      <c r="D113" s="13" t="s">
        <v>375</v>
      </c>
    </row>
    <row r="114" hidden="1">
      <c r="A114" s="10">
        <v>379.0</v>
      </c>
      <c r="B114" s="11" t="s">
        <v>240</v>
      </c>
      <c r="C114" s="12" t="s">
        <v>95</v>
      </c>
      <c r="D114" s="13" t="s">
        <v>260</v>
      </c>
    </row>
    <row r="115" hidden="1">
      <c r="A115" s="10">
        <v>380.0</v>
      </c>
      <c r="B115" s="11" t="s">
        <v>239</v>
      </c>
      <c r="C115" s="12" t="s">
        <v>96</v>
      </c>
      <c r="D115" s="13" t="s">
        <v>376</v>
      </c>
    </row>
    <row r="116" hidden="1">
      <c r="A116" s="10">
        <v>381.0</v>
      </c>
      <c r="B116" s="11" t="s">
        <v>240</v>
      </c>
      <c r="C116" s="12" t="s">
        <v>97</v>
      </c>
      <c r="D116" s="13" t="s">
        <v>377</v>
      </c>
      <c r="F116" s="17"/>
    </row>
    <row r="117" hidden="1">
      <c r="A117" s="10">
        <v>383.0</v>
      </c>
      <c r="B117" s="11" t="s">
        <v>238</v>
      </c>
      <c r="C117" s="12" t="s">
        <v>378</v>
      </c>
      <c r="D117" s="13" t="s">
        <v>379</v>
      </c>
    </row>
    <row r="118" hidden="1">
      <c r="A118" s="10">
        <v>390.0</v>
      </c>
      <c r="B118" s="11" t="s">
        <v>240</v>
      </c>
      <c r="C118" s="12" t="s">
        <v>98</v>
      </c>
      <c r="D118" s="13" t="s">
        <v>380</v>
      </c>
    </row>
    <row r="119" hidden="1">
      <c r="A119" s="10">
        <v>395.0</v>
      </c>
      <c r="B119" s="11" t="s">
        <v>238</v>
      </c>
      <c r="C119" s="12" t="s">
        <v>99</v>
      </c>
      <c r="D119" s="13" t="s">
        <v>381</v>
      </c>
    </row>
    <row r="120" hidden="1">
      <c r="A120" s="10">
        <v>403.0</v>
      </c>
      <c r="B120" s="11" t="s">
        <v>250</v>
      </c>
      <c r="C120" s="12" t="s">
        <v>382</v>
      </c>
      <c r="D120" s="13" t="s">
        <v>383</v>
      </c>
    </row>
    <row r="121" hidden="1">
      <c r="A121" s="10">
        <v>408.0</v>
      </c>
      <c r="B121" s="15" t="s">
        <v>239</v>
      </c>
      <c r="C121" s="15" t="s">
        <v>100</v>
      </c>
      <c r="D121" s="13" t="s">
        <v>384</v>
      </c>
    </row>
    <row r="122" hidden="1">
      <c r="A122" s="10">
        <v>411.0</v>
      </c>
      <c r="B122" s="11" t="s">
        <v>250</v>
      </c>
      <c r="C122" s="12" t="s">
        <v>385</v>
      </c>
      <c r="D122" s="13" t="s">
        <v>386</v>
      </c>
      <c r="F122" s="17"/>
    </row>
    <row r="123">
      <c r="A123" s="14">
        <v>988.0</v>
      </c>
      <c r="B123" s="15" t="s">
        <v>237</v>
      </c>
      <c r="C123" s="15" t="s">
        <v>220</v>
      </c>
      <c r="D123" s="16" t="s">
        <v>387</v>
      </c>
    </row>
    <row r="124" hidden="1">
      <c r="A124" s="10">
        <v>418.0</v>
      </c>
      <c r="B124" s="11" t="s">
        <v>240</v>
      </c>
      <c r="C124" s="12" t="s">
        <v>103</v>
      </c>
      <c r="D124" s="13" t="s">
        <v>388</v>
      </c>
    </row>
    <row r="125" hidden="1">
      <c r="A125" s="10">
        <v>428.0</v>
      </c>
      <c r="B125" s="11" t="s">
        <v>238</v>
      </c>
      <c r="C125" s="12" t="s">
        <v>104</v>
      </c>
      <c r="D125" s="13" t="s">
        <v>389</v>
      </c>
    </row>
    <row r="126" hidden="1">
      <c r="A126" s="10">
        <v>429.0</v>
      </c>
      <c r="B126" s="15" t="s">
        <v>239</v>
      </c>
      <c r="C126" s="15" t="s">
        <v>105</v>
      </c>
      <c r="D126" s="13" t="s">
        <v>279</v>
      </c>
      <c r="F126" s="17"/>
    </row>
    <row r="127" hidden="1">
      <c r="A127" s="10">
        <v>430.0</v>
      </c>
      <c r="B127" s="11" t="s">
        <v>238</v>
      </c>
      <c r="C127" s="12" t="s">
        <v>106</v>
      </c>
      <c r="D127" s="13" t="s">
        <v>390</v>
      </c>
    </row>
    <row r="128" hidden="1">
      <c r="A128" s="10">
        <v>432.0</v>
      </c>
      <c r="B128" s="11" t="s">
        <v>239</v>
      </c>
      <c r="C128" s="12" t="s">
        <v>107</v>
      </c>
      <c r="D128" s="13" t="s">
        <v>391</v>
      </c>
    </row>
    <row r="129" hidden="1">
      <c r="A129" s="14">
        <v>441.0</v>
      </c>
      <c r="B129" s="15" t="s">
        <v>239</v>
      </c>
      <c r="C129" s="15" t="s">
        <v>108</v>
      </c>
      <c r="D129" s="13" t="s">
        <v>392</v>
      </c>
    </row>
    <row r="130" hidden="1">
      <c r="A130" s="10">
        <v>442.0</v>
      </c>
      <c r="B130" s="11" t="s">
        <v>238</v>
      </c>
      <c r="C130" s="12" t="s">
        <v>393</v>
      </c>
      <c r="D130" s="13" t="s">
        <v>394</v>
      </c>
    </row>
    <row r="131" hidden="1">
      <c r="A131" s="10">
        <v>444.0</v>
      </c>
      <c r="B131" s="11" t="s">
        <v>238</v>
      </c>
      <c r="C131" s="12" t="s">
        <v>109</v>
      </c>
      <c r="D131" s="13" t="s">
        <v>395</v>
      </c>
      <c r="F131" s="17"/>
    </row>
    <row r="132" hidden="1">
      <c r="A132" s="10">
        <v>446.0</v>
      </c>
      <c r="B132" s="11" t="s">
        <v>238</v>
      </c>
      <c r="C132" s="12" t="s">
        <v>110</v>
      </c>
      <c r="D132" s="13" t="s">
        <v>396</v>
      </c>
    </row>
    <row r="133" hidden="1">
      <c r="A133" s="10">
        <v>447.0</v>
      </c>
      <c r="B133" s="11" t="s">
        <v>240</v>
      </c>
      <c r="C133" s="12" t="s">
        <v>111</v>
      </c>
      <c r="D133" s="13" t="s">
        <v>397</v>
      </c>
    </row>
    <row r="134" hidden="1">
      <c r="A134" s="10">
        <v>451.0</v>
      </c>
      <c r="B134" s="11" t="s">
        <v>239</v>
      </c>
      <c r="C134" s="12" t="s">
        <v>112</v>
      </c>
      <c r="D134" s="13" t="s">
        <v>398</v>
      </c>
    </row>
    <row r="135">
      <c r="A135" s="10">
        <v>212.0</v>
      </c>
      <c r="B135" s="11" t="s">
        <v>237</v>
      </c>
      <c r="C135" s="12" t="s">
        <v>42</v>
      </c>
      <c r="D135" s="13" t="s">
        <v>399</v>
      </c>
      <c r="F135" s="17"/>
    </row>
    <row r="136" hidden="1">
      <c r="A136" s="10">
        <v>457.0</v>
      </c>
      <c r="B136" s="11" t="s">
        <v>239</v>
      </c>
      <c r="C136" s="12" t="s">
        <v>114</v>
      </c>
      <c r="D136" s="13" t="s">
        <v>400</v>
      </c>
    </row>
    <row r="137" hidden="1">
      <c r="A137" s="10">
        <v>465.0</v>
      </c>
      <c r="B137" s="11" t="s">
        <v>250</v>
      </c>
      <c r="C137" s="12" t="s">
        <v>401</v>
      </c>
      <c r="D137" s="13" t="s">
        <v>402</v>
      </c>
    </row>
    <row r="138" hidden="1">
      <c r="A138" s="14">
        <v>466.0</v>
      </c>
      <c r="B138" s="15" t="s">
        <v>239</v>
      </c>
      <c r="C138" s="15" t="s">
        <v>115</v>
      </c>
      <c r="D138" s="13" t="s">
        <v>403</v>
      </c>
      <c r="F138" s="17"/>
    </row>
    <row r="139" hidden="1">
      <c r="A139" s="10">
        <v>470.0</v>
      </c>
      <c r="B139" s="15" t="s">
        <v>239</v>
      </c>
      <c r="C139" s="15" t="s">
        <v>116</v>
      </c>
      <c r="D139" s="13" t="s">
        <v>404</v>
      </c>
    </row>
    <row r="140" hidden="1">
      <c r="A140" s="10">
        <v>472.0</v>
      </c>
      <c r="B140" s="11" t="s">
        <v>238</v>
      </c>
      <c r="C140" s="12" t="s">
        <v>117</v>
      </c>
      <c r="D140" s="13" t="s">
        <v>405</v>
      </c>
      <c r="F140" s="17"/>
    </row>
    <row r="141" hidden="1">
      <c r="A141" s="10">
        <v>473.0</v>
      </c>
      <c r="B141" s="11" t="s">
        <v>250</v>
      </c>
      <c r="C141" s="12" t="s">
        <v>406</v>
      </c>
      <c r="D141" s="13" t="s">
        <v>407</v>
      </c>
      <c r="I141" s="3" t="s">
        <v>408</v>
      </c>
    </row>
    <row r="142" hidden="1">
      <c r="A142" s="14">
        <v>474.0</v>
      </c>
      <c r="B142" s="15" t="s">
        <v>239</v>
      </c>
      <c r="C142" s="15" t="s">
        <v>118</v>
      </c>
      <c r="D142" s="13" t="s">
        <v>409</v>
      </c>
    </row>
    <row r="143" hidden="1">
      <c r="A143" s="14">
        <v>476.0</v>
      </c>
      <c r="B143" s="15" t="s">
        <v>239</v>
      </c>
      <c r="C143" s="15" t="s">
        <v>119</v>
      </c>
      <c r="D143" s="13" t="s">
        <v>410</v>
      </c>
    </row>
    <row r="144" hidden="1">
      <c r="A144" s="10">
        <v>477.0</v>
      </c>
      <c r="B144" s="11" t="s">
        <v>243</v>
      </c>
      <c r="C144" s="12" t="s">
        <v>120</v>
      </c>
      <c r="D144" s="13" t="s">
        <v>411</v>
      </c>
    </row>
    <row r="145" hidden="1">
      <c r="A145" s="10">
        <v>478.0</v>
      </c>
      <c r="B145" s="15" t="s">
        <v>239</v>
      </c>
      <c r="C145" s="15" t="s">
        <v>121</v>
      </c>
      <c r="D145" s="13" t="s">
        <v>412</v>
      </c>
    </row>
    <row r="146" hidden="1">
      <c r="A146" s="10">
        <v>483.0</v>
      </c>
      <c r="B146" s="11" t="s">
        <v>250</v>
      </c>
      <c r="C146" s="12" t="s">
        <v>413</v>
      </c>
      <c r="D146" s="13" t="s">
        <v>414</v>
      </c>
    </row>
    <row r="147" hidden="1">
      <c r="A147" s="14">
        <v>485.0</v>
      </c>
      <c r="B147" s="15" t="s">
        <v>243</v>
      </c>
      <c r="C147" s="15" t="s">
        <v>122</v>
      </c>
      <c r="D147" s="13" t="s">
        <v>415</v>
      </c>
    </row>
    <row r="148" hidden="1">
      <c r="A148" s="10">
        <v>487.0</v>
      </c>
      <c r="B148" s="11" t="s">
        <v>239</v>
      </c>
      <c r="C148" s="12" t="s">
        <v>123</v>
      </c>
      <c r="D148" s="13" t="s">
        <v>416</v>
      </c>
    </row>
    <row r="149" hidden="1">
      <c r="A149" s="10">
        <v>495.0</v>
      </c>
      <c r="B149" s="11" t="s">
        <v>250</v>
      </c>
      <c r="C149" s="12" t="s">
        <v>417</v>
      </c>
      <c r="D149" s="13" t="s">
        <v>418</v>
      </c>
    </row>
    <row r="150" hidden="1">
      <c r="A150" s="10">
        <v>496.0</v>
      </c>
      <c r="B150" s="11" t="s">
        <v>238</v>
      </c>
      <c r="C150" s="12" t="s">
        <v>124</v>
      </c>
      <c r="D150" s="13" t="s">
        <v>419</v>
      </c>
    </row>
    <row r="151" hidden="1">
      <c r="A151" s="10">
        <v>502.0</v>
      </c>
      <c r="B151" s="15" t="s">
        <v>250</v>
      </c>
      <c r="C151" s="15" t="s">
        <v>420</v>
      </c>
      <c r="D151" s="13" t="s">
        <v>421</v>
      </c>
    </row>
    <row r="152">
      <c r="A152" s="10">
        <v>215.0</v>
      </c>
      <c r="B152" s="11" t="s">
        <v>237</v>
      </c>
      <c r="C152" s="12" t="s">
        <v>44</v>
      </c>
      <c r="D152" s="13" t="s">
        <v>422</v>
      </c>
    </row>
    <row r="153" hidden="1">
      <c r="A153" s="10">
        <v>522.0</v>
      </c>
      <c r="B153" s="11" t="s">
        <v>238</v>
      </c>
      <c r="C153" s="12" t="s">
        <v>126</v>
      </c>
      <c r="D153" s="13" t="s">
        <v>423</v>
      </c>
    </row>
    <row r="154">
      <c r="A154" s="14">
        <v>942.0</v>
      </c>
      <c r="B154" s="15" t="s">
        <v>237</v>
      </c>
      <c r="C154" s="15" t="s">
        <v>216</v>
      </c>
      <c r="D154" s="16" t="s">
        <v>424</v>
      </c>
    </row>
    <row r="155">
      <c r="A155" s="10">
        <v>529.0</v>
      </c>
      <c r="B155" s="11" t="s">
        <v>237</v>
      </c>
      <c r="C155" s="12" t="s">
        <v>127</v>
      </c>
      <c r="D155" s="13" t="s">
        <v>425</v>
      </c>
    </row>
    <row r="156" hidden="1">
      <c r="A156" s="10">
        <v>539.0</v>
      </c>
      <c r="B156" s="11" t="s">
        <v>250</v>
      </c>
      <c r="C156" s="12" t="s">
        <v>426</v>
      </c>
      <c r="D156" s="13" t="s">
        <v>427</v>
      </c>
    </row>
    <row r="157" hidden="1">
      <c r="A157" s="10">
        <v>541.0</v>
      </c>
      <c r="B157" s="11" t="s">
        <v>250</v>
      </c>
      <c r="C157" s="12" t="s">
        <v>428</v>
      </c>
      <c r="D157" s="13" t="s">
        <v>429</v>
      </c>
    </row>
    <row r="158" hidden="1">
      <c r="A158" s="10">
        <v>542.0</v>
      </c>
      <c r="B158" s="11" t="s">
        <v>239</v>
      </c>
      <c r="C158" s="12" t="s">
        <v>430</v>
      </c>
      <c r="D158" s="13" t="s">
        <v>431</v>
      </c>
    </row>
    <row r="159" hidden="1">
      <c r="A159" s="14">
        <v>543.0</v>
      </c>
      <c r="B159" s="15" t="s">
        <v>239</v>
      </c>
      <c r="C159" s="15" t="s">
        <v>129</v>
      </c>
      <c r="D159" s="13" t="s">
        <v>432</v>
      </c>
    </row>
    <row r="160">
      <c r="A160" s="14">
        <v>783.0</v>
      </c>
      <c r="B160" s="15" t="s">
        <v>237</v>
      </c>
      <c r="C160" s="15" t="s">
        <v>195</v>
      </c>
      <c r="D160" s="16" t="s">
        <v>433</v>
      </c>
    </row>
    <row r="161" hidden="1">
      <c r="A161" s="10">
        <v>545.0</v>
      </c>
      <c r="B161" s="11" t="s">
        <v>250</v>
      </c>
      <c r="C161" s="12" t="s">
        <v>434</v>
      </c>
      <c r="D161" s="13" t="s">
        <v>435</v>
      </c>
    </row>
    <row r="162" hidden="1">
      <c r="A162" s="10">
        <v>547.0</v>
      </c>
      <c r="B162" s="11" t="s">
        <v>239</v>
      </c>
      <c r="C162" s="12" t="s">
        <v>131</v>
      </c>
      <c r="D162" s="13" t="s">
        <v>436</v>
      </c>
    </row>
    <row r="163" hidden="1">
      <c r="A163" s="10">
        <v>548.0</v>
      </c>
      <c r="B163" s="11" t="s">
        <v>238</v>
      </c>
      <c r="C163" s="12" t="s">
        <v>437</v>
      </c>
      <c r="D163" s="13" t="s">
        <v>438</v>
      </c>
    </row>
    <row r="164" hidden="1">
      <c r="A164" s="10">
        <v>549.0</v>
      </c>
      <c r="B164" s="11" t="s">
        <v>238</v>
      </c>
      <c r="C164" s="12" t="s">
        <v>132</v>
      </c>
      <c r="D164" s="13" t="s">
        <v>439</v>
      </c>
    </row>
    <row r="165" hidden="1">
      <c r="A165" s="10">
        <v>555.0</v>
      </c>
      <c r="B165" s="11" t="s">
        <v>250</v>
      </c>
      <c r="C165" s="12" t="s">
        <v>440</v>
      </c>
      <c r="D165" s="13" t="s">
        <v>441</v>
      </c>
    </row>
    <row r="166" hidden="1">
      <c r="A166" s="10">
        <v>563.0</v>
      </c>
      <c r="B166" s="11" t="s">
        <v>238</v>
      </c>
      <c r="C166" s="12" t="s">
        <v>133</v>
      </c>
      <c r="D166" s="13" t="s">
        <v>442</v>
      </c>
    </row>
    <row r="167" hidden="1">
      <c r="A167" s="10">
        <v>565.0</v>
      </c>
      <c r="B167" s="11" t="s">
        <v>250</v>
      </c>
      <c r="C167" s="12" t="s">
        <v>443</v>
      </c>
      <c r="D167" s="13" t="s">
        <v>444</v>
      </c>
    </row>
    <row r="168" hidden="1">
      <c r="A168" s="14">
        <v>580.0</v>
      </c>
      <c r="B168" s="15" t="s">
        <v>239</v>
      </c>
      <c r="C168" s="15" t="s">
        <v>134</v>
      </c>
      <c r="D168" s="13" t="s">
        <v>445</v>
      </c>
    </row>
    <row r="169" hidden="1">
      <c r="A169" s="10">
        <v>581.0</v>
      </c>
      <c r="B169" s="11" t="s">
        <v>239</v>
      </c>
      <c r="C169" s="12" t="s">
        <v>135</v>
      </c>
      <c r="D169" s="13" t="s">
        <v>446</v>
      </c>
    </row>
    <row r="170" hidden="1">
      <c r="A170" s="10">
        <v>583.0</v>
      </c>
      <c r="B170" s="11" t="s">
        <v>239</v>
      </c>
      <c r="C170" s="12" t="s">
        <v>136</v>
      </c>
      <c r="D170" s="13" t="s">
        <v>447</v>
      </c>
    </row>
    <row r="171" hidden="1">
      <c r="A171" s="10">
        <v>587.0</v>
      </c>
      <c r="B171" s="11" t="s">
        <v>239</v>
      </c>
      <c r="C171" s="12" t="s">
        <v>137</v>
      </c>
      <c r="D171" s="13" t="s">
        <v>448</v>
      </c>
    </row>
    <row r="172" hidden="1">
      <c r="A172" s="10">
        <v>590.0</v>
      </c>
      <c r="B172" s="11" t="s">
        <v>238</v>
      </c>
      <c r="C172" s="12" t="s">
        <v>139</v>
      </c>
      <c r="D172" s="13" t="s">
        <v>449</v>
      </c>
    </row>
    <row r="173" hidden="1">
      <c r="A173" s="10">
        <v>601.0</v>
      </c>
      <c r="B173" s="11" t="s">
        <v>239</v>
      </c>
      <c r="C173" s="12" t="s">
        <v>450</v>
      </c>
      <c r="D173" s="13" t="s">
        <v>451</v>
      </c>
    </row>
    <row r="174" hidden="1">
      <c r="A174" s="10">
        <v>605.0</v>
      </c>
      <c r="B174" s="11" t="s">
        <v>238</v>
      </c>
      <c r="C174" s="12" t="s">
        <v>141</v>
      </c>
      <c r="D174" s="13" t="s">
        <v>452</v>
      </c>
    </row>
    <row r="175" hidden="1">
      <c r="A175" s="10">
        <v>611.0</v>
      </c>
      <c r="B175" s="11" t="s">
        <v>240</v>
      </c>
      <c r="C175" s="15" t="s">
        <v>142</v>
      </c>
      <c r="D175" s="13" t="s">
        <v>301</v>
      </c>
    </row>
    <row r="176">
      <c r="A176" s="14">
        <v>1066.0</v>
      </c>
      <c r="B176" s="15" t="s">
        <v>237</v>
      </c>
      <c r="C176" s="15" t="s">
        <v>232</v>
      </c>
      <c r="D176" s="16" t="s">
        <v>453</v>
      </c>
    </row>
    <row r="177" hidden="1">
      <c r="A177" s="14">
        <v>613.0</v>
      </c>
      <c r="B177" s="15" t="s">
        <v>240</v>
      </c>
      <c r="C177" s="15" t="s">
        <v>144</v>
      </c>
      <c r="D177" s="13" t="s">
        <v>454</v>
      </c>
    </row>
    <row r="178" hidden="1">
      <c r="A178" s="10">
        <v>614.0</v>
      </c>
      <c r="B178" s="11" t="s">
        <v>238</v>
      </c>
      <c r="C178" s="12" t="s">
        <v>145</v>
      </c>
      <c r="D178" s="13" t="s">
        <v>455</v>
      </c>
    </row>
    <row r="179" hidden="1">
      <c r="A179" s="10">
        <v>615.0</v>
      </c>
      <c r="B179" s="11" t="s">
        <v>239</v>
      </c>
      <c r="C179" s="12" t="s">
        <v>146</v>
      </c>
      <c r="D179" s="13" t="s">
        <v>456</v>
      </c>
    </row>
    <row r="180" hidden="1">
      <c r="A180" s="10">
        <v>618.0</v>
      </c>
      <c r="B180" s="11" t="s">
        <v>238</v>
      </c>
      <c r="C180" s="12" t="s">
        <v>457</v>
      </c>
      <c r="D180" s="13" t="s">
        <v>458</v>
      </c>
    </row>
    <row r="181" hidden="1">
      <c r="A181" s="10">
        <v>620.0</v>
      </c>
      <c r="B181" s="11" t="s">
        <v>250</v>
      </c>
      <c r="C181" s="12" t="s">
        <v>459</v>
      </c>
      <c r="D181" s="13" t="s">
        <v>460</v>
      </c>
    </row>
    <row r="182" hidden="1">
      <c r="A182" s="10">
        <v>621.0</v>
      </c>
      <c r="B182" s="11" t="s">
        <v>240</v>
      </c>
      <c r="C182" s="12" t="s">
        <v>147</v>
      </c>
      <c r="D182" s="13" t="s">
        <v>461</v>
      </c>
    </row>
    <row r="183" hidden="1">
      <c r="A183" s="10">
        <v>622.0</v>
      </c>
      <c r="B183" s="11" t="s">
        <v>239</v>
      </c>
      <c r="C183" s="12" t="s">
        <v>148</v>
      </c>
      <c r="D183" s="13" t="s">
        <v>462</v>
      </c>
    </row>
    <row r="184" hidden="1">
      <c r="A184" s="10">
        <v>627.0</v>
      </c>
      <c r="B184" s="11" t="s">
        <v>238</v>
      </c>
      <c r="C184" s="12" t="s">
        <v>149</v>
      </c>
      <c r="D184" s="13" t="s">
        <v>463</v>
      </c>
    </row>
    <row r="185" hidden="1">
      <c r="A185" s="10">
        <v>628.0</v>
      </c>
      <c r="B185" s="11" t="s">
        <v>238</v>
      </c>
      <c r="C185" s="12" t="s">
        <v>150</v>
      </c>
      <c r="D185" s="13" t="s">
        <v>464</v>
      </c>
    </row>
    <row r="186" hidden="1">
      <c r="A186" s="10">
        <v>631.0</v>
      </c>
      <c r="B186" s="11" t="s">
        <v>240</v>
      </c>
      <c r="C186" s="12" t="s">
        <v>152</v>
      </c>
      <c r="D186" s="13" t="s">
        <v>465</v>
      </c>
    </row>
    <row r="187" hidden="1">
      <c r="A187" s="10">
        <v>652.0</v>
      </c>
      <c r="B187" s="11" t="s">
        <v>250</v>
      </c>
      <c r="C187" s="12" t="s">
        <v>466</v>
      </c>
      <c r="D187" s="13" t="s">
        <v>467</v>
      </c>
    </row>
    <row r="188">
      <c r="A188" s="10">
        <v>37.0</v>
      </c>
      <c r="B188" s="11" t="s">
        <v>237</v>
      </c>
      <c r="C188" s="12" t="s">
        <v>6</v>
      </c>
      <c r="D188" s="13" t="s">
        <v>468</v>
      </c>
    </row>
    <row r="189" hidden="1">
      <c r="A189" s="10">
        <v>657.0</v>
      </c>
      <c r="B189" s="11" t="s">
        <v>238</v>
      </c>
      <c r="C189" s="12" t="s">
        <v>154</v>
      </c>
      <c r="D189" s="13" t="s">
        <v>469</v>
      </c>
    </row>
    <row r="190" hidden="1">
      <c r="A190" s="10">
        <v>664.0</v>
      </c>
      <c r="B190" s="11" t="s">
        <v>250</v>
      </c>
      <c r="C190" s="12" t="s">
        <v>470</v>
      </c>
      <c r="D190" s="13" t="s">
        <v>471</v>
      </c>
    </row>
    <row r="191" hidden="1">
      <c r="A191" s="10">
        <v>665.0</v>
      </c>
      <c r="B191" s="11" t="s">
        <v>239</v>
      </c>
      <c r="C191" s="12" t="s">
        <v>472</v>
      </c>
      <c r="D191" s="13" t="s">
        <v>473</v>
      </c>
    </row>
    <row r="192" hidden="1">
      <c r="A192" s="10">
        <v>666.0</v>
      </c>
      <c r="B192" s="11" t="s">
        <v>250</v>
      </c>
      <c r="C192" s="12" t="s">
        <v>474</v>
      </c>
      <c r="D192" s="13" t="s">
        <v>475</v>
      </c>
    </row>
    <row r="193" hidden="1">
      <c r="A193" s="10">
        <v>667.0</v>
      </c>
      <c r="B193" s="11" t="s">
        <v>250</v>
      </c>
      <c r="C193" s="12" t="s">
        <v>476</v>
      </c>
      <c r="D193" s="13" t="s">
        <v>477</v>
      </c>
    </row>
    <row r="194" hidden="1">
      <c r="A194" s="10">
        <v>669.0</v>
      </c>
      <c r="B194" s="11" t="s">
        <v>240</v>
      </c>
      <c r="C194" s="12" t="s">
        <v>155</v>
      </c>
      <c r="D194" s="13" t="s">
        <v>478</v>
      </c>
    </row>
    <row r="195" hidden="1">
      <c r="A195" s="10">
        <v>672.0</v>
      </c>
      <c r="B195" s="11" t="s">
        <v>238</v>
      </c>
      <c r="C195" s="12" t="s">
        <v>479</v>
      </c>
      <c r="D195" s="13" t="s">
        <v>480</v>
      </c>
    </row>
    <row r="196" hidden="1">
      <c r="A196" s="10">
        <v>675.0</v>
      </c>
      <c r="B196" s="11" t="s">
        <v>240</v>
      </c>
      <c r="C196" s="12" t="s">
        <v>156</v>
      </c>
      <c r="D196" s="13" t="s">
        <v>481</v>
      </c>
    </row>
    <row r="197" hidden="1">
      <c r="A197" s="10">
        <v>682.0</v>
      </c>
      <c r="B197" s="11" t="s">
        <v>239</v>
      </c>
      <c r="C197" s="12" t="s">
        <v>157</v>
      </c>
      <c r="D197" s="13" t="s">
        <v>482</v>
      </c>
    </row>
    <row r="198" hidden="1">
      <c r="A198" s="10">
        <v>684.0</v>
      </c>
      <c r="B198" s="11" t="s">
        <v>240</v>
      </c>
      <c r="C198" s="12" t="s">
        <v>158</v>
      </c>
      <c r="D198" s="13" t="s">
        <v>483</v>
      </c>
    </row>
    <row r="199" hidden="1">
      <c r="A199" s="10">
        <v>685.0</v>
      </c>
      <c r="B199" s="11" t="s">
        <v>250</v>
      </c>
      <c r="C199" s="12" t="s">
        <v>484</v>
      </c>
      <c r="D199" s="13" t="s">
        <v>485</v>
      </c>
    </row>
    <row r="200" hidden="1">
      <c r="A200" s="10">
        <v>686.0</v>
      </c>
      <c r="B200" s="11" t="s">
        <v>239</v>
      </c>
      <c r="C200" s="12" t="s">
        <v>159</v>
      </c>
      <c r="D200" s="13" t="s">
        <v>486</v>
      </c>
    </row>
    <row r="201" hidden="1">
      <c r="A201" s="10">
        <v>692.0</v>
      </c>
      <c r="B201" s="11" t="s">
        <v>238</v>
      </c>
      <c r="C201" s="12" t="s">
        <v>160</v>
      </c>
      <c r="D201" s="13" t="s">
        <v>487</v>
      </c>
    </row>
    <row r="202" hidden="1">
      <c r="A202" s="10">
        <v>693.0</v>
      </c>
      <c r="B202" s="11" t="s">
        <v>239</v>
      </c>
      <c r="C202" s="12" t="s">
        <v>161</v>
      </c>
      <c r="D202" s="13" t="s">
        <v>279</v>
      </c>
    </row>
    <row r="203" hidden="1">
      <c r="A203" s="10">
        <v>698.0</v>
      </c>
      <c r="B203" s="11" t="s">
        <v>239</v>
      </c>
      <c r="C203" s="12" t="s">
        <v>162</v>
      </c>
      <c r="D203" s="13" t="s">
        <v>488</v>
      </c>
    </row>
    <row r="204" hidden="1">
      <c r="A204" s="10">
        <v>700.0</v>
      </c>
      <c r="B204" s="11" t="s">
        <v>238</v>
      </c>
      <c r="C204" s="12" t="s">
        <v>163</v>
      </c>
      <c r="D204" s="13" t="s">
        <v>489</v>
      </c>
    </row>
    <row r="205" hidden="1">
      <c r="A205" s="10">
        <v>702.0</v>
      </c>
      <c r="B205" s="11" t="s">
        <v>239</v>
      </c>
      <c r="C205" s="12" t="s">
        <v>490</v>
      </c>
      <c r="D205" s="13" t="s">
        <v>491</v>
      </c>
    </row>
    <row r="206">
      <c r="A206" s="14">
        <v>761.0</v>
      </c>
      <c r="B206" s="15" t="s">
        <v>237</v>
      </c>
      <c r="C206" s="15" t="s">
        <v>186</v>
      </c>
      <c r="D206" s="16" t="s">
        <v>492</v>
      </c>
    </row>
    <row r="207" hidden="1">
      <c r="A207" s="10">
        <v>706.0</v>
      </c>
      <c r="B207" s="11" t="s">
        <v>243</v>
      </c>
      <c r="C207" s="12" t="s">
        <v>165</v>
      </c>
      <c r="D207" s="13" t="s">
        <v>493</v>
      </c>
    </row>
    <row r="208" hidden="1">
      <c r="A208" s="10">
        <v>707.0</v>
      </c>
      <c r="B208" s="11" t="s">
        <v>239</v>
      </c>
      <c r="C208" s="12" t="s">
        <v>166</v>
      </c>
      <c r="D208" s="13" t="s">
        <v>494</v>
      </c>
    </row>
    <row r="209" hidden="1">
      <c r="A209" s="10">
        <v>711.0</v>
      </c>
      <c r="B209" s="11" t="s">
        <v>239</v>
      </c>
      <c r="C209" s="12" t="s">
        <v>167</v>
      </c>
      <c r="D209" s="13" t="s">
        <v>495</v>
      </c>
    </row>
    <row r="210" hidden="1">
      <c r="A210" s="10">
        <v>714.0</v>
      </c>
      <c r="B210" s="11" t="s">
        <v>239</v>
      </c>
      <c r="C210" s="12" t="s">
        <v>168</v>
      </c>
      <c r="D210" s="13" t="s">
        <v>496</v>
      </c>
    </row>
    <row r="211" hidden="1">
      <c r="A211" s="10">
        <v>717.0</v>
      </c>
      <c r="B211" s="11" t="s">
        <v>239</v>
      </c>
      <c r="C211" s="12" t="s">
        <v>169</v>
      </c>
      <c r="D211" s="13" t="s">
        <v>497</v>
      </c>
    </row>
    <row r="212">
      <c r="A212" s="10">
        <v>315.0</v>
      </c>
      <c r="B212" s="11" t="s">
        <v>237</v>
      </c>
      <c r="C212" s="12" t="s">
        <v>78</v>
      </c>
      <c r="D212" s="13" t="s">
        <v>498</v>
      </c>
    </row>
    <row r="213" hidden="1">
      <c r="A213" s="10">
        <v>720.0</v>
      </c>
      <c r="B213" s="11" t="s">
        <v>250</v>
      </c>
      <c r="C213" s="12" t="s">
        <v>499</v>
      </c>
      <c r="D213" s="13" t="s">
        <v>500</v>
      </c>
    </row>
    <row r="214">
      <c r="A214" s="10">
        <v>721.0</v>
      </c>
      <c r="B214" s="11" t="s">
        <v>237</v>
      </c>
      <c r="C214" s="12" t="s">
        <v>501</v>
      </c>
      <c r="D214" s="13" t="s">
        <v>298</v>
      </c>
    </row>
    <row r="215" hidden="1">
      <c r="A215" s="10">
        <v>722.0</v>
      </c>
      <c r="B215" s="11" t="s">
        <v>239</v>
      </c>
      <c r="C215" s="12" t="s">
        <v>171</v>
      </c>
      <c r="D215" s="13" t="s">
        <v>502</v>
      </c>
    </row>
    <row r="216">
      <c r="A216" s="14">
        <v>753.0</v>
      </c>
      <c r="B216" s="15" t="s">
        <v>237</v>
      </c>
      <c r="C216" s="15" t="s">
        <v>182</v>
      </c>
      <c r="D216" s="16" t="s">
        <v>503</v>
      </c>
    </row>
    <row r="217" hidden="1">
      <c r="A217" s="10">
        <v>726.0</v>
      </c>
      <c r="B217" s="11" t="s">
        <v>239</v>
      </c>
      <c r="C217" s="12" t="s">
        <v>173</v>
      </c>
      <c r="D217" s="13" t="s">
        <v>504</v>
      </c>
    </row>
    <row r="218" hidden="1">
      <c r="A218" s="10">
        <v>732.0</v>
      </c>
      <c r="B218" s="11" t="s">
        <v>240</v>
      </c>
      <c r="C218" s="12" t="s">
        <v>174</v>
      </c>
      <c r="D218" s="13" t="s">
        <v>505</v>
      </c>
    </row>
    <row r="219">
      <c r="A219" s="18">
        <v>933.0</v>
      </c>
      <c r="B219" s="19" t="s">
        <v>237</v>
      </c>
      <c r="C219" s="19" t="s">
        <v>213</v>
      </c>
      <c r="D219" s="20" t="s">
        <v>506</v>
      </c>
    </row>
    <row r="220" hidden="1">
      <c r="A220" s="18">
        <v>740.0</v>
      </c>
      <c r="B220" s="19" t="s">
        <v>239</v>
      </c>
      <c r="C220" s="19" t="s">
        <v>175</v>
      </c>
      <c r="D220" s="20" t="s">
        <v>507</v>
      </c>
    </row>
    <row r="221" hidden="1">
      <c r="A221" s="18">
        <v>741.0</v>
      </c>
      <c r="B221" s="19" t="s">
        <v>238</v>
      </c>
      <c r="C221" s="19" t="s">
        <v>176</v>
      </c>
      <c r="D221" s="20" t="s">
        <v>508</v>
      </c>
    </row>
    <row r="222">
      <c r="A222" s="18">
        <v>762.0</v>
      </c>
      <c r="B222" s="19" t="s">
        <v>237</v>
      </c>
      <c r="C222" s="19" t="s">
        <v>187</v>
      </c>
      <c r="D222" s="20" t="s">
        <v>509</v>
      </c>
    </row>
    <row r="223">
      <c r="A223" s="21">
        <v>333.0</v>
      </c>
      <c r="B223" s="22" t="s">
        <v>237</v>
      </c>
      <c r="C223" s="23" t="s">
        <v>81</v>
      </c>
      <c r="D223" s="24" t="s">
        <v>510</v>
      </c>
    </row>
    <row r="224">
      <c r="A224" s="21">
        <v>359.0</v>
      </c>
      <c r="B224" s="22" t="s">
        <v>237</v>
      </c>
      <c r="C224" s="23" t="s">
        <v>89</v>
      </c>
      <c r="D224" s="24" t="s">
        <v>279</v>
      </c>
    </row>
    <row r="225">
      <c r="A225" s="18">
        <v>945.0</v>
      </c>
      <c r="B225" s="19" t="s">
        <v>237</v>
      </c>
      <c r="C225" s="19" t="s">
        <v>217</v>
      </c>
      <c r="D225" s="20" t="s">
        <v>511</v>
      </c>
    </row>
    <row r="226">
      <c r="A226" s="18">
        <v>746.0</v>
      </c>
      <c r="B226" s="19" t="s">
        <v>237</v>
      </c>
      <c r="C226" s="19" t="s">
        <v>178</v>
      </c>
      <c r="D226" s="20" t="s">
        <v>512</v>
      </c>
    </row>
    <row r="227">
      <c r="A227" s="21">
        <v>235.0</v>
      </c>
      <c r="B227" s="22" t="s">
        <v>237</v>
      </c>
      <c r="C227" s="23" t="s">
        <v>54</v>
      </c>
      <c r="D227" s="24" t="s">
        <v>513</v>
      </c>
    </row>
    <row r="228">
      <c r="A228" s="21">
        <v>413.0</v>
      </c>
      <c r="B228" s="22" t="s">
        <v>237</v>
      </c>
      <c r="C228" s="23" t="s">
        <v>101</v>
      </c>
      <c r="D228" s="24" t="s">
        <v>514</v>
      </c>
    </row>
    <row r="229" hidden="1">
      <c r="A229" s="18">
        <v>756.0</v>
      </c>
      <c r="B229" s="19" t="s">
        <v>243</v>
      </c>
      <c r="C229" s="19" t="s">
        <v>183</v>
      </c>
      <c r="D229" s="20" t="s">
        <v>515</v>
      </c>
    </row>
    <row r="230" hidden="1">
      <c r="A230" s="18">
        <v>758.0</v>
      </c>
      <c r="B230" s="19" t="s">
        <v>240</v>
      </c>
      <c r="C230" s="19" t="s">
        <v>184</v>
      </c>
      <c r="D230" s="20" t="s">
        <v>516</v>
      </c>
    </row>
    <row r="231">
      <c r="A231" s="18">
        <v>526.0</v>
      </c>
      <c r="B231" s="19" t="s">
        <v>237</v>
      </c>
      <c r="C231" s="19" t="s">
        <v>517</v>
      </c>
      <c r="D231" s="24" t="s">
        <v>518</v>
      </c>
    </row>
    <row r="232">
      <c r="A232" s="18">
        <v>798.0</v>
      </c>
      <c r="B232" s="19" t="s">
        <v>237</v>
      </c>
      <c r="C232" s="19" t="s">
        <v>196</v>
      </c>
      <c r="D232" s="20" t="s">
        <v>519</v>
      </c>
    </row>
    <row r="233">
      <c r="A233" s="18">
        <v>806.0</v>
      </c>
      <c r="B233" s="19" t="s">
        <v>237</v>
      </c>
      <c r="C233" s="19" t="s">
        <v>197</v>
      </c>
      <c r="D233" s="20" t="s">
        <v>520</v>
      </c>
    </row>
    <row r="234" hidden="1">
      <c r="A234" s="18">
        <v>763.0</v>
      </c>
      <c r="B234" s="19" t="s">
        <v>239</v>
      </c>
      <c r="C234" s="19" t="s">
        <v>188</v>
      </c>
      <c r="D234" s="20" t="s">
        <v>521</v>
      </c>
    </row>
    <row r="235" hidden="1">
      <c r="A235" s="18">
        <v>765.0</v>
      </c>
      <c r="B235" s="19" t="s">
        <v>240</v>
      </c>
      <c r="C235" s="19" t="s">
        <v>189</v>
      </c>
      <c r="D235" s="20" t="s">
        <v>522</v>
      </c>
    </row>
    <row r="236" hidden="1">
      <c r="A236" s="18">
        <v>770.0</v>
      </c>
      <c r="B236" s="19" t="s">
        <v>240</v>
      </c>
      <c r="C236" s="19" t="s">
        <v>190</v>
      </c>
      <c r="D236" s="20" t="s">
        <v>523</v>
      </c>
    </row>
    <row r="237">
      <c r="A237" s="18">
        <v>777.0</v>
      </c>
      <c r="B237" s="19" t="s">
        <v>237</v>
      </c>
      <c r="C237" s="19" t="s">
        <v>194</v>
      </c>
      <c r="D237" s="20" t="s">
        <v>524</v>
      </c>
    </row>
    <row r="238" hidden="1">
      <c r="A238" s="18">
        <v>773.0</v>
      </c>
      <c r="B238" s="19" t="s">
        <v>238</v>
      </c>
      <c r="C238" s="19" t="s">
        <v>192</v>
      </c>
      <c r="D238" s="20" t="s">
        <v>525</v>
      </c>
    </row>
    <row r="239" hidden="1">
      <c r="A239" s="18">
        <v>776.0</v>
      </c>
      <c r="B239" s="19" t="s">
        <v>240</v>
      </c>
      <c r="C239" s="19" t="s">
        <v>193</v>
      </c>
      <c r="D239" s="20" t="s">
        <v>526</v>
      </c>
    </row>
    <row r="240">
      <c r="A240" s="21">
        <v>504.0</v>
      </c>
      <c r="B240" s="22" t="s">
        <v>237</v>
      </c>
      <c r="C240" s="23" t="s">
        <v>125</v>
      </c>
      <c r="D240" s="24" t="s">
        <v>527</v>
      </c>
    </row>
    <row r="241">
      <c r="A241" s="21">
        <v>184.0</v>
      </c>
      <c r="B241" s="22" t="s">
        <v>237</v>
      </c>
      <c r="C241" s="23" t="s">
        <v>37</v>
      </c>
      <c r="D241" s="24" t="s">
        <v>528</v>
      </c>
    </row>
    <row r="242">
      <c r="A242" s="18">
        <v>819.0</v>
      </c>
      <c r="B242" s="19" t="s">
        <v>237</v>
      </c>
      <c r="C242" s="19" t="s">
        <v>200</v>
      </c>
      <c r="D242" s="20" t="s">
        <v>529</v>
      </c>
    </row>
    <row r="243">
      <c r="A243" s="21">
        <v>306.0</v>
      </c>
      <c r="B243" s="22" t="s">
        <v>237</v>
      </c>
      <c r="C243" s="23" t="s">
        <v>75</v>
      </c>
      <c r="D243" s="24" t="s">
        <v>530</v>
      </c>
    </row>
    <row r="244" hidden="1">
      <c r="A244" s="18">
        <v>809.0</v>
      </c>
      <c r="B244" s="19" t="s">
        <v>250</v>
      </c>
      <c r="C244" s="19" t="s">
        <v>531</v>
      </c>
      <c r="D244" s="20" t="s">
        <v>532</v>
      </c>
    </row>
    <row r="245" hidden="1">
      <c r="A245" s="18">
        <v>811.0</v>
      </c>
      <c r="B245" s="19" t="s">
        <v>250</v>
      </c>
      <c r="C245" s="19" t="s">
        <v>533</v>
      </c>
      <c r="D245" s="20" t="s">
        <v>534</v>
      </c>
    </row>
    <row r="246" hidden="1">
      <c r="A246" s="18">
        <v>812.0</v>
      </c>
      <c r="B246" s="19" t="s">
        <v>238</v>
      </c>
      <c r="C246" s="19" t="s">
        <v>198</v>
      </c>
      <c r="D246" s="20" t="s">
        <v>535</v>
      </c>
    </row>
    <row r="247" hidden="1">
      <c r="A247" s="18">
        <v>814.0</v>
      </c>
      <c r="B247" s="19" t="s">
        <v>239</v>
      </c>
      <c r="C247" s="19" t="s">
        <v>199</v>
      </c>
      <c r="D247" s="20" t="s">
        <v>536</v>
      </c>
    </row>
    <row r="248">
      <c r="A248" s="18">
        <v>997.0</v>
      </c>
      <c r="B248" s="19" t="s">
        <v>237</v>
      </c>
      <c r="C248" s="19" t="s">
        <v>537</v>
      </c>
      <c r="D248" s="20" t="s">
        <v>538</v>
      </c>
    </row>
    <row r="249" hidden="1">
      <c r="A249" s="18">
        <v>821.0</v>
      </c>
      <c r="B249" s="19" t="s">
        <v>240</v>
      </c>
      <c r="C249" s="19" t="s">
        <v>201</v>
      </c>
      <c r="D249" s="20" t="s">
        <v>539</v>
      </c>
    </row>
    <row r="250" hidden="1">
      <c r="A250" s="18">
        <v>827.0</v>
      </c>
      <c r="B250" s="19" t="s">
        <v>240</v>
      </c>
      <c r="C250" s="19" t="s">
        <v>202</v>
      </c>
      <c r="D250" s="20" t="s">
        <v>334</v>
      </c>
    </row>
    <row r="251">
      <c r="A251" s="21">
        <v>544.0</v>
      </c>
      <c r="B251" s="22" t="s">
        <v>237</v>
      </c>
      <c r="C251" s="23" t="s">
        <v>130</v>
      </c>
      <c r="D251" s="24" t="s">
        <v>540</v>
      </c>
    </row>
    <row r="252" hidden="1">
      <c r="A252" s="18">
        <v>833.0</v>
      </c>
      <c r="B252" s="19" t="s">
        <v>250</v>
      </c>
      <c r="C252" s="19" t="s">
        <v>541</v>
      </c>
      <c r="D252" s="20" t="s">
        <v>542</v>
      </c>
    </row>
    <row r="253" hidden="1">
      <c r="A253" s="18">
        <v>842.0</v>
      </c>
      <c r="B253" s="19" t="s">
        <v>238</v>
      </c>
      <c r="C253" s="19" t="s">
        <v>204</v>
      </c>
      <c r="D253" s="20" t="s">
        <v>543</v>
      </c>
    </row>
    <row r="254" hidden="1">
      <c r="A254" s="18">
        <v>846.0</v>
      </c>
      <c r="B254" s="19" t="s">
        <v>250</v>
      </c>
      <c r="C254" s="19" t="s">
        <v>544</v>
      </c>
      <c r="D254" s="20" t="s">
        <v>545</v>
      </c>
    </row>
    <row r="255" hidden="1">
      <c r="A255" s="18">
        <v>852.0</v>
      </c>
      <c r="B255" s="19" t="s">
        <v>239</v>
      </c>
      <c r="C255" s="19" t="s">
        <v>205</v>
      </c>
      <c r="D255" s="20" t="s">
        <v>546</v>
      </c>
    </row>
    <row r="256">
      <c r="A256" s="21">
        <v>612.0</v>
      </c>
      <c r="B256" s="22" t="s">
        <v>237</v>
      </c>
      <c r="C256" s="23" t="s">
        <v>143</v>
      </c>
      <c r="D256" s="24" t="s">
        <v>547</v>
      </c>
    </row>
    <row r="257" hidden="1">
      <c r="A257" s="18">
        <v>861.0</v>
      </c>
      <c r="B257" s="19" t="s">
        <v>250</v>
      </c>
      <c r="C257" s="19" t="s">
        <v>548</v>
      </c>
      <c r="D257" s="20" t="s">
        <v>549</v>
      </c>
    </row>
    <row r="258" hidden="1">
      <c r="A258" s="18">
        <v>904.0</v>
      </c>
      <c r="B258" s="19" t="s">
        <v>239</v>
      </c>
      <c r="C258" s="19" t="s">
        <v>208</v>
      </c>
      <c r="D258" s="20" t="s">
        <v>550</v>
      </c>
    </row>
    <row r="259" hidden="1">
      <c r="A259" s="18">
        <v>909.0</v>
      </c>
      <c r="B259" s="19" t="s">
        <v>239</v>
      </c>
      <c r="C259" s="19" t="s">
        <v>551</v>
      </c>
      <c r="D259" s="20" t="s">
        <v>552</v>
      </c>
    </row>
    <row r="260" hidden="1">
      <c r="A260" s="18">
        <v>915.0</v>
      </c>
      <c r="B260" s="19" t="s">
        <v>240</v>
      </c>
      <c r="C260" s="19" t="s">
        <v>553</v>
      </c>
      <c r="D260" s="20" t="s">
        <v>554</v>
      </c>
    </row>
    <row r="261">
      <c r="A261" s="21">
        <v>292.0</v>
      </c>
      <c r="B261" s="22" t="s">
        <v>237</v>
      </c>
      <c r="C261" s="23" t="s">
        <v>555</v>
      </c>
      <c r="D261" s="24" t="s">
        <v>556</v>
      </c>
    </row>
    <row r="262">
      <c r="A262" s="18">
        <v>941.0</v>
      </c>
      <c r="B262" s="19" t="s">
        <v>237</v>
      </c>
      <c r="C262" s="19" t="s">
        <v>215</v>
      </c>
      <c r="D262" s="20" t="s">
        <v>557</v>
      </c>
    </row>
    <row r="263" hidden="1">
      <c r="A263" s="18">
        <v>929.0</v>
      </c>
      <c r="B263" s="19" t="s">
        <v>239</v>
      </c>
      <c r="C263" s="19" t="s">
        <v>558</v>
      </c>
      <c r="D263" s="20" t="s">
        <v>424</v>
      </c>
    </row>
    <row r="264" hidden="1">
      <c r="A264" s="18">
        <v>930.0</v>
      </c>
      <c r="B264" s="19" t="s">
        <v>240</v>
      </c>
      <c r="C264" s="19" t="s">
        <v>559</v>
      </c>
      <c r="D264" s="20" t="s">
        <v>560</v>
      </c>
    </row>
    <row r="265">
      <c r="A265" s="21">
        <v>656.0</v>
      </c>
      <c r="B265" s="22" t="s">
        <v>237</v>
      </c>
      <c r="C265" s="23" t="s">
        <v>153</v>
      </c>
      <c r="D265" s="24" t="s">
        <v>561</v>
      </c>
    </row>
    <row r="266" hidden="1">
      <c r="A266" s="18">
        <v>938.0</v>
      </c>
      <c r="B266" s="19" t="s">
        <v>240</v>
      </c>
      <c r="C266" s="19" t="s">
        <v>214</v>
      </c>
      <c r="D266" s="20" t="s">
        <v>562</v>
      </c>
    </row>
    <row r="267">
      <c r="A267" s="18">
        <v>759.0</v>
      </c>
      <c r="B267" s="19" t="s">
        <v>237</v>
      </c>
      <c r="C267" s="19" t="s">
        <v>185</v>
      </c>
      <c r="D267" s="20" t="s">
        <v>301</v>
      </c>
    </row>
    <row r="268">
      <c r="A268" s="21">
        <v>454.0</v>
      </c>
      <c r="B268" s="22" t="s">
        <v>237</v>
      </c>
      <c r="C268" s="23" t="s">
        <v>113</v>
      </c>
      <c r="D268" s="24" t="s">
        <v>563</v>
      </c>
    </row>
    <row r="269">
      <c r="A269" s="21">
        <v>719.0</v>
      </c>
      <c r="B269" s="22" t="s">
        <v>237</v>
      </c>
      <c r="C269" s="23" t="s">
        <v>170</v>
      </c>
      <c r="D269" s="24" t="s">
        <v>564</v>
      </c>
    </row>
    <row r="270" hidden="1">
      <c r="A270" s="18">
        <v>951.0</v>
      </c>
      <c r="B270" s="19" t="s">
        <v>250</v>
      </c>
      <c r="C270" s="19" t="s">
        <v>565</v>
      </c>
      <c r="D270" s="20" t="s">
        <v>566</v>
      </c>
    </row>
    <row r="271" hidden="1">
      <c r="A271" s="18">
        <v>952.0</v>
      </c>
      <c r="B271" s="19" t="s">
        <v>240</v>
      </c>
      <c r="C271" s="19" t="s">
        <v>218</v>
      </c>
      <c r="D271" s="20" t="s">
        <v>567</v>
      </c>
    </row>
    <row r="272" hidden="1">
      <c r="A272" s="18">
        <v>954.0</v>
      </c>
      <c r="B272" s="19" t="s">
        <v>239</v>
      </c>
      <c r="C272" s="19" t="s">
        <v>219</v>
      </c>
      <c r="D272" s="20" t="s">
        <v>568</v>
      </c>
    </row>
    <row r="273" hidden="1">
      <c r="A273" s="18">
        <v>969.0</v>
      </c>
      <c r="B273" s="19" t="s">
        <v>238</v>
      </c>
      <c r="C273" s="19" t="s">
        <v>569</v>
      </c>
      <c r="D273" s="20" t="s">
        <v>570</v>
      </c>
    </row>
    <row r="274">
      <c r="A274" s="18">
        <v>772.0</v>
      </c>
      <c r="B274" s="19" t="s">
        <v>237</v>
      </c>
      <c r="C274" s="19" t="s">
        <v>191</v>
      </c>
      <c r="D274" s="20" t="s">
        <v>571</v>
      </c>
    </row>
    <row r="275">
      <c r="A275" s="18">
        <v>747.0</v>
      </c>
      <c r="B275" s="19" t="s">
        <v>237</v>
      </c>
      <c r="C275" s="19" t="s">
        <v>179</v>
      </c>
      <c r="D275" s="20" t="s">
        <v>572</v>
      </c>
    </row>
    <row r="276" hidden="1">
      <c r="A276" s="18">
        <v>1001.0</v>
      </c>
      <c r="B276" s="19" t="s">
        <v>250</v>
      </c>
      <c r="C276" s="19" t="s">
        <v>573</v>
      </c>
      <c r="D276" s="20" t="s">
        <v>574</v>
      </c>
    </row>
    <row r="277" hidden="1">
      <c r="A277" s="18">
        <v>1006.0</v>
      </c>
      <c r="B277" s="19" t="s">
        <v>239</v>
      </c>
      <c r="C277" s="19" t="s">
        <v>575</v>
      </c>
      <c r="D277" s="20" t="s">
        <v>576</v>
      </c>
    </row>
    <row r="278" hidden="1">
      <c r="A278" s="18">
        <v>1011.0</v>
      </c>
      <c r="B278" s="19" t="s">
        <v>238</v>
      </c>
      <c r="C278" s="19" t="s">
        <v>221</v>
      </c>
      <c r="D278" s="20" t="s">
        <v>577</v>
      </c>
    </row>
    <row r="279" hidden="1">
      <c r="A279" s="18">
        <v>1013.0</v>
      </c>
      <c r="B279" s="19" t="s">
        <v>240</v>
      </c>
      <c r="C279" s="19" t="s">
        <v>222</v>
      </c>
      <c r="D279" s="20" t="s">
        <v>578</v>
      </c>
    </row>
    <row r="280" hidden="1">
      <c r="A280" s="18">
        <v>1015.0</v>
      </c>
      <c r="B280" s="19" t="s">
        <v>239</v>
      </c>
      <c r="C280" s="19" t="s">
        <v>223</v>
      </c>
      <c r="D280" s="20" t="s">
        <v>524</v>
      </c>
    </row>
    <row r="281">
      <c r="A281" s="18">
        <v>1023.0</v>
      </c>
      <c r="B281" s="19" t="s">
        <v>237</v>
      </c>
      <c r="C281" s="19" t="s">
        <v>579</v>
      </c>
      <c r="D281" s="20" t="s">
        <v>580</v>
      </c>
    </row>
    <row r="282" hidden="1">
      <c r="A282" s="18">
        <v>1030.0</v>
      </c>
      <c r="B282" s="19" t="s">
        <v>239</v>
      </c>
      <c r="C282" s="19" t="s">
        <v>225</v>
      </c>
      <c r="D282" s="20" t="s">
        <v>581</v>
      </c>
    </row>
    <row r="283" hidden="1">
      <c r="A283" s="18">
        <v>1039.0</v>
      </c>
      <c r="B283" s="19" t="s">
        <v>238</v>
      </c>
      <c r="C283" s="19" t="s">
        <v>226</v>
      </c>
      <c r="D283" s="20" t="s">
        <v>582</v>
      </c>
    </row>
    <row r="284" hidden="1">
      <c r="A284" s="18">
        <v>1041.0</v>
      </c>
      <c r="B284" s="19" t="s">
        <v>240</v>
      </c>
      <c r="C284" s="19" t="s">
        <v>583</v>
      </c>
      <c r="D284" s="20" t="s">
        <v>584</v>
      </c>
    </row>
    <row r="285" hidden="1">
      <c r="A285" s="18">
        <v>1049.0</v>
      </c>
      <c r="B285" s="19" t="s">
        <v>238</v>
      </c>
      <c r="C285" s="19" t="s">
        <v>227</v>
      </c>
      <c r="D285" s="20" t="s">
        <v>585</v>
      </c>
    </row>
    <row r="286" hidden="1">
      <c r="A286" s="18">
        <v>1053.0</v>
      </c>
      <c r="B286" s="19" t="s">
        <v>250</v>
      </c>
      <c r="C286" s="19" t="s">
        <v>586</v>
      </c>
      <c r="D286" s="20" t="s">
        <v>587</v>
      </c>
    </row>
    <row r="287" hidden="1">
      <c r="A287" s="18">
        <v>1054.0</v>
      </c>
      <c r="B287" s="19" t="s">
        <v>239</v>
      </c>
      <c r="C287" s="19" t="s">
        <v>229</v>
      </c>
      <c r="D287" s="20" t="s">
        <v>588</v>
      </c>
    </row>
    <row r="288" hidden="1">
      <c r="A288" s="18">
        <v>1058.0</v>
      </c>
      <c r="B288" s="19" t="s">
        <v>239</v>
      </c>
      <c r="C288" s="19" t="s">
        <v>589</v>
      </c>
      <c r="D288" s="20" t="s">
        <v>590</v>
      </c>
    </row>
    <row r="289" hidden="1">
      <c r="A289" s="18">
        <v>1059.0</v>
      </c>
      <c r="B289" s="19" t="s">
        <v>240</v>
      </c>
      <c r="C289" s="19" t="s">
        <v>230</v>
      </c>
      <c r="D289" s="20" t="s">
        <v>591</v>
      </c>
    </row>
    <row r="290">
      <c r="A290" s="21">
        <v>96.0</v>
      </c>
      <c r="B290" s="19" t="s">
        <v>237</v>
      </c>
      <c r="C290" s="19" t="s">
        <v>20</v>
      </c>
      <c r="D290" s="24" t="s">
        <v>592</v>
      </c>
    </row>
    <row r="291" hidden="1">
      <c r="A291" s="18">
        <v>1070.0</v>
      </c>
      <c r="B291" s="19" t="s">
        <v>240</v>
      </c>
      <c r="C291" s="19" t="s">
        <v>233</v>
      </c>
      <c r="D291" s="20" t="s">
        <v>593</v>
      </c>
    </row>
    <row r="292">
      <c r="A292" s="21">
        <v>703.0</v>
      </c>
      <c r="B292" s="22" t="s">
        <v>237</v>
      </c>
      <c r="C292" s="23" t="s">
        <v>164</v>
      </c>
      <c r="D292" s="24" t="s">
        <v>260</v>
      </c>
    </row>
    <row r="293" hidden="1">
      <c r="A293" s="18">
        <v>1082.0</v>
      </c>
      <c r="B293" s="19" t="s">
        <v>239</v>
      </c>
      <c r="C293" s="19" t="s">
        <v>235</v>
      </c>
      <c r="D293" s="20" t="s">
        <v>594</v>
      </c>
    </row>
    <row r="294" hidden="1">
      <c r="A294" s="18">
        <v>1089.0</v>
      </c>
      <c r="B294" s="19" t="s">
        <v>238</v>
      </c>
      <c r="C294" s="19" t="s">
        <v>595</v>
      </c>
      <c r="D294" s="20" t="s">
        <v>596</v>
      </c>
    </row>
    <row r="295" hidden="1">
      <c r="A295" s="18">
        <v>1092.0</v>
      </c>
      <c r="B295" s="19" t="s">
        <v>238</v>
      </c>
      <c r="C295" s="19" t="s">
        <v>236</v>
      </c>
      <c r="D295" s="20" t="s">
        <v>491</v>
      </c>
    </row>
    <row r="296">
      <c r="A296" s="21">
        <v>239.0</v>
      </c>
      <c r="B296" s="22" t="s">
        <v>237</v>
      </c>
      <c r="C296" s="23" t="s">
        <v>56</v>
      </c>
      <c r="D296" s="24" t="s">
        <v>597</v>
      </c>
    </row>
    <row r="297" hidden="1">
      <c r="A297" s="18">
        <v>1232.0</v>
      </c>
      <c r="B297" s="19" t="s">
        <v>238</v>
      </c>
      <c r="C297" s="19" t="s">
        <v>598</v>
      </c>
      <c r="D297" s="20" t="s">
        <v>599</v>
      </c>
    </row>
    <row r="298" hidden="1">
      <c r="A298" s="18">
        <v>1233.0</v>
      </c>
      <c r="B298" s="19" t="s">
        <v>238</v>
      </c>
      <c r="C298" s="19" t="s">
        <v>600</v>
      </c>
      <c r="D298" s="20" t="s">
        <v>601</v>
      </c>
    </row>
    <row r="299" hidden="1">
      <c r="A299" s="18">
        <v>1242.0</v>
      </c>
      <c r="B299" s="19" t="s">
        <v>239</v>
      </c>
      <c r="C299" s="19" t="s">
        <v>602</v>
      </c>
      <c r="D299" s="20" t="s">
        <v>603</v>
      </c>
    </row>
    <row r="300" hidden="1">
      <c r="A300" s="18">
        <v>1246.0</v>
      </c>
      <c r="B300" s="19" t="s">
        <v>240</v>
      </c>
      <c r="C300" s="19" t="s">
        <v>604</v>
      </c>
      <c r="D300" s="20" t="s">
        <v>605</v>
      </c>
    </row>
    <row r="301">
      <c r="A301" s="18"/>
      <c r="B301" s="19"/>
      <c r="C301" s="19"/>
      <c r="D301" s="20"/>
    </row>
    <row r="302">
      <c r="A302" s="18"/>
      <c r="B302" s="19"/>
      <c r="C302" s="19"/>
      <c r="D302" s="20"/>
    </row>
    <row r="303">
      <c r="A303" s="18"/>
      <c r="B303" s="19"/>
      <c r="C303" s="19"/>
      <c r="D303" s="20"/>
    </row>
    <row r="304">
      <c r="A304" s="18"/>
      <c r="B304" s="19"/>
      <c r="C304" s="19"/>
      <c r="D304" s="20"/>
    </row>
    <row r="305">
      <c r="A305" s="18"/>
      <c r="B305" s="19"/>
      <c r="C305" s="19"/>
      <c r="D305" s="20"/>
    </row>
    <row r="306">
      <c r="A306" s="18"/>
      <c r="B306" s="19"/>
      <c r="C306" s="19"/>
      <c r="D306" s="20"/>
    </row>
    <row r="307">
      <c r="A307" s="18"/>
      <c r="B307" s="19"/>
      <c r="C307" s="19"/>
      <c r="D307" s="20"/>
    </row>
    <row r="308">
      <c r="A308" s="18"/>
      <c r="B308" s="19"/>
      <c r="C308" s="19"/>
      <c r="D308" s="20"/>
    </row>
    <row r="309">
      <c r="A309" s="18"/>
      <c r="B309" s="19"/>
      <c r="C309" s="19"/>
      <c r="D309" s="20"/>
    </row>
    <row r="310">
      <c r="A310" s="18"/>
      <c r="B310" s="19"/>
      <c r="C310" s="19"/>
      <c r="D310" s="20"/>
    </row>
    <row r="311">
      <c r="A311" s="18"/>
      <c r="B311" s="19"/>
      <c r="C311" s="19"/>
      <c r="D311" s="20"/>
    </row>
    <row r="312">
      <c r="A312" s="18"/>
      <c r="B312" s="19"/>
      <c r="C312" s="19"/>
      <c r="D312" s="20"/>
    </row>
    <row r="313">
      <c r="A313" s="18"/>
      <c r="B313" s="19"/>
      <c r="C313" s="19"/>
      <c r="D313" s="20"/>
    </row>
    <row r="314">
      <c r="A314" s="18"/>
      <c r="B314" s="19"/>
      <c r="C314" s="19"/>
      <c r="D314" s="20"/>
    </row>
    <row r="315">
      <c r="A315" s="18"/>
      <c r="B315" s="19"/>
      <c r="C315" s="19"/>
      <c r="D315" s="20"/>
    </row>
    <row r="316">
      <c r="A316" s="18"/>
      <c r="B316" s="19"/>
      <c r="C316" s="19"/>
      <c r="D316" s="20"/>
    </row>
    <row r="317">
      <c r="A317" s="18"/>
      <c r="B317" s="19"/>
      <c r="C317" s="19"/>
      <c r="D317" s="20"/>
    </row>
    <row r="318">
      <c r="A318" s="18"/>
      <c r="B318" s="19"/>
      <c r="C318" s="19"/>
      <c r="D318" s="20"/>
    </row>
    <row r="319">
      <c r="A319" s="18"/>
      <c r="B319" s="19"/>
      <c r="C319" s="19"/>
      <c r="D319" s="20"/>
    </row>
    <row r="320">
      <c r="A320" s="18"/>
      <c r="B320" s="19"/>
      <c r="C320" s="19"/>
      <c r="D320" s="20"/>
    </row>
    <row r="321">
      <c r="A321" s="18"/>
      <c r="B321" s="19"/>
      <c r="C321" s="19"/>
      <c r="D321" s="20"/>
    </row>
    <row r="322">
      <c r="A322" s="18"/>
      <c r="B322" s="19"/>
      <c r="C322" s="19"/>
      <c r="D322" s="20"/>
    </row>
    <row r="323">
      <c r="A323" s="18"/>
      <c r="B323" s="19"/>
      <c r="C323" s="19"/>
      <c r="D323" s="20"/>
    </row>
    <row r="324">
      <c r="A324" s="18"/>
      <c r="B324" s="19"/>
      <c r="C324" s="19"/>
      <c r="D324" s="20"/>
    </row>
    <row r="325">
      <c r="A325" s="18"/>
      <c r="B325" s="19"/>
      <c r="C325" s="19"/>
      <c r="D325" s="20"/>
    </row>
    <row r="326">
      <c r="A326" s="18"/>
      <c r="B326" s="19"/>
      <c r="C326" s="19"/>
      <c r="D326" s="20"/>
    </row>
    <row r="327">
      <c r="A327" s="18"/>
      <c r="B327" s="19"/>
      <c r="C327" s="19"/>
      <c r="D327" s="20"/>
    </row>
    <row r="328">
      <c r="A328" s="18"/>
      <c r="B328" s="19"/>
      <c r="C328" s="19"/>
      <c r="D328" s="20"/>
    </row>
    <row r="329">
      <c r="A329" s="18"/>
      <c r="B329" s="19"/>
      <c r="C329" s="19"/>
      <c r="D329" s="20"/>
    </row>
    <row r="330">
      <c r="A330" s="18"/>
      <c r="B330" s="19"/>
      <c r="C330" s="19"/>
      <c r="D330" s="20"/>
    </row>
    <row r="331">
      <c r="A331" s="18"/>
      <c r="B331" s="19"/>
      <c r="C331" s="19"/>
      <c r="D331" s="20"/>
    </row>
    <row r="332">
      <c r="A332" s="18"/>
      <c r="B332" s="19"/>
      <c r="C332" s="19"/>
      <c r="D332" s="20"/>
    </row>
    <row r="333">
      <c r="A333" s="18"/>
      <c r="B333" s="19"/>
      <c r="C333" s="19"/>
      <c r="D333" s="20"/>
    </row>
    <row r="334">
      <c r="A334" s="18"/>
      <c r="B334" s="19"/>
      <c r="C334" s="19"/>
      <c r="D334" s="20"/>
    </row>
    <row r="335">
      <c r="A335" s="18"/>
      <c r="B335" s="19"/>
      <c r="C335" s="19"/>
      <c r="D335" s="20"/>
    </row>
    <row r="336">
      <c r="A336" s="18"/>
      <c r="B336" s="19"/>
      <c r="C336" s="19"/>
      <c r="D336" s="20"/>
    </row>
    <row r="337">
      <c r="A337" s="18"/>
      <c r="B337" s="19"/>
      <c r="C337" s="19"/>
      <c r="D337" s="20"/>
    </row>
    <row r="338">
      <c r="A338" s="18"/>
      <c r="B338" s="19"/>
      <c r="C338" s="19"/>
      <c r="D338" s="20"/>
    </row>
    <row r="339">
      <c r="A339" s="18"/>
      <c r="B339" s="19"/>
      <c r="C339" s="19"/>
      <c r="D339" s="20"/>
    </row>
    <row r="340">
      <c r="A340" s="18"/>
      <c r="B340" s="19"/>
      <c r="C340" s="19"/>
      <c r="D340" s="20"/>
    </row>
    <row r="341">
      <c r="A341" s="18"/>
      <c r="B341" s="19"/>
      <c r="C341" s="19"/>
      <c r="D341" s="20"/>
    </row>
    <row r="342">
      <c r="A342" s="18"/>
      <c r="B342" s="19"/>
      <c r="C342" s="19"/>
      <c r="D342" s="20"/>
    </row>
    <row r="343">
      <c r="A343" s="18"/>
      <c r="B343" s="19"/>
      <c r="C343" s="19"/>
      <c r="D343" s="20"/>
    </row>
    <row r="344">
      <c r="A344" s="18"/>
      <c r="B344" s="19"/>
      <c r="C344" s="19"/>
      <c r="D344" s="20"/>
    </row>
    <row r="345">
      <c r="A345" s="18"/>
      <c r="B345" s="19"/>
      <c r="C345" s="19"/>
      <c r="D345" s="20"/>
    </row>
    <row r="346">
      <c r="A346" s="18"/>
      <c r="B346" s="19"/>
      <c r="C346" s="19"/>
      <c r="D346" s="20"/>
    </row>
    <row r="347">
      <c r="A347" s="18"/>
      <c r="B347" s="19"/>
      <c r="C347" s="19"/>
      <c r="D347" s="20"/>
    </row>
    <row r="348">
      <c r="A348" s="18"/>
      <c r="B348" s="19"/>
      <c r="C348" s="19"/>
      <c r="D348" s="20"/>
    </row>
    <row r="349">
      <c r="A349" s="18"/>
      <c r="B349" s="19"/>
      <c r="C349" s="19"/>
      <c r="D349" s="20"/>
    </row>
    <row r="350">
      <c r="A350" s="18"/>
      <c r="B350" s="19"/>
      <c r="C350" s="19"/>
      <c r="D350" s="20"/>
    </row>
    <row r="351">
      <c r="A351" s="18"/>
      <c r="B351" s="19"/>
      <c r="C351" s="19"/>
      <c r="D351" s="20"/>
    </row>
    <row r="352">
      <c r="A352" s="18"/>
      <c r="B352" s="19"/>
      <c r="C352" s="19"/>
      <c r="D352" s="20"/>
    </row>
    <row r="353">
      <c r="A353" s="18"/>
      <c r="B353" s="19"/>
      <c r="C353" s="19"/>
      <c r="D353" s="20"/>
    </row>
    <row r="354">
      <c r="A354" s="18"/>
      <c r="B354" s="19"/>
      <c r="C354" s="19"/>
      <c r="D354" s="20"/>
    </row>
    <row r="355">
      <c r="A355" s="18"/>
      <c r="B355" s="19"/>
      <c r="C355" s="19"/>
      <c r="D355" s="20"/>
    </row>
    <row r="356">
      <c r="A356" s="18"/>
      <c r="B356" s="19"/>
      <c r="C356" s="19"/>
      <c r="D356" s="20"/>
    </row>
    <row r="357">
      <c r="A357" s="18"/>
      <c r="B357" s="19"/>
      <c r="C357" s="19"/>
      <c r="D357" s="20"/>
    </row>
    <row r="358">
      <c r="A358" s="18"/>
      <c r="B358" s="19"/>
      <c r="C358" s="19"/>
      <c r="D358" s="20"/>
    </row>
    <row r="359">
      <c r="A359" s="18"/>
      <c r="B359" s="19"/>
      <c r="C359" s="19"/>
      <c r="D359" s="20"/>
    </row>
    <row r="360">
      <c r="A360" s="18"/>
      <c r="B360" s="19"/>
      <c r="C360" s="19"/>
      <c r="D360" s="20"/>
    </row>
    <row r="361">
      <c r="A361" s="18"/>
      <c r="B361" s="19"/>
      <c r="C361" s="19"/>
      <c r="D361" s="20"/>
    </row>
    <row r="362">
      <c r="A362" s="18"/>
      <c r="B362" s="19"/>
      <c r="C362" s="19"/>
      <c r="D362" s="20"/>
    </row>
    <row r="363">
      <c r="A363" s="18"/>
      <c r="B363" s="19"/>
      <c r="C363" s="19"/>
      <c r="D363" s="20"/>
    </row>
    <row r="364">
      <c r="A364" s="18"/>
      <c r="B364" s="19"/>
      <c r="C364" s="19"/>
      <c r="D364" s="20"/>
    </row>
    <row r="365">
      <c r="A365" s="18"/>
      <c r="B365" s="19"/>
      <c r="C365" s="19"/>
      <c r="D365" s="20"/>
    </row>
    <row r="366">
      <c r="A366" s="18"/>
      <c r="B366" s="19"/>
      <c r="C366" s="19"/>
      <c r="D366" s="20"/>
    </row>
    <row r="367">
      <c r="A367" s="18"/>
      <c r="B367" s="19"/>
      <c r="C367" s="19"/>
      <c r="D367" s="20"/>
    </row>
    <row r="368">
      <c r="A368" s="18"/>
      <c r="B368" s="19"/>
      <c r="C368" s="19"/>
      <c r="D368" s="20"/>
    </row>
    <row r="369">
      <c r="A369" s="18"/>
      <c r="B369" s="19"/>
      <c r="C369" s="19"/>
      <c r="D369" s="20"/>
    </row>
    <row r="370">
      <c r="A370" s="18"/>
      <c r="B370" s="19"/>
      <c r="C370" s="19"/>
      <c r="D370" s="20"/>
    </row>
    <row r="371">
      <c r="A371" s="18"/>
      <c r="B371" s="19"/>
      <c r="C371" s="19"/>
      <c r="D371" s="20"/>
    </row>
    <row r="372">
      <c r="A372" s="18"/>
      <c r="B372" s="19"/>
      <c r="C372" s="19"/>
      <c r="D372" s="20"/>
    </row>
    <row r="373">
      <c r="A373" s="18"/>
      <c r="B373" s="19"/>
      <c r="C373" s="19"/>
      <c r="D373" s="20"/>
    </row>
    <row r="374">
      <c r="A374" s="18"/>
      <c r="B374" s="19"/>
      <c r="C374" s="19"/>
      <c r="D374" s="20"/>
    </row>
    <row r="375">
      <c r="A375" s="18"/>
      <c r="B375" s="19"/>
      <c r="C375" s="19"/>
      <c r="D375" s="20"/>
    </row>
    <row r="376">
      <c r="A376" s="18"/>
      <c r="B376" s="19"/>
      <c r="C376" s="19"/>
      <c r="D376" s="20"/>
    </row>
    <row r="377">
      <c r="A377" s="18"/>
      <c r="B377" s="19"/>
      <c r="C377" s="19"/>
      <c r="D377" s="20"/>
    </row>
    <row r="378">
      <c r="A378" s="18"/>
      <c r="B378" s="19"/>
      <c r="C378" s="19"/>
      <c r="D378" s="20"/>
    </row>
    <row r="379">
      <c r="A379" s="18"/>
      <c r="B379" s="19"/>
      <c r="C379" s="19"/>
      <c r="D379" s="20"/>
    </row>
    <row r="380">
      <c r="A380" s="18"/>
      <c r="B380" s="19"/>
      <c r="C380" s="19"/>
      <c r="D380" s="20"/>
    </row>
    <row r="381">
      <c r="A381" s="18"/>
      <c r="B381" s="19"/>
      <c r="C381" s="19"/>
      <c r="D381" s="20"/>
    </row>
    <row r="382">
      <c r="A382" s="18"/>
      <c r="B382" s="19"/>
      <c r="C382" s="19"/>
      <c r="D382" s="20"/>
    </row>
    <row r="383">
      <c r="A383" s="18"/>
      <c r="B383" s="19"/>
      <c r="C383" s="19"/>
      <c r="D383" s="20"/>
    </row>
    <row r="384">
      <c r="A384" s="18"/>
      <c r="B384" s="19"/>
      <c r="C384" s="19"/>
      <c r="D384" s="20"/>
    </row>
    <row r="385">
      <c r="A385" s="18"/>
      <c r="B385" s="19"/>
      <c r="C385" s="19"/>
      <c r="D385" s="20"/>
    </row>
    <row r="386">
      <c r="A386" s="18"/>
      <c r="B386" s="19"/>
      <c r="C386" s="19"/>
      <c r="D386" s="20"/>
    </row>
    <row r="387">
      <c r="A387" s="18"/>
      <c r="B387" s="19"/>
      <c r="C387" s="19"/>
      <c r="D387" s="20"/>
    </row>
    <row r="388">
      <c r="A388" s="18"/>
      <c r="B388" s="19"/>
      <c r="C388" s="19"/>
      <c r="D388" s="20"/>
    </row>
    <row r="389">
      <c r="A389" s="18"/>
      <c r="B389" s="19"/>
      <c r="C389" s="19"/>
      <c r="D389" s="20"/>
    </row>
    <row r="390">
      <c r="A390" s="18"/>
      <c r="B390" s="19"/>
      <c r="C390" s="19"/>
      <c r="D390" s="20"/>
    </row>
    <row r="391">
      <c r="A391" s="18"/>
      <c r="B391" s="19"/>
      <c r="C391" s="19"/>
      <c r="D391" s="20"/>
    </row>
    <row r="392">
      <c r="A392" s="18"/>
      <c r="B392" s="19"/>
      <c r="C392" s="19"/>
      <c r="D392" s="20"/>
    </row>
    <row r="393">
      <c r="A393" s="18"/>
      <c r="B393" s="19"/>
      <c r="C393" s="19"/>
      <c r="D393" s="20"/>
    </row>
    <row r="394">
      <c r="A394" s="18"/>
      <c r="B394" s="19"/>
      <c r="C394" s="19"/>
      <c r="D394" s="20"/>
    </row>
    <row r="395">
      <c r="A395" s="18"/>
      <c r="B395" s="19"/>
      <c r="C395" s="19"/>
      <c r="D395" s="20"/>
    </row>
    <row r="396">
      <c r="A396" s="18"/>
      <c r="B396" s="19"/>
      <c r="C396" s="19"/>
      <c r="D396" s="20"/>
    </row>
    <row r="397">
      <c r="A397" s="18"/>
      <c r="B397" s="19"/>
      <c r="C397" s="19"/>
      <c r="D397" s="20"/>
    </row>
    <row r="398">
      <c r="A398" s="18"/>
      <c r="B398" s="19"/>
      <c r="C398" s="19"/>
      <c r="D398" s="20"/>
    </row>
    <row r="399">
      <c r="A399" s="18"/>
      <c r="B399" s="19"/>
      <c r="C399" s="19"/>
      <c r="D399" s="20"/>
    </row>
    <row r="400">
      <c r="A400" s="18"/>
      <c r="B400" s="19"/>
      <c r="C400" s="19"/>
      <c r="D400" s="20"/>
    </row>
    <row r="401">
      <c r="A401" s="18"/>
      <c r="B401" s="19"/>
      <c r="C401" s="19"/>
      <c r="D401" s="20"/>
    </row>
    <row r="402">
      <c r="A402" s="18"/>
      <c r="B402" s="19"/>
      <c r="C402" s="19"/>
      <c r="D402" s="20"/>
    </row>
    <row r="403">
      <c r="A403" s="18"/>
      <c r="B403" s="19"/>
      <c r="C403" s="19"/>
      <c r="D403" s="20"/>
    </row>
    <row r="404">
      <c r="A404" s="18"/>
      <c r="B404" s="19"/>
      <c r="C404" s="19"/>
      <c r="D404" s="20"/>
    </row>
    <row r="405">
      <c r="A405" s="18"/>
      <c r="B405" s="19"/>
      <c r="C405" s="19"/>
      <c r="D405" s="20"/>
    </row>
    <row r="406">
      <c r="A406" s="18"/>
      <c r="B406" s="19"/>
      <c r="C406" s="19"/>
      <c r="D406" s="20"/>
    </row>
    <row r="407">
      <c r="A407" s="18"/>
      <c r="B407" s="19"/>
      <c r="C407" s="19"/>
      <c r="D407" s="20"/>
    </row>
    <row r="408">
      <c r="A408" s="18"/>
      <c r="B408" s="19"/>
      <c r="C408" s="19"/>
      <c r="D408" s="20"/>
    </row>
    <row r="409">
      <c r="A409" s="18"/>
      <c r="B409" s="19"/>
      <c r="C409" s="19"/>
      <c r="D409" s="20"/>
    </row>
    <row r="410">
      <c r="A410" s="18"/>
      <c r="B410" s="19"/>
      <c r="C410" s="19"/>
      <c r="D410" s="20"/>
    </row>
    <row r="411">
      <c r="A411" s="18"/>
      <c r="B411" s="19"/>
      <c r="C411" s="19"/>
      <c r="D411" s="20"/>
    </row>
    <row r="412">
      <c r="A412" s="18"/>
      <c r="B412" s="19"/>
      <c r="C412" s="19"/>
      <c r="D412" s="20"/>
    </row>
    <row r="413">
      <c r="A413" s="18"/>
      <c r="B413" s="19"/>
      <c r="C413" s="19"/>
      <c r="D413" s="20"/>
    </row>
    <row r="414">
      <c r="A414" s="18"/>
      <c r="B414" s="19"/>
      <c r="C414" s="19"/>
      <c r="D414" s="20"/>
    </row>
    <row r="415">
      <c r="A415" s="18"/>
      <c r="B415" s="19"/>
      <c r="C415" s="19"/>
      <c r="D415" s="20"/>
    </row>
    <row r="416">
      <c r="A416" s="18"/>
      <c r="B416" s="19"/>
      <c r="C416" s="19"/>
      <c r="D416" s="20"/>
    </row>
    <row r="417">
      <c r="A417" s="18"/>
      <c r="B417" s="19"/>
      <c r="C417" s="19"/>
      <c r="D417" s="20"/>
    </row>
    <row r="418">
      <c r="A418" s="18"/>
      <c r="B418" s="19"/>
      <c r="C418" s="19"/>
      <c r="D418" s="20"/>
    </row>
    <row r="419">
      <c r="A419" s="18"/>
      <c r="B419" s="19"/>
      <c r="C419" s="19"/>
      <c r="D419" s="20"/>
    </row>
    <row r="420">
      <c r="A420" s="18"/>
      <c r="B420" s="19"/>
      <c r="C420" s="19"/>
      <c r="D420" s="20"/>
    </row>
    <row r="421">
      <c r="A421" s="18"/>
      <c r="B421" s="19"/>
      <c r="C421" s="19"/>
      <c r="D421" s="20"/>
    </row>
    <row r="422">
      <c r="A422" s="18"/>
      <c r="B422" s="19"/>
      <c r="C422" s="19"/>
      <c r="D422" s="20"/>
    </row>
    <row r="423">
      <c r="A423" s="18"/>
      <c r="B423" s="19"/>
      <c r="C423" s="19"/>
      <c r="D423" s="20"/>
    </row>
    <row r="424">
      <c r="A424" s="18"/>
      <c r="B424" s="19"/>
      <c r="C424" s="19"/>
      <c r="D424" s="20"/>
    </row>
    <row r="425">
      <c r="A425" s="18"/>
      <c r="B425" s="19"/>
      <c r="C425" s="19"/>
      <c r="D425" s="20"/>
    </row>
    <row r="426">
      <c r="A426" s="18"/>
      <c r="B426" s="19"/>
      <c r="C426" s="19"/>
      <c r="D426" s="20"/>
    </row>
    <row r="427">
      <c r="A427" s="18"/>
      <c r="B427" s="19"/>
      <c r="C427" s="19"/>
      <c r="D427" s="20"/>
    </row>
    <row r="428">
      <c r="A428" s="18"/>
      <c r="B428" s="19"/>
      <c r="C428" s="19"/>
      <c r="D428" s="20"/>
    </row>
    <row r="429">
      <c r="A429" s="18"/>
      <c r="B429" s="19"/>
      <c r="C429" s="19"/>
      <c r="D429" s="20"/>
    </row>
    <row r="430">
      <c r="A430" s="18"/>
      <c r="B430" s="19"/>
      <c r="C430" s="19"/>
      <c r="D430" s="20"/>
    </row>
    <row r="431">
      <c r="A431" s="18"/>
      <c r="B431" s="19"/>
      <c r="C431" s="19"/>
      <c r="D431" s="20"/>
    </row>
    <row r="432">
      <c r="A432" s="18"/>
      <c r="B432" s="19"/>
      <c r="C432" s="19"/>
      <c r="D432" s="20"/>
    </row>
    <row r="433">
      <c r="A433" s="18"/>
      <c r="B433" s="19"/>
      <c r="C433" s="19"/>
      <c r="D433" s="20"/>
    </row>
    <row r="434">
      <c r="A434" s="18"/>
      <c r="B434" s="19"/>
      <c r="C434" s="19"/>
      <c r="D434" s="20"/>
    </row>
    <row r="435">
      <c r="A435" s="18"/>
      <c r="B435" s="19"/>
      <c r="C435" s="19"/>
      <c r="D435" s="20"/>
    </row>
    <row r="436">
      <c r="A436" s="18"/>
      <c r="B436" s="19"/>
      <c r="C436" s="19"/>
      <c r="D436" s="20"/>
    </row>
    <row r="437">
      <c r="A437" s="18"/>
      <c r="B437" s="19"/>
      <c r="C437" s="19"/>
      <c r="D437" s="20"/>
    </row>
    <row r="438">
      <c r="A438" s="18"/>
      <c r="B438" s="19"/>
      <c r="C438" s="19"/>
      <c r="D438" s="20"/>
    </row>
    <row r="439">
      <c r="A439" s="18"/>
      <c r="B439" s="19"/>
      <c r="C439" s="19"/>
      <c r="D439" s="20"/>
    </row>
    <row r="440">
      <c r="A440" s="18"/>
      <c r="B440" s="19"/>
      <c r="C440" s="19"/>
      <c r="D440" s="20"/>
    </row>
    <row r="441">
      <c r="A441" s="18"/>
      <c r="B441" s="19"/>
      <c r="C441" s="19"/>
      <c r="D441" s="20"/>
    </row>
    <row r="442">
      <c r="A442" s="18"/>
      <c r="B442" s="19"/>
      <c r="C442" s="19"/>
      <c r="D442" s="20"/>
    </row>
    <row r="443">
      <c r="A443" s="18"/>
      <c r="B443" s="19"/>
      <c r="C443" s="19"/>
      <c r="D443" s="20"/>
    </row>
    <row r="444">
      <c r="A444" s="18"/>
      <c r="B444" s="19"/>
      <c r="C444" s="19"/>
      <c r="D444" s="20"/>
    </row>
    <row r="445">
      <c r="A445" s="18"/>
      <c r="B445" s="19"/>
      <c r="C445" s="19"/>
      <c r="D445" s="20"/>
    </row>
    <row r="446">
      <c r="A446" s="18"/>
      <c r="B446" s="19"/>
      <c r="C446" s="19"/>
      <c r="D446" s="20"/>
    </row>
    <row r="447">
      <c r="A447" s="18"/>
      <c r="B447" s="19"/>
      <c r="C447" s="19"/>
      <c r="D447" s="20"/>
    </row>
    <row r="448">
      <c r="A448" s="18"/>
      <c r="B448" s="19"/>
      <c r="C448" s="19"/>
      <c r="D448" s="20"/>
    </row>
    <row r="449">
      <c r="A449" s="18"/>
      <c r="B449" s="19"/>
      <c r="C449" s="19"/>
      <c r="D449" s="20"/>
    </row>
    <row r="450">
      <c r="A450" s="18"/>
      <c r="B450" s="19"/>
      <c r="C450" s="19"/>
      <c r="D450" s="20"/>
    </row>
    <row r="451">
      <c r="A451" s="18"/>
      <c r="B451" s="19"/>
      <c r="C451" s="19"/>
      <c r="D451" s="20"/>
    </row>
    <row r="452">
      <c r="A452" s="18"/>
      <c r="B452" s="19"/>
      <c r="C452" s="19"/>
      <c r="D452" s="20"/>
    </row>
    <row r="453">
      <c r="A453" s="18"/>
      <c r="B453" s="19"/>
      <c r="C453" s="19"/>
      <c r="D453" s="20"/>
    </row>
    <row r="454">
      <c r="A454" s="18"/>
      <c r="B454" s="19"/>
      <c r="C454" s="19"/>
      <c r="D454" s="20"/>
    </row>
    <row r="455">
      <c r="A455" s="18"/>
      <c r="B455" s="19"/>
      <c r="C455" s="19"/>
      <c r="D455" s="20"/>
    </row>
    <row r="456">
      <c r="A456" s="18"/>
      <c r="B456" s="19"/>
      <c r="C456" s="19"/>
      <c r="D456" s="20"/>
    </row>
    <row r="457">
      <c r="A457" s="18"/>
      <c r="B457" s="19"/>
      <c r="C457" s="19"/>
      <c r="D457" s="20"/>
    </row>
    <row r="458">
      <c r="A458" s="18"/>
      <c r="B458" s="19"/>
      <c r="C458" s="19"/>
      <c r="D458" s="20"/>
    </row>
    <row r="459">
      <c r="A459" s="18"/>
      <c r="B459" s="19"/>
      <c r="C459" s="19"/>
      <c r="D459" s="20"/>
    </row>
    <row r="460">
      <c r="A460" s="18"/>
      <c r="B460" s="19"/>
      <c r="C460" s="19"/>
      <c r="D460" s="20"/>
    </row>
    <row r="461">
      <c r="A461" s="18"/>
      <c r="B461" s="19"/>
      <c r="C461" s="19"/>
      <c r="D461" s="20"/>
    </row>
    <row r="462">
      <c r="A462" s="18"/>
      <c r="B462" s="19"/>
      <c r="C462" s="19"/>
      <c r="D462" s="20"/>
    </row>
    <row r="463">
      <c r="A463" s="18"/>
      <c r="B463" s="19"/>
      <c r="C463" s="19"/>
      <c r="D463" s="20"/>
    </row>
    <row r="464">
      <c r="A464" s="18"/>
      <c r="B464" s="19"/>
      <c r="C464" s="19"/>
      <c r="D464" s="20"/>
    </row>
    <row r="465">
      <c r="A465" s="18"/>
      <c r="B465" s="19"/>
      <c r="C465" s="19"/>
      <c r="D465" s="20"/>
    </row>
    <row r="466">
      <c r="A466" s="18"/>
      <c r="B466" s="19"/>
      <c r="C466" s="19"/>
      <c r="D466" s="20"/>
    </row>
    <row r="467">
      <c r="A467" s="18"/>
      <c r="B467" s="19"/>
      <c r="C467" s="19"/>
      <c r="D467" s="20"/>
    </row>
    <row r="468">
      <c r="A468" s="18"/>
      <c r="B468" s="19"/>
      <c r="C468" s="19"/>
      <c r="D468" s="20"/>
    </row>
    <row r="469">
      <c r="A469" s="18"/>
      <c r="B469" s="19"/>
      <c r="C469" s="19"/>
      <c r="D469" s="20"/>
    </row>
    <row r="470">
      <c r="A470" s="18"/>
      <c r="B470" s="19"/>
      <c r="C470" s="19"/>
      <c r="D470" s="20"/>
    </row>
    <row r="471">
      <c r="A471" s="18"/>
      <c r="B471" s="19"/>
      <c r="C471" s="19"/>
      <c r="D471" s="20"/>
    </row>
    <row r="472">
      <c r="A472" s="18"/>
      <c r="B472" s="19"/>
      <c r="C472" s="19"/>
      <c r="D472" s="20"/>
    </row>
    <row r="473">
      <c r="A473" s="18"/>
      <c r="B473" s="19"/>
      <c r="C473" s="19"/>
      <c r="D473" s="20"/>
    </row>
    <row r="474">
      <c r="A474" s="18"/>
      <c r="B474" s="19"/>
      <c r="C474" s="19"/>
      <c r="D474" s="20"/>
    </row>
    <row r="475">
      <c r="A475" s="18"/>
      <c r="B475" s="19"/>
      <c r="C475" s="19"/>
      <c r="D475" s="20"/>
    </row>
    <row r="476">
      <c r="A476" s="18"/>
      <c r="B476" s="19"/>
      <c r="C476" s="19"/>
      <c r="D476" s="20"/>
    </row>
    <row r="477">
      <c r="A477" s="18"/>
      <c r="B477" s="19"/>
      <c r="C477" s="19"/>
      <c r="D477" s="20"/>
    </row>
    <row r="478">
      <c r="A478" s="18"/>
      <c r="B478" s="19"/>
      <c r="C478" s="19"/>
      <c r="D478" s="20"/>
    </row>
    <row r="479">
      <c r="A479" s="18"/>
      <c r="B479" s="19"/>
      <c r="C479" s="19"/>
      <c r="D479" s="20"/>
    </row>
    <row r="480">
      <c r="A480" s="18"/>
      <c r="B480" s="19"/>
      <c r="C480" s="19"/>
      <c r="D480" s="20"/>
    </row>
    <row r="481">
      <c r="A481" s="18"/>
      <c r="B481" s="19"/>
      <c r="C481" s="19"/>
      <c r="D481" s="20"/>
    </row>
    <row r="482">
      <c r="A482" s="18"/>
      <c r="B482" s="19"/>
      <c r="C482" s="19"/>
      <c r="D482" s="20"/>
    </row>
    <row r="483">
      <c r="A483" s="18"/>
      <c r="B483" s="19"/>
      <c r="C483" s="19"/>
      <c r="D483" s="20"/>
    </row>
    <row r="484">
      <c r="A484" s="18"/>
      <c r="B484" s="19"/>
      <c r="C484" s="19"/>
      <c r="D484" s="20"/>
    </row>
    <row r="485">
      <c r="A485" s="18"/>
      <c r="B485" s="19"/>
      <c r="C485" s="19"/>
      <c r="D485" s="20"/>
    </row>
    <row r="486">
      <c r="A486" s="18"/>
      <c r="B486" s="19"/>
      <c r="C486" s="19"/>
      <c r="D486" s="20"/>
    </row>
    <row r="487">
      <c r="A487" s="18"/>
      <c r="B487" s="19"/>
      <c r="C487" s="19"/>
      <c r="D487" s="20"/>
    </row>
    <row r="488">
      <c r="A488" s="18"/>
      <c r="B488" s="19"/>
      <c r="C488" s="19"/>
      <c r="D488" s="20"/>
    </row>
    <row r="489">
      <c r="A489" s="18"/>
      <c r="B489" s="19"/>
      <c r="C489" s="19"/>
      <c r="D489" s="20"/>
    </row>
    <row r="490">
      <c r="A490" s="18"/>
      <c r="B490" s="19"/>
      <c r="C490" s="19"/>
      <c r="D490" s="20"/>
    </row>
    <row r="491">
      <c r="A491" s="18"/>
      <c r="B491" s="19"/>
      <c r="C491" s="19"/>
      <c r="D491" s="20"/>
    </row>
    <row r="492">
      <c r="A492" s="18"/>
      <c r="B492" s="19"/>
      <c r="C492" s="19"/>
      <c r="D492" s="20"/>
    </row>
    <row r="493">
      <c r="A493" s="18"/>
      <c r="B493" s="19"/>
      <c r="C493" s="19"/>
      <c r="D493" s="20"/>
    </row>
    <row r="494">
      <c r="A494" s="18"/>
      <c r="B494" s="19"/>
      <c r="C494" s="19"/>
      <c r="D494" s="20"/>
    </row>
    <row r="495">
      <c r="A495" s="18"/>
      <c r="B495" s="19"/>
      <c r="C495" s="19"/>
      <c r="D495" s="20"/>
    </row>
    <row r="496">
      <c r="A496" s="18"/>
      <c r="B496" s="19"/>
      <c r="C496" s="19"/>
      <c r="D496" s="20"/>
    </row>
    <row r="497">
      <c r="A497" s="18"/>
      <c r="B497" s="19"/>
      <c r="C497" s="19"/>
      <c r="D497" s="20"/>
    </row>
    <row r="498">
      <c r="A498" s="18"/>
      <c r="B498" s="19"/>
      <c r="C498" s="19"/>
      <c r="D498" s="20"/>
    </row>
    <row r="499">
      <c r="A499" s="18"/>
      <c r="B499" s="19"/>
      <c r="C499" s="19"/>
      <c r="D499" s="20"/>
    </row>
    <row r="500">
      <c r="A500" s="18"/>
      <c r="B500" s="19"/>
      <c r="C500" s="19"/>
      <c r="D500" s="20"/>
    </row>
    <row r="501">
      <c r="A501" s="18"/>
      <c r="B501" s="19"/>
      <c r="C501" s="19"/>
      <c r="D501" s="20"/>
    </row>
    <row r="502">
      <c r="A502" s="18"/>
      <c r="B502" s="19"/>
      <c r="C502" s="19"/>
      <c r="D502" s="20"/>
    </row>
    <row r="503">
      <c r="A503" s="18"/>
      <c r="B503" s="19"/>
      <c r="C503" s="19"/>
      <c r="D503" s="20"/>
    </row>
    <row r="504">
      <c r="A504" s="18"/>
      <c r="B504" s="19"/>
      <c r="C504" s="19"/>
      <c r="D504" s="20"/>
    </row>
    <row r="505">
      <c r="A505" s="18"/>
      <c r="B505" s="19"/>
      <c r="C505" s="19"/>
      <c r="D505" s="20"/>
    </row>
    <row r="506">
      <c r="A506" s="18"/>
      <c r="B506" s="19"/>
      <c r="C506" s="19"/>
      <c r="D506" s="20"/>
    </row>
    <row r="507">
      <c r="A507" s="18"/>
      <c r="B507" s="19"/>
      <c r="C507" s="19"/>
      <c r="D507" s="20"/>
    </row>
    <row r="508">
      <c r="A508" s="18"/>
      <c r="B508" s="19"/>
      <c r="C508" s="19"/>
      <c r="D508" s="20"/>
    </row>
    <row r="509">
      <c r="A509" s="18"/>
      <c r="B509" s="19"/>
      <c r="C509" s="19"/>
      <c r="D509" s="20"/>
    </row>
    <row r="510">
      <c r="A510" s="18"/>
      <c r="B510" s="19"/>
      <c r="C510" s="19"/>
      <c r="D510" s="20"/>
    </row>
    <row r="511">
      <c r="A511" s="18"/>
      <c r="B511" s="19"/>
      <c r="C511" s="19"/>
      <c r="D511" s="20"/>
    </row>
    <row r="512">
      <c r="A512" s="18"/>
      <c r="B512" s="19"/>
      <c r="C512" s="19"/>
      <c r="D512" s="20"/>
    </row>
    <row r="513">
      <c r="A513" s="18"/>
      <c r="B513" s="19"/>
      <c r="C513" s="19"/>
      <c r="D513" s="20"/>
    </row>
    <row r="514">
      <c r="A514" s="18"/>
      <c r="B514" s="19"/>
      <c r="C514" s="19"/>
      <c r="D514" s="20"/>
    </row>
    <row r="515">
      <c r="A515" s="18"/>
      <c r="B515" s="19"/>
      <c r="C515" s="19"/>
      <c r="D515" s="20"/>
    </row>
    <row r="516">
      <c r="A516" s="18"/>
      <c r="B516" s="19"/>
      <c r="C516" s="19"/>
      <c r="D516" s="20"/>
    </row>
    <row r="517">
      <c r="A517" s="18"/>
      <c r="B517" s="19"/>
      <c r="C517" s="19"/>
      <c r="D517" s="20"/>
    </row>
    <row r="518">
      <c r="A518" s="18"/>
      <c r="B518" s="19"/>
      <c r="C518" s="19"/>
      <c r="D518" s="20"/>
    </row>
    <row r="519">
      <c r="A519" s="18"/>
      <c r="B519" s="19"/>
      <c r="C519" s="19"/>
      <c r="D519" s="20"/>
    </row>
    <row r="520">
      <c r="A520" s="18"/>
      <c r="B520" s="19"/>
      <c r="C520" s="19"/>
      <c r="D520" s="20"/>
    </row>
    <row r="521">
      <c r="A521" s="18"/>
      <c r="B521" s="19"/>
      <c r="C521" s="19"/>
      <c r="D521" s="20"/>
    </row>
    <row r="522">
      <c r="A522" s="18"/>
      <c r="B522" s="19"/>
      <c r="C522" s="19"/>
      <c r="D522" s="20"/>
    </row>
    <row r="523">
      <c r="A523" s="18"/>
      <c r="B523" s="19"/>
      <c r="C523" s="19"/>
      <c r="D523" s="20"/>
    </row>
    <row r="524">
      <c r="A524" s="18"/>
      <c r="B524" s="19"/>
      <c r="C524" s="19"/>
      <c r="D524" s="20"/>
    </row>
    <row r="525">
      <c r="A525" s="18"/>
      <c r="B525" s="19"/>
      <c r="C525" s="19"/>
      <c r="D525" s="20"/>
    </row>
    <row r="526">
      <c r="A526" s="18"/>
      <c r="B526" s="19"/>
      <c r="C526" s="19"/>
      <c r="D526" s="20"/>
    </row>
    <row r="527">
      <c r="A527" s="18"/>
      <c r="B527" s="19"/>
      <c r="C527" s="19"/>
      <c r="D527" s="20"/>
    </row>
    <row r="528">
      <c r="A528" s="18"/>
      <c r="B528" s="19"/>
      <c r="C528" s="19"/>
      <c r="D528" s="20"/>
    </row>
    <row r="529">
      <c r="A529" s="18"/>
      <c r="B529" s="19"/>
      <c r="C529" s="19"/>
      <c r="D529" s="20"/>
    </row>
    <row r="530">
      <c r="A530" s="18"/>
      <c r="B530" s="19"/>
      <c r="C530" s="19"/>
      <c r="D530" s="20"/>
    </row>
    <row r="531">
      <c r="A531" s="18"/>
      <c r="B531" s="19"/>
      <c r="C531" s="19"/>
      <c r="D531" s="20"/>
    </row>
    <row r="532">
      <c r="A532" s="18"/>
      <c r="B532" s="19"/>
      <c r="C532" s="19"/>
      <c r="D532" s="20"/>
    </row>
    <row r="533">
      <c r="A533" s="18"/>
      <c r="B533" s="19"/>
      <c r="C533" s="19"/>
      <c r="D533" s="20"/>
    </row>
    <row r="534">
      <c r="A534" s="18"/>
      <c r="B534" s="19"/>
      <c r="C534" s="19"/>
      <c r="D534" s="20"/>
    </row>
    <row r="535">
      <c r="A535" s="18"/>
      <c r="B535" s="19"/>
      <c r="C535" s="19"/>
      <c r="D535" s="20"/>
    </row>
    <row r="536">
      <c r="A536" s="18"/>
      <c r="B536" s="19"/>
      <c r="C536" s="19"/>
      <c r="D536" s="20"/>
    </row>
    <row r="537">
      <c r="A537" s="18"/>
      <c r="B537" s="19"/>
      <c r="C537" s="19"/>
      <c r="D537" s="20"/>
    </row>
    <row r="538">
      <c r="A538" s="18"/>
      <c r="B538" s="19"/>
      <c r="C538" s="19"/>
      <c r="D538" s="20"/>
    </row>
    <row r="539">
      <c r="A539" s="18"/>
      <c r="B539" s="19"/>
      <c r="C539" s="19"/>
      <c r="D539" s="20"/>
    </row>
    <row r="540">
      <c r="A540" s="18"/>
      <c r="B540" s="19"/>
      <c r="C540" s="19"/>
      <c r="D540" s="20"/>
    </row>
    <row r="541">
      <c r="A541" s="18"/>
      <c r="B541" s="19"/>
      <c r="C541" s="19"/>
      <c r="D541" s="20"/>
    </row>
    <row r="542">
      <c r="A542" s="18"/>
      <c r="B542" s="19"/>
      <c r="C542" s="19"/>
      <c r="D542" s="20"/>
    </row>
    <row r="543">
      <c r="A543" s="18"/>
      <c r="B543" s="19"/>
      <c r="C543" s="19"/>
      <c r="D543" s="20"/>
    </row>
    <row r="544">
      <c r="A544" s="18"/>
      <c r="B544" s="19"/>
      <c r="C544" s="19"/>
      <c r="D544" s="20"/>
    </row>
    <row r="545">
      <c r="A545" s="18"/>
      <c r="B545" s="19"/>
      <c r="C545" s="19"/>
      <c r="D545" s="20"/>
    </row>
    <row r="546">
      <c r="A546" s="18"/>
      <c r="B546" s="19"/>
      <c r="C546" s="19"/>
      <c r="D546" s="20"/>
    </row>
    <row r="547">
      <c r="A547" s="18"/>
      <c r="B547" s="19"/>
      <c r="C547" s="19"/>
      <c r="D547" s="20"/>
    </row>
    <row r="548">
      <c r="A548" s="18"/>
      <c r="B548" s="19"/>
      <c r="C548" s="19"/>
      <c r="D548" s="20"/>
    </row>
    <row r="549">
      <c r="A549" s="18"/>
      <c r="B549" s="19"/>
      <c r="C549" s="19"/>
      <c r="D549" s="20"/>
    </row>
    <row r="550">
      <c r="A550" s="18"/>
      <c r="B550" s="19"/>
      <c r="C550" s="19"/>
      <c r="D550" s="20"/>
    </row>
    <row r="551">
      <c r="A551" s="18"/>
      <c r="B551" s="19"/>
      <c r="C551" s="19"/>
      <c r="D551" s="20"/>
    </row>
    <row r="552">
      <c r="A552" s="18"/>
      <c r="B552" s="19"/>
      <c r="C552" s="19"/>
      <c r="D552" s="20"/>
    </row>
    <row r="553">
      <c r="A553" s="18"/>
      <c r="B553" s="19"/>
      <c r="C553" s="19"/>
      <c r="D553" s="20"/>
    </row>
    <row r="554">
      <c r="A554" s="18"/>
      <c r="B554" s="19"/>
      <c r="C554" s="19"/>
      <c r="D554" s="20"/>
    </row>
    <row r="555">
      <c r="A555" s="18"/>
      <c r="B555" s="19"/>
      <c r="C555" s="19"/>
      <c r="D555" s="20"/>
    </row>
    <row r="556">
      <c r="A556" s="18"/>
      <c r="B556" s="19"/>
      <c r="C556" s="19"/>
      <c r="D556" s="20"/>
    </row>
    <row r="557">
      <c r="A557" s="18"/>
      <c r="B557" s="19"/>
      <c r="C557" s="19"/>
      <c r="D557" s="20"/>
    </row>
    <row r="558">
      <c r="A558" s="18"/>
      <c r="B558" s="19"/>
      <c r="C558" s="19"/>
      <c r="D558" s="20"/>
    </row>
    <row r="559">
      <c r="A559" s="18"/>
      <c r="B559" s="19"/>
      <c r="C559" s="19"/>
      <c r="D559" s="20"/>
    </row>
    <row r="560">
      <c r="A560" s="18"/>
      <c r="B560" s="19"/>
      <c r="C560" s="19"/>
      <c r="D560" s="20"/>
    </row>
    <row r="561">
      <c r="A561" s="18"/>
      <c r="B561" s="19"/>
      <c r="C561" s="19"/>
      <c r="D561" s="20"/>
    </row>
    <row r="562">
      <c r="A562" s="18"/>
      <c r="B562" s="19"/>
      <c r="C562" s="19"/>
      <c r="D562" s="20"/>
    </row>
    <row r="563">
      <c r="A563" s="18"/>
      <c r="B563" s="19"/>
      <c r="C563" s="19"/>
      <c r="D563" s="20"/>
    </row>
    <row r="564">
      <c r="A564" s="18"/>
      <c r="B564" s="19"/>
      <c r="C564" s="19"/>
      <c r="D564" s="20"/>
    </row>
    <row r="565">
      <c r="A565" s="18"/>
      <c r="B565" s="19"/>
      <c r="C565" s="19"/>
      <c r="D565" s="20"/>
    </row>
    <row r="566">
      <c r="A566" s="18"/>
      <c r="B566" s="19"/>
      <c r="C566" s="19"/>
      <c r="D566" s="20"/>
    </row>
    <row r="567">
      <c r="A567" s="18"/>
      <c r="B567" s="19"/>
      <c r="C567" s="19"/>
      <c r="D567" s="20"/>
    </row>
    <row r="568">
      <c r="A568" s="18"/>
      <c r="B568" s="19"/>
      <c r="C568" s="19"/>
      <c r="D568" s="20"/>
    </row>
    <row r="569">
      <c r="A569" s="18"/>
      <c r="B569" s="19"/>
      <c r="C569" s="19"/>
      <c r="D569" s="20"/>
    </row>
    <row r="570">
      <c r="A570" s="18"/>
      <c r="B570" s="19"/>
      <c r="C570" s="19"/>
      <c r="D570" s="20"/>
    </row>
    <row r="571">
      <c r="A571" s="18"/>
      <c r="B571" s="19"/>
      <c r="C571" s="19"/>
      <c r="D571" s="20"/>
    </row>
    <row r="572">
      <c r="A572" s="18"/>
      <c r="B572" s="19"/>
      <c r="C572" s="19"/>
      <c r="D572" s="20"/>
    </row>
    <row r="573">
      <c r="A573" s="18"/>
      <c r="B573" s="19"/>
      <c r="C573" s="19"/>
      <c r="D573" s="20"/>
    </row>
    <row r="574">
      <c r="A574" s="18"/>
      <c r="B574" s="19"/>
      <c r="C574" s="19"/>
      <c r="D574" s="20"/>
    </row>
    <row r="575">
      <c r="A575" s="18"/>
      <c r="B575" s="19"/>
      <c r="C575" s="19"/>
      <c r="D575" s="20"/>
    </row>
    <row r="576">
      <c r="A576" s="18"/>
      <c r="B576" s="19"/>
      <c r="C576" s="19"/>
      <c r="D576" s="20"/>
    </row>
    <row r="577">
      <c r="A577" s="18"/>
      <c r="B577" s="19"/>
      <c r="C577" s="19"/>
      <c r="D577" s="20"/>
    </row>
    <row r="578">
      <c r="A578" s="18"/>
      <c r="B578" s="19"/>
      <c r="C578" s="19"/>
      <c r="D578" s="20"/>
    </row>
    <row r="579">
      <c r="A579" s="18"/>
      <c r="B579" s="19"/>
      <c r="C579" s="19"/>
      <c r="D579" s="20"/>
    </row>
    <row r="580">
      <c r="A580" s="18"/>
      <c r="B580" s="19"/>
      <c r="C580" s="19"/>
      <c r="D580" s="20"/>
    </row>
    <row r="581">
      <c r="A581" s="18"/>
      <c r="B581" s="19"/>
      <c r="C581" s="19"/>
      <c r="D581" s="20"/>
    </row>
    <row r="582">
      <c r="A582" s="18"/>
      <c r="B582" s="19"/>
      <c r="C582" s="19"/>
      <c r="D582" s="20"/>
    </row>
    <row r="583">
      <c r="A583" s="18"/>
      <c r="B583" s="19"/>
      <c r="C583" s="19"/>
      <c r="D583" s="20"/>
    </row>
    <row r="584">
      <c r="A584" s="18"/>
      <c r="B584" s="19"/>
      <c r="C584" s="19"/>
      <c r="D584" s="20"/>
    </row>
    <row r="585">
      <c r="A585" s="18"/>
      <c r="B585" s="19"/>
      <c r="C585" s="19"/>
      <c r="D585" s="20"/>
    </row>
    <row r="586">
      <c r="A586" s="18"/>
      <c r="B586" s="19"/>
      <c r="C586" s="19"/>
      <c r="D586" s="20"/>
    </row>
    <row r="587">
      <c r="A587" s="18"/>
      <c r="B587" s="19"/>
      <c r="C587" s="19"/>
      <c r="D587" s="20"/>
    </row>
    <row r="588">
      <c r="A588" s="18"/>
      <c r="B588" s="19"/>
      <c r="C588" s="19"/>
      <c r="D588" s="20"/>
    </row>
    <row r="589">
      <c r="A589" s="18"/>
      <c r="B589" s="19"/>
      <c r="C589" s="19"/>
      <c r="D589" s="20"/>
    </row>
    <row r="590">
      <c r="A590" s="18"/>
      <c r="B590" s="19"/>
      <c r="C590" s="19"/>
      <c r="D590" s="20"/>
    </row>
    <row r="591">
      <c r="A591" s="18"/>
      <c r="B591" s="19"/>
      <c r="C591" s="19"/>
      <c r="D591" s="20"/>
    </row>
    <row r="592">
      <c r="A592" s="18"/>
      <c r="B592" s="19"/>
      <c r="C592" s="19"/>
      <c r="D592" s="20"/>
    </row>
    <row r="593">
      <c r="A593" s="18"/>
      <c r="B593" s="19"/>
      <c r="C593" s="19"/>
      <c r="D593" s="20"/>
    </row>
    <row r="594">
      <c r="A594" s="18"/>
      <c r="B594" s="19"/>
      <c r="C594" s="19"/>
      <c r="D594" s="20"/>
    </row>
    <row r="595">
      <c r="A595" s="18"/>
      <c r="B595" s="19"/>
      <c r="C595" s="19"/>
      <c r="D595" s="20"/>
    </row>
    <row r="596">
      <c r="A596" s="18"/>
      <c r="B596" s="19"/>
      <c r="C596" s="19"/>
      <c r="D596" s="20"/>
    </row>
    <row r="597">
      <c r="A597" s="18"/>
      <c r="B597" s="19"/>
      <c r="C597" s="19"/>
      <c r="D597" s="20"/>
    </row>
    <row r="598">
      <c r="A598" s="18"/>
      <c r="B598" s="19"/>
      <c r="C598" s="19"/>
      <c r="D598" s="20"/>
    </row>
    <row r="599">
      <c r="A599" s="18"/>
      <c r="B599" s="19"/>
      <c r="C599" s="19"/>
      <c r="D599" s="20"/>
    </row>
    <row r="600">
      <c r="A600" s="18"/>
      <c r="B600" s="19"/>
      <c r="C600" s="19"/>
      <c r="D600" s="20"/>
    </row>
    <row r="601">
      <c r="A601" s="18"/>
      <c r="B601" s="19"/>
      <c r="C601" s="19"/>
      <c r="D601" s="20"/>
    </row>
    <row r="602">
      <c r="A602" s="18"/>
      <c r="B602" s="19"/>
      <c r="C602" s="19"/>
      <c r="D602" s="20"/>
    </row>
    <row r="603">
      <c r="A603" s="18"/>
      <c r="B603" s="19"/>
      <c r="C603" s="19"/>
      <c r="D603" s="20"/>
    </row>
    <row r="604">
      <c r="A604" s="18"/>
      <c r="B604" s="19"/>
      <c r="C604" s="19"/>
      <c r="D604" s="20"/>
    </row>
    <row r="605">
      <c r="A605" s="18"/>
      <c r="B605" s="19"/>
      <c r="C605" s="19"/>
      <c r="D605" s="20"/>
    </row>
    <row r="606">
      <c r="A606" s="18"/>
      <c r="B606" s="19"/>
      <c r="C606" s="19"/>
      <c r="D606" s="20"/>
    </row>
    <row r="607">
      <c r="A607" s="18"/>
      <c r="B607" s="19"/>
      <c r="C607" s="19"/>
      <c r="D607" s="20"/>
    </row>
    <row r="608">
      <c r="A608" s="18"/>
      <c r="B608" s="19"/>
      <c r="C608" s="19"/>
      <c r="D608" s="20"/>
    </row>
    <row r="609">
      <c r="A609" s="18"/>
      <c r="B609" s="19"/>
      <c r="C609" s="19"/>
      <c r="D609" s="20"/>
    </row>
    <row r="610">
      <c r="A610" s="18"/>
      <c r="B610" s="19"/>
      <c r="C610" s="19"/>
      <c r="D610" s="20"/>
    </row>
    <row r="611">
      <c r="A611" s="18"/>
      <c r="B611" s="19"/>
      <c r="C611" s="19"/>
      <c r="D611" s="20"/>
    </row>
    <row r="612">
      <c r="A612" s="18"/>
      <c r="B612" s="19"/>
      <c r="C612" s="19"/>
      <c r="D612" s="20"/>
    </row>
    <row r="613">
      <c r="A613" s="18"/>
      <c r="B613" s="19"/>
      <c r="C613" s="19"/>
      <c r="D613" s="20"/>
    </row>
    <row r="614">
      <c r="A614" s="18"/>
      <c r="B614" s="19"/>
      <c r="C614" s="19"/>
      <c r="D614" s="20"/>
    </row>
    <row r="615">
      <c r="A615" s="18"/>
      <c r="B615" s="19"/>
      <c r="C615" s="19"/>
      <c r="D615" s="20"/>
    </row>
    <row r="616">
      <c r="A616" s="18"/>
      <c r="B616" s="19"/>
      <c r="C616" s="19"/>
      <c r="D616" s="20"/>
    </row>
    <row r="617">
      <c r="A617" s="18"/>
      <c r="B617" s="19"/>
      <c r="C617" s="19"/>
      <c r="D617" s="20"/>
    </row>
    <row r="618">
      <c r="A618" s="18"/>
      <c r="B618" s="19"/>
      <c r="C618" s="19"/>
      <c r="D618" s="20"/>
    </row>
    <row r="619">
      <c r="A619" s="18"/>
      <c r="B619" s="19"/>
      <c r="C619" s="19"/>
      <c r="D619" s="20"/>
    </row>
    <row r="620">
      <c r="A620" s="18"/>
      <c r="B620" s="19"/>
      <c r="C620" s="19"/>
      <c r="D620" s="20"/>
    </row>
    <row r="621">
      <c r="A621" s="18"/>
      <c r="B621" s="19"/>
      <c r="C621" s="19"/>
      <c r="D621" s="20"/>
    </row>
    <row r="622">
      <c r="A622" s="18"/>
      <c r="B622" s="19"/>
      <c r="C622" s="19"/>
      <c r="D622" s="20"/>
    </row>
    <row r="623">
      <c r="A623" s="18"/>
      <c r="B623" s="19"/>
      <c r="C623" s="19"/>
      <c r="D623" s="20"/>
    </row>
    <row r="624">
      <c r="A624" s="18"/>
      <c r="B624" s="19"/>
      <c r="C624" s="19"/>
      <c r="D624" s="20"/>
    </row>
    <row r="625">
      <c r="A625" s="18"/>
      <c r="B625" s="19"/>
      <c r="C625" s="19"/>
      <c r="D625" s="20"/>
    </row>
    <row r="626">
      <c r="A626" s="18"/>
      <c r="B626" s="19"/>
      <c r="C626" s="19"/>
      <c r="D626" s="20"/>
    </row>
    <row r="627">
      <c r="A627" s="18"/>
      <c r="B627" s="19"/>
      <c r="C627" s="19"/>
      <c r="D627" s="20"/>
    </row>
    <row r="628">
      <c r="A628" s="18"/>
      <c r="B628" s="19"/>
      <c r="C628" s="19"/>
      <c r="D628" s="20"/>
    </row>
    <row r="629">
      <c r="A629" s="18"/>
      <c r="B629" s="19"/>
      <c r="C629" s="19"/>
      <c r="D629" s="20"/>
    </row>
    <row r="630">
      <c r="A630" s="18"/>
      <c r="B630" s="19"/>
      <c r="C630" s="19"/>
      <c r="D630" s="20"/>
    </row>
    <row r="631">
      <c r="A631" s="18"/>
      <c r="B631" s="19"/>
      <c r="C631" s="19"/>
      <c r="D631" s="20"/>
    </row>
    <row r="632">
      <c r="A632" s="18"/>
      <c r="B632" s="19"/>
      <c r="C632" s="19"/>
      <c r="D632" s="20"/>
    </row>
    <row r="633">
      <c r="A633" s="18"/>
      <c r="B633" s="19"/>
      <c r="C633" s="19"/>
      <c r="D633" s="20"/>
    </row>
    <row r="634">
      <c r="A634" s="18"/>
      <c r="B634" s="19"/>
      <c r="C634" s="19"/>
      <c r="D634" s="20"/>
    </row>
    <row r="635">
      <c r="A635" s="18"/>
      <c r="B635" s="19"/>
      <c r="C635" s="19"/>
      <c r="D635" s="20"/>
    </row>
    <row r="636">
      <c r="A636" s="18"/>
      <c r="B636" s="19"/>
      <c r="C636" s="19"/>
      <c r="D636" s="20"/>
    </row>
    <row r="637">
      <c r="A637" s="18"/>
      <c r="B637" s="19"/>
      <c r="C637" s="19"/>
      <c r="D637" s="20"/>
    </row>
    <row r="638">
      <c r="A638" s="18"/>
      <c r="B638" s="19"/>
      <c r="C638" s="19"/>
      <c r="D638" s="20"/>
    </row>
    <row r="639">
      <c r="A639" s="18"/>
      <c r="B639" s="19"/>
      <c r="C639" s="19"/>
      <c r="D639" s="20"/>
    </row>
    <row r="640">
      <c r="A640" s="18"/>
      <c r="B640" s="19"/>
      <c r="C640" s="19"/>
      <c r="D640" s="20"/>
    </row>
    <row r="641">
      <c r="A641" s="18"/>
      <c r="B641" s="19"/>
      <c r="C641" s="19"/>
      <c r="D641" s="20"/>
    </row>
    <row r="642">
      <c r="A642" s="18"/>
      <c r="B642" s="19"/>
      <c r="C642" s="19"/>
      <c r="D642" s="20"/>
    </row>
    <row r="643">
      <c r="A643" s="18"/>
      <c r="B643" s="19"/>
      <c r="C643" s="19"/>
      <c r="D643" s="20"/>
    </row>
    <row r="644">
      <c r="A644" s="18"/>
      <c r="B644" s="19"/>
      <c r="C644" s="19"/>
      <c r="D644" s="20"/>
    </row>
    <row r="645">
      <c r="A645" s="18"/>
      <c r="B645" s="19"/>
      <c r="C645" s="19"/>
      <c r="D645" s="20"/>
    </row>
    <row r="646">
      <c r="A646" s="18"/>
      <c r="B646" s="19"/>
      <c r="C646" s="19"/>
      <c r="D646" s="20"/>
    </row>
    <row r="647">
      <c r="A647" s="18"/>
      <c r="B647" s="19"/>
      <c r="C647" s="19"/>
      <c r="D647" s="20"/>
    </row>
    <row r="648">
      <c r="A648" s="18"/>
      <c r="B648" s="19"/>
      <c r="C648" s="19"/>
      <c r="D648" s="20"/>
    </row>
    <row r="649">
      <c r="A649" s="18"/>
      <c r="B649" s="19"/>
      <c r="C649" s="19"/>
      <c r="D649" s="20"/>
    </row>
    <row r="650">
      <c r="A650" s="18"/>
      <c r="B650" s="19"/>
      <c r="C650" s="19"/>
      <c r="D650" s="20"/>
    </row>
    <row r="651">
      <c r="A651" s="18"/>
      <c r="B651" s="19"/>
      <c r="C651" s="19"/>
      <c r="D651" s="20"/>
    </row>
    <row r="652">
      <c r="A652" s="18"/>
      <c r="B652" s="19"/>
      <c r="C652" s="19"/>
      <c r="D652" s="20"/>
    </row>
    <row r="653">
      <c r="A653" s="18"/>
      <c r="B653" s="19"/>
      <c r="C653" s="19"/>
      <c r="D653" s="20"/>
    </row>
    <row r="654">
      <c r="A654" s="18"/>
      <c r="B654" s="19"/>
      <c r="C654" s="19"/>
      <c r="D654" s="20"/>
    </row>
    <row r="655">
      <c r="A655" s="18"/>
      <c r="B655" s="19"/>
      <c r="C655" s="19"/>
      <c r="D655" s="20"/>
    </row>
    <row r="656">
      <c r="A656" s="18"/>
      <c r="B656" s="19"/>
      <c r="C656" s="19"/>
      <c r="D656" s="20"/>
    </row>
    <row r="657">
      <c r="A657" s="18"/>
      <c r="B657" s="19"/>
      <c r="C657" s="19"/>
      <c r="D657" s="20"/>
    </row>
    <row r="658">
      <c r="A658" s="18"/>
      <c r="B658" s="19"/>
      <c r="C658" s="19"/>
      <c r="D658" s="20"/>
    </row>
    <row r="659">
      <c r="A659" s="18"/>
      <c r="B659" s="19"/>
      <c r="C659" s="19"/>
      <c r="D659" s="20"/>
    </row>
    <row r="660">
      <c r="A660" s="18"/>
      <c r="B660" s="19"/>
      <c r="C660" s="19"/>
      <c r="D660" s="20"/>
    </row>
    <row r="661">
      <c r="A661" s="18"/>
      <c r="B661" s="19"/>
      <c r="C661" s="19"/>
      <c r="D661" s="20"/>
    </row>
    <row r="662">
      <c r="A662" s="18"/>
      <c r="B662" s="19"/>
      <c r="C662" s="19"/>
      <c r="D662" s="20"/>
    </row>
    <row r="663">
      <c r="A663" s="18"/>
      <c r="B663" s="19"/>
      <c r="C663" s="19"/>
      <c r="D663" s="20"/>
    </row>
    <row r="664">
      <c r="A664" s="18"/>
      <c r="B664" s="19"/>
      <c r="C664" s="19"/>
      <c r="D664" s="20"/>
    </row>
    <row r="665">
      <c r="A665" s="18"/>
      <c r="B665" s="19"/>
      <c r="C665" s="19"/>
      <c r="D665" s="20"/>
    </row>
    <row r="666">
      <c r="A666" s="18"/>
      <c r="B666" s="19"/>
      <c r="C666" s="19"/>
      <c r="D666" s="20"/>
    </row>
    <row r="667">
      <c r="A667" s="18"/>
      <c r="B667" s="19"/>
      <c r="C667" s="19"/>
      <c r="D667" s="20"/>
    </row>
    <row r="668">
      <c r="A668" s="18"/>
      <c r="B668" s="19"/>
      <c r="C668" s="19"/>
      <c r="D668" s="20"/>
    </row>
    <row r="669">
      <c r="A669" s="18"/>
      <c r="B669" s="19"/>
      <c r="C669" s="19"/>
      <c r="D669" s="20"/>
    </row>
    <row r="670">
      <c r="A670" s="18"/>
      <c r="B670" s="19"/>
      <c r="C670" s="19"/>
      <c r="D670" s="20"/>
    </row>
    <row r="671">
      <c r="A671" s="18"/>
      <c r="B671" s="19"/>
      <c r="C671" s="19"/>
      <c r="D671" s="20"/>
    </row>
    <row r="672">
      <c r="A672" s="18"/>
      <c r="B672" s="19"/>
      <c r="C672" s="19"/>
      <c r="D672" s="20"/>
    </row>
    <row r="673">
      <c r="A673" s="18"/>
      <c r="B673" s="19"/>
      <c r="C673" s="19"/>
      <c r="D673" s="20"/>
    </row>
    <row r="674">
      <c r="A674" s="18"/>
      <c r="B674" s="19"/>
      <c r="C674" s="19"/>
      <c r="D674" s="20"/>
    </row>
    <row r="675">
      <c r="A675" s="18"/>
      <c r="B675" s="19"/>
      <c r="C675" s="19"/>
      <c r="D675" s="20"/>
    </row>
    <row r="676">
      <c r="A676" s="18"/>
      <c r="B676" s="19"/>
      <c r="C676" s="19"/>
      <c r="D676" s="20"/>
    </row>
    <row r="677">
      <c r="A677" s="18"/>
      <c r="B677" s="19"/>
      <c r="C677" s="19"/>
      <c r="D677" s="20"/>
    </row>
    <row r="678">
      <c r="A678" s="18"/>
      <c r="B678" s="19"/>
      <c r="C678" s="19"/>
      <c r="D678" s="20"/>
    </row>
    <row r="679">
      <c r="A679" s="18"/>
      <c r="B679" s="19"/>
      <c r="C679" s="19"/>
      <c r="D679" s="20"/>
    </row>
    <row r="680">
      <c r="A680" s="18"/>
      <c r="B680" s="19"/>
      <c r="C680" s="19"/>
      <c r="D680" s="20"/>
    </row>
    <row r="681">
      <c r="A681" s="18"/>
      <c r="B681" s="19"/>
      <c r="C681" s="19"/>
      <c r="D681" s="20"/>
    </row>
    <row r="682">
      <c r="A682" s="18"/>
      <c r="B682" s="19"/>
      <c r="C682" s="19"/>
      <c r="D682" s="20"/>
    </row>
    <row r="683">
      <c r="A683" s="18"/>
      <c r="B683" s="19"/>
      <c r="C683" s="19"/>
      <c r="D683" s="20"/>
    </row>
    <row r="684">
      <c r="A684" s="18"/>
      <c r="B684" s="19"/>
      <c r="C684" s="19"/>
      <c r="D684" s="20"/>
    </row>
    <row r="685">
      <c r="A685" s="18"/>
      <c r="B685" s="19"/>
      <c r="C685" s="19"/>
      <c r="D685" s="20"/>
    </row>
    <row r="686">
      <c r="A686" s="18"/>
      <c r="B686" s="19"/>
      <c r="C686" s="19"/>
      <c r="D686" s="20"/>
    </row>
    <row r="687">
      <c r="A687" s="18"/>
      <c r="B687" s="19"/>
      <c r="C687" s="19"/>
      <c r="D687" s="20"/>
    </row>
    <row r="688">
      <c r="A688" s="18"/>
      <c r="B688" s="19"/>
      <c r="C688" s="19"/>
      <c r="D688" s="20"/>
    </row>
    <row r="689">
      <c r="A689" s="18"/>
      <c r="B689" s="19"/>
      <c r="C689" s="19"/>
      <c r="D689" s="20"/>
    </row>
    <row r="690">
      <c r="A690" s="18"/>
      <c r="B690" s="19"/>
      <c r="C690" s="19"/>
      <c r="D690" s="20"/>
    </row>
    <row r="691">
      <c r="A691" s="18"/>
      <c r="B691" s="19"/>
      <c r="C691" s="19"/>
      <c r="D691" s="20"/>
    </row>
    <row r="692">
      <c r="A692" s="18"/>
      <c r="B692" s="19"/>
      <c r="C692" s="19"/>
      <c r="D692" s="20"/>
    </row>
    <row r="693">
      <c r="A693" s="18"/>
      <c r="B693" s="19"/>
      <c r="C693" s="19"/>
      <c r="D693" s="20"/>
    </row>
    <row r="694">
      <c r="A694" s="18"/>
      <c r="B694" s="19"/>
      <c r="C694" s="19"/>
      <c r="D694" s="20"/>
    </row>
    <row r="695">
      <c r="A695" s="18"/>
      <c r="B695" s="19"/>
      <c r="C695" s="19"/>
      <c r="D695" s="20"/>
    </row>
    <row r="696">
      <c r="A696" s="18"/>
      <c r="B696" s="19"/>
      <c r="C696" s="19"/>
      <c r="D696" s="20"/>
    </row>
    <row r="697">
      <c r="A697" s="18"/>
      <c r="B697" s="19"/>
      <c r="C697" s="19"/>
      <c r="D697" s="20"/>
    </row>
    <row r="698">
      <c r="A698" s="18"/>
      <c r="B698" s="19"/>
      <c r="C698" s="19"/>
      <c r="D698" s="20"/>
    </row>
    <row r="699">
      <c r="A699" s="18"/>
      <c r="B699" s="19"/>
      <c r="C699" s="19"/>
      <c r="D699" s="20"/>
    </row>
    <row r="700">
      <c r="A700" s="18"/>
      <c r="B700" s="19"/>
      <c r="C700" s="19"/>
      <c r="D700" s="20"/>
    </row>
    <row r="701">
      <c r="A701" s="18"/>
      <c r="B701" s="19"/>
      <c r="C701" s="19"/>
      <c r="D701" s="20"/>
    </row>
    <row r="702">
      <c r="A702" s="18"/>
      <c r="B702" s="19"/>
      <c r="C702" s="19"/>
      <c r="D702" s="20"/>
    </row>
    <row r="703">
      <c r="A703" s="18"/>
      <c r="B703" s="19"/>
      <c r="C703" s="19"/>
      <c r="D703" s="20"/>
    </row>
    <row r="704">
      <c r="A704" s="18"/>
      <c r="B704" s="19"/>
      <c r="C704" s="19"/>
      <c r="D704" s="20"/>
    </row>
    <row r="705">
      <c r="A705" s="18"/>
      <c r="B705" s="19"/>
      <c r="C705" s="19"/>
      <c r="D705" s="20"/>
    </row>
    <row r="706">
      <c r="A706" s="18"/>
      <c r="B706" s="19"/>
      <c r="C706" s="19"/>
      <c r="D706" s="20"/>
    </row>
    <row r="707">
      <c r="A707" s="18"/>
      <c r="B707" s="19"/>
      <c r="C707" s="19"/>
      <c r="D707" s="20"/>
    </row>
    <row r="708">
      <c r="A708" s="18"/>
      <c r="B708" s="19"/>
      <c r="C708" s="19"/>
      <c r="D708" s="20"/>
    </row>
    <row r="709">
      <c r="A709" s="18"/>
      <c r="B709" s="19"/>
      <c r="C709" s="19"/>
      <c r="D709" s="20"/>
    </row>
    <row r="710">
      <c r="A710" s="18"/>
      <c r="B710" s="19"/>
      <c r="C710" s="19"/>
      <c r="D710" s="20"/>
    </row>
    <row r="711">
      <c r="A711" s="18"/>
      <c r="B711" s="19"/>
      <c r="C711" s="19"/>
      <c r="D711" s="20"/>
    </row>
    <row r="712">
      <c r="A712" s="18"/>
      <c r="B712" s="19"/>
      <c r="C712" s="19"/>
      <c r="D712" s="20"/>
    </row>
    <row r="713">
      <c r="A713" s="18"/>
      <c r="B713" s="19"/>
      <c r="C713" s="19"/>
      <c r="D713" s="20"/>
    </row>
    <row r="714">
      <c r="A714" s="18"/>
      <c r="B714" s="19"/>
      <c r="C714" s="19"/>
      <c r="D714" s="20"/>
    </row>
    <row r="715">
      <c r="A715" s="18"/>
      <c r="B715" s="19"/>
      <c r="C715" s="19"/>
      <c r="D715" s="20"/>
    </row>
    <row r="716">
      <c r="A716" s="18"/>
      <c r="B716" s="19"/>
      <c r="C716" s="19"/>
      <c r="D716" s="20"/>
    </row>
    <row r="717">
      <c r="A717" s="18"/>
      <c r="B717" s="19"/>
      <c r="C717" s="19"/>
      <c r="D717" s="20"/>
    </row>
    <row r="718">
      <c r="A718" s="18"/>
      <c r="B718" s="19"/>
      <c r="C718" s="19"/>
      <c r="D718" s="20"/>
    </row>
    <row r="719">
      <c r="A719" s="18"/>
      <c r="B719" s="19"/>
      <c r="C719" s="19"/>
      <c r="D719" s="20"/>
    </row>
    <row r="720">
      <c r="A720" s="18"/>
      <c r="B720" s="19"/>
      <c r="C720" s="19"/>
      <c r="D720" s="20"/>
    </row>
    <row r="721">
      <c r="A721" s="18"/>
      <c r="B721" s="19"/>
      <c r="C721" s="19"/>
      <c r="D721" s="20"/>
    </row>
    <row r="722">
      <c r="A722" s="18"/>
      <c r="B722" s="19"/>
      <c r="C722" s="19"/>
      <c r="D722" s="20"/>
    </row>
    <row r="723">
      <c r="A723" s="18"/>
      <c r="B723" s="19"/>
      <c r="C723" s="19"/>
      <c r="D723" s="20"/>
    </row>
    <row r="724">
      <c r="A724" s="18"/>
      <c r="B724" s="19"/>
      <c r="C724" s="19"/>
      <c r="D724" s="20"/>
    </row>
    <row r="725">
      <c r="A725" s="18"/>
      <c r="B725" s="19"/>
      <c r="C725" s="19"/>
      <c r="D725" s="20"/>
    </row>
    <row r="726">
      <c r="A726" s="18"/>
      <c r="B726" s="19"/>
      <c r="C726" s="19"/>
      <c r="D726" s="20"/>
    </row>
    <row r="727">
      <c r="A727" s="18"/>
      <c r="B727" s="19"/>
      <c r="C727" s="19"/>
      <c r="D727" s="20"/>
    </row>
    <row r="728">
      <c r="A728" s="18"/>
      <c r="B728" s="19"/>
      <c r="C728" s="19"/>
      <c r="D728" s="20"/>
    </row>
    <row r="729">
      <c r="A729" s="18"/>
      <c r="B729" s="19"/>
      <c r="C729" s="19"/>
      <c r="D729" s="20"/>
    </row>
    <row r="730">
      <c r="A730" s="18"/>
      <c r="B730" s="19"/>
      <c r="C730" s="19"/>
      <c r="D730" s="20"/>
    </row>
    <row r="731">
      <c r="A731" s="18"/>
      <c r="B731" s="19"/>
      <c r="C731" s="19"/>
      <c r="D731" s="20"/>
    </row>
    <row r="732">
      <c r="A732" s="18"/>
      <c r="B732" s="19"/>
      <c r="C732" s="19"/>
      <c r="D732" s="20"/>
    </row>
    <row r="733">
      <c r="A733" s="18"/>
      <c r="B733" s="19"/>
      <c r="C733" s="19"/>
      <c r="D733" s="20"/>
    </row>
    <row r="734">
      <c r="A734" s="18"/>
      <c r="B734" s="19"/>
      <c r="C734" s="19"/>
      <c r="D734" s="20"/>
    </row>
    <row r="735">
      <c r="A735" s="18"/>
      <c r="B735" s="19"/>
      <c r="C735" s="19"/>
      <c r="D735" s="20"/>
    </row>
    <row r="736">
      <c r="A736" s="18"/>
      <c r="B736" s="19"/>
      <c r="C736" s="19"/>
      <c r="D736" s="20"/>
    </row>
    <row r="737">
      <c r="A737" s="18"/>
      <c r="B737" s="19"/>
      <c r="C737" s="19"/>
      <c r="D737" s="20"/>
    </row>
    <row r="738">
      <c r="A738" s="18"/>
      <c r="B738" s="19"/>
      <c r="C738" s="19"/>
      <c r="D738" s="20"/>
    </row>
    <row r="739">
      <c r="A739" s="18"/>
      <c r="B739" s="19"/>
      <c r="C739" s="19"/>
      <c r="D739" s="20"/>
    </row>
    <row r="740">
      <c r="A740" s="18"/>
      <c r="B740" s="19"/>
      <c r="C740" s="19"/>
      <c r="D740" s="20"/>
    </row>
    <row r="741">
      <c r="A741" s="18"/>
      <c r="B741" s="19"/>
      <c r="C741" s="19"/>
      <c r="D741" s="20"/>
    </row>
    <row r="742">
      <c r="A742" s="18"/>
      <c r="B742" s="19"/>
      <c r="C742" s="19"/>
      <c r="D742" s="20"/>
    </row>
    <row r="743">
      <c r="A743" s="18"/>
      <c r="B743" s="19"/>
      <c r="C743" s="19"/>
      <c r="D743" s="20"/>
    </row>
    <row r="744">
      <c r="A744" s="18"/>
      <c r="B744" s="19"/>
      <c r="C744" s="19"/>
      <c r="D744" s="20"/>
    </row>
    <row r="745">
      <c r="A745" s="18"/>
      <c r="B745" s="19"/>
      <c r="C745" s="19"/>
      <c r="D745" s="20"/>
    </row>
    <row r="746">
      <c r="A746" s="18"/>
      <c r="B746" s="19"/>
      <c r="C746" s="19"/>
      <c r="D746" s="20"/>
    </row>
    <row r="747">
      <c r="A747" s="18"/>
      <c r="B747" s="19"/>
      <c r="C747" s="19"/>
      <c r="D747" s="20"/>
    </row>
    <row r="748">
      <c r="A748" s="18"/>
      <c r="B748" s="19"/>
      <c r="C748" s="19"/>
      <c r="D748" s="20"/>
    </row>
    <row r="749">
      <c r="A749" s="18"/>
      <c r="B749" s="19"/>
      <c r="C749" s="19"/>
      <c r="D749" s="20"/>
    </row>
    <row r="750">
      <c r="A750" s="18"/>
      <c r="B750" s="19"/>
      <c r="C750" s="19"/>
      <c r="D750" s="20"/>
    </row>
    <row r="751">
      <c r="A751" s="18"/>
      <c r="B751" s="19"/>
      <c r="C751" s="19"/>
      <c r="D751" s="20"/>
    </row>
    <row r="752">
      <c r="A752" s="18"/>
      <c r="B752" s="19"/>
      <c r="C752" s="19"/>
      <c r="D752" s="20"/>
    </row>
    <row r="753">
      <c r="A753" s="18"/>
      <c r="B753" s="19"/>
      <c r="C753" s="19"/>
      <c r="D753" s="20"/>
    </row>
    <row r="754">
      <c r="A754" s="18"/>
      <c r="B754" s="19"/>
      <c r="C754" s="19"/>
      <c r="D754" s="20"/>
    </row>
    <row r="755">
      <c r="A755" s="18"/>
      <c r="B755" s="19"/>
      <c r="C755" s="19"/>
      <c r="D755" s="20"/>
    </row>
    <row r="756">
      <c r="A756" s="18"/>
      <c r="B756" s="19"/>
      <c r="C756" s="19"/>
      <c r="D756" s="20"/>
    </row>
    <row r="757">
      <c r="A757" s="18"/>
      <c r="B757" s="19"/>
      <c r="C757" s="19"/>
      <c r="D757" s="20"/>
    </row>
    <row r="758">
      <c r="A758" s="18"/>
      <c r="B758" s="19"/>
      <c r="C758" s="19"/>
      <c r="D758" s="20"/>
    </row>
    <row r="759">
      <c r="A759" s="18"/>
      <c r="B759" s="19"/>
      <c r="C759" s="19"/>
      <c r="D759" s="20"/>
    </row>
    <row r="760">
      <c r="A760" s="18"/>
      <c r="B760" s="19"/>
      <c r="C760" s="19"/>
      <c r="D760" s="20"/>
    </row>
    <row r="761">
      <c r="A761" s="18"/>
      <c r="B761" s="19"/>
      <c r="C761" s="19"/>
      <c r="D761" s="20"/>
    </row>
    <row r="762">
      <c r="A762" s="18"/>
      <c r="B762" s="19"/>
      <c r="C762" s="19"/>
      <c r="D762" s="20"/>
    </row>
    <row r="763">
      <c r="A763" s="18"/>
      <c r="B763" s="19"/>
      <c r="C763" s="19"/>
      <c r="D763" s="20"/>
    </row>
    <row r="764">
      <c r="A764" s="18"/>
      <c r="B764" s="19"/>
      <c r="C764" s="19"/>
      <c r="D764" s="20"/>
    </row>
    <row r="765">
      <c r="A765" s="18"/>
      <c r="B765" s="19"/>
      <c r="C765" s="19"/>
      <c r="D765" s="20"/>
    </row>
    <row r="766">
      <c r="A766" s="18"/>
      <c r="B766" s="19"/>
      <c r="C766" s="19"/>
      <c r="D766" s="20"/>
    </row>
    <row r="767">
      <c r="A767" s="18"/>
      <c r="B767" s="19"/>
      <c r="C767" s="19"/>
      <c r="D767" s="20"/>
    </row>
    <row r="768">
      <c r="A768" s="18"/>
      <c r="B768" s="19"/>
      <c r="C768" s="19"/>
      <c r="D768" s="20"/>
    </row>
    <row r="769">
      <c r="A769" s="18"/>
      <c r="B769" s="19"/>
      <c r="C769" s="19"/>
      <c r="D769" s="20"/>
    </row>
    <row r="770">
      <c r="A770" s="18"/>
      <c r="B770" s="19"/>
      <c r="C770" s="19"/>
      <c r="D770" s="20"/>
    </row>
    <row r="771">
      <c r="A771" s="18"/>
      <c r="B771" s="19"/>
      <c r="C771" s="19"/>
      <c r="D771" s="20"/>
    </row>
    <row r="772">
      <c r="A772" s="18"/>
      <c r="B772" s="19"/>
      <c r="C772" s="19"/>
      <c r="D772" s="20"/>
    </row>
    <row r="773">
      <c r="A773" s="18"/>
      <c r="B773" s="19"/>
      <c r="C773" s="19"/>
      <c r="D773" s="20"/>
    </row>
    <row r="774">
      <c r="A774" s="18"/>
      <c r="B774" s="19"/>
      <c r="C774" s="19"/>
      <c r="D774" s="20"/>
    </row>
    <row r="775">
      <c r="A775" s="18"/>
      <c r="B775" s="19"/>
      <c r="C775" s="19"/>
      <c r="D775" s="20"/>
    </row>
    <row r="776">
      <c r="A776" s="18"/>
      <c r="B776" s="19"/>
      <c r="C776" s="19"/>
      <c r="D776" s="20"/>
    </row>
    <row r="777">
      <c r="A777" s="18"/>
      <c r="B777" s="19"/>
      <c r="C777" s="19"/>
      <c r="D777" s="20"/>
    </row>
    <row r="778">
      <c r="A778" s="18"/>
      <c r="B778" s="19"/>
      <c r="C778" s="19"/>
      <c r="D778" s="20"/>
    </row>
    <row r="779">
      <c r="A779" s="18"/>
      <c r="B779" s="19"/>
      <c r="C779" s="19"/>
      <c r="D779" s="20"/>
    </row>
    <row r="780">
      <c r="A780" s="18"/>
      <c r="B780" s="19"/>
      <c r="C780" s="19"/>
      <c r="D780" s="20"/>
    </row>
    <row r="781">
      <c r="A781" s="18"/>
      <c r="B781" s="19"/>
      <c r="C781" s="19"/>
      <c r="D781" s="20"/>
    </row>
    <row r="782">
      <c r="A782" s="18"/>
      <c r="B782" s="19"/>
      <c r="C782" s="19"/>
      <c r="D782" s="20"/>
    </row>
    <row r="783">
      <c r="A783" s="18"/>
      <c r="B783" s="19"/>
      <c r="C783" s="19"/>
      <c r="D783" s="20"/>
    </row>
    <row r="784">
      <c r="A784" s="18"/>
      <c r="B784" s="19"/>
      <c r="C784" s="19"/>
      <c r="D784" s="20"/>
    </row>
    <row r="785">
      <c r="A785" s="18"/>
      <c r="B785" s="19"/>
      <c r="C785" s="19"/>
      <c r="D785" s="20"/>
    </row>
    <row r="786">
      <c r="A786" s="18"/>
      <c r="B786" s="19"/>
      <c r="C786" s="19"/>
      <c r="D786" s="20"/>
    </row>
    <row r="787">
      <c r="A787" s="18"/>
      <c r="B787" s="19"/>
      <c r="C787" s="19"/>
      <c r="D787" s="20"/>
    </row>
    <row r="788">
      <c r="A788" s="18"/>
      <c r="B788" s="19"/>
      <c r="C788" s="19"/>
      <c r="D788" s="20"/>
    </row>
    <row r="789">
      <c r="A789" s="18"/>
      <c r="B789" s="19"/>
      <c r="C789" s="19"/>
      <c r="D789" s="20"/>
    </row>
    <row r="790">
      <c r="A790" s="18"/>
      <c r="B790" s="19"/>
      <c r="C790" s="19"/>
      <c r="D790" s="20"/>
    </row>
    <row r="791">
      <c r="A791" s="18"/>
      <c r="B791" s="19"/>
      <c r="C791" s="19"/>
      <c r="D791" s="20"/>
    </row>
    <row r="792">
      <c r="A792" s="18"/>
      <c r="B792" s="19"/>
      <c r="C792" s="19"/>
      <c r="D792" s="20"/>
    </row>
    <row r="793">
      <c r="A793" s="18"/>
      <c r="B793" s="19"/>
      <c r="C793" s="19"/>
      <c r="D793" s="20"/>
    </row>
    <row r="794">
      <c r="A794" s="18"/>
      <c r="B794" s="19"/>
      <c r="C794" s="19"/>
      <c r="D794" s="20"/>
    </row>
    <row r="795">
      <c r="A795" s="18"/>
      <c r="B795" s="19"/>
      <c r="C795" s="19"/>
      <c r="D795" s="20"/>
    </row>
    <row r="796">
      <c r="A796" s="18"/>
      <c r="B796" s="19"/>
      <c r="C796" s="19"/>
      <c r="D796" s="20"/>
    </row>
    <row r="797">
      <c r="A797" s="18"/>
      <c r="B797" s="19"/>
      <c r="C797" s="19"/>
      <c r="D797" s="20"/>
    </row>
    <row r="798">
      <c r="A798" s="18"/>
      <c r="B798" s="19"/>
      <c r="C798" s="19"/>
      <c r="D798" s="20"/>
    </row>
    <row r="799">
      <c r="A799" s="18"/>
      <c r="B799" s="19"/>
      <c r="C799" s="19"/>
      <c r="D799" s="20"/>
    </row>
    <row r="800">
      <c r="A800" s="18"/>
      <c r="B800" s="19"/>
      <c r="C800" s="19"/>
      <c r="D800" s="20"/>
    </row>
    <row r="801">
      <c r="A801" s="18"/>
      <c r="B801" s="19"/>
      <c r="C801" s="19"/>
      <c r="D801" s="20"/>
    </row>
    <row r="802">
      <c r="A802" s="18"/>
      <c r="B802" s="19"/>
      <c r="C802" s="19"/>
      <c r="D802" s="20"/>
    </row>
    <row r="803">
      <c r="A803" s="18"/>
      <c r="B803" s="19"/>
      <c r="C803" s="19"/>
      <c r="D803" s="20"/>
    </row>
    <row r="804">
      <c r="A804" s="18"/>
      <c r="B804" s="19"/>
      <c r="C804" s="19"/>
      <c r="D804" s="20"/>
    </row>
    <row r="805">
      <c r="A805" s="18"/>
      <c r="B805" s="19"/>
      <c r="C805" s="19"/>
      <c r="D805" s="20"/>
    </row>
    <row r="806">
      <c r="A806" s="18"/>
      <c r="B806" s="19"/>
      <c r="C806" s="19"/>
      <c r="D806" s="20"/>
    </row>
    <row r="807">
      <c r="A807" s="18"/>
      <c r="B807" s="19"/>
      <c r="C807" s="19"/>
      <c r="D807" s="20"/>
    </row>
    <row r="808">
      <c r="A808" s="18"/>
      <c r="B808" s="19"/>
      <c r="C808" s="19"/>
      <c r="D808" s="20"/>
    </row>
    <row r="809">
      <c r="A809" s="18"/>
      <c r="B809" s="19"/>
      <c r="C809" s="19"/>
      <c r="D809" s="20"/>
    </row>
    <row r="810">
      <c r="A810" s="18"/>
      <c r="B810" s="19"/>
      <c r="C810" s="19"/>
      <c r="D810" s="20"/>
    </row>
    <row r="811">
      <c r="A811" s="18"/>
      <c r="B811" s="19"/>
      <c r="C811" s="19"/>
      <c r="D811" s="20"/>
    </row>
    <row r="812">
      <c r="A812" s="18"/>
      <c r="B812" s="19"/>
      <c r="C812" s="19"/>
      <c r="D812" s="20"/>
    </row>
    <row r="813">
      <c r="A813" s="18"/>
      <c r="B813" s="19"/>
      <c r="C813" s="19"/>
      <c r="D813" s="20"/>
    </row>
    <row r="814">
      <c r="A814" s="18"/>
      <c r="B814" s="19"/>
      <c r="C814" s="19"/>
      <c r="D814" s="20"/>
    </row>
    <row r="815">
      <c r="A815" s="18"/>
      <c r="B815" s="19"/>
      <c r="C815" s="19"/>
      <c r="D815" s="20"/>
    </row>
    <row r="816">
      <c r="A816" s="18"/>
      <c r="B816" s="19"/>
      <c r="C816" s="19"/>
      <c r="D816" s="20"/>
    </row>
    <row r="817">
      <c r="A817" s="18"/>
      <c r="B817" s="19"/>
      <c r="C817" s="19"/>
      <c r="D817" s="20"/>
    </row>
    <row r="818">
      <c r="A818" s="18"/>
      <c r="B818" s="19"/>
      <c r="C818" s="19"/>
      <c r="D818" s="20"/>
    </row>
    <row r="819">
      <c r="A819" s="18"/>
      <c r="B819" s="19"/>
      <c r="C819" s="19"/>
      <c r="D819" s="20"/>
    </row>
    <row r="820">
      <c r="A820" s="18"/>
      <c r="B820" s="19"/>
      <c r="C820" s="19"/>
      <c r="D820" s="20"/>
    </row>
    <row r="821">
      <c r="A821" s="18"/>
      <c r="B821" s="19"/>
      <c r="C821" s="19"/>
      <c r="D821" s="20"/>
    </row>
    <row r="822">
      <c r="A822" s="18"/>
      <c r="B822" s="19"/>
      <c r="C822" s="19"/>
      <c r="D822" s="20"/>
    </row>
    <row r="823">
      <c r="A823" s="18"/>
      <c r="B823" s="19"/>
      <c r="C823" s="19"/>
      <c r="D823" s="20"/>
    </row>
    <row r="824">
      <c r="A824" s="18"/>
      <c r="B824" s="19"/>
      <c r="C824" s="19"/>
      <c r="D824" s="20"/>
    </row>
    <row r="825">
      <c r="A825" s="18"/>
      <c r="B825" s="19"/>
      <c r="C825" s="19"/>
      <c r="D825" s="20"/>
    </row>
    <row r="826">
      <c r="A826" s="18"/>
      <c r="B826" s="19"/>
      <c r="C826" s="19"/>
      <c r="D826" s="20"/>
    </row>
    <row r="827">
      <c r="A827" s="18"/>
      <c r="B827" s="19"/>
      <c r="C827" s="19"/>
      <c r="D827" s="20"/>
    </row>
    <row r="828">
      <c r="A828" s="18"/>
      <c r="B828" s="19"/>
      <c r="C828" s="19"/>
      <c r="D828" s="20"/>
    </row>
    <row r="829">
      <c r="A829" s="18"/>
      <c r="B829" s="19"/>
      <c r="C829" s="19"/>
      <c r="D829" s="20"/>
    </row>
    <row r="830">
      <c r="A830" s="18"/>
      <c r="B830" s="19"/>
      <c r="C830" s="19"/>
      <c r="D830" s="20"/>
    </row>
    <row r="831">
      <c r="A831" s="18"/>
      <c r="B831" s="19"/>
      <c r="C831" s="19"/>
      <c r="D831" s="20"/>
    </row>
    <row r="832">
      <c r="A832" s="18"/>
      <c r="B832" s="19"/>
      <c r="C832" s="19"/>
      <c r="D832" s="20"/>
    </row>
    <row r="833">
      <c r="A833" s="18"/>
      <c r="B833" s="19"/>
      <c r="C833" s="19"/>
      <c r="D833" s="20"/>
    </row>
    <row r="834">
      <c r="A834" s="18"/>
      <c r="B834" s="19"/>
      <c r="C834" s="19"/>
      <c r="D834" s="20"/>
    </row>
    <row r="835">
      <c r="A835" s="18"/>
      <c r="B835" s="19"/>
      <c r="C835" s="19"/>
      <c r="D835" s="20"/>
    </row>
    <row r="836">
      <c r="A836" s="18"/>
      <c r="B836" s="19"/>
      <c r="C836" s="19"/>
      <c r="D836" s="20"/>
    </row>
    <row r="837">
      <c r="A837" s="18"/>
      <c r="B837" s="19"/>
      <c r="C837" s="19"/>
      <c r="D837" s="20"/>
    </row>
    <row r="838">
      <c r="A838" s="18"/>
      <c r="B838" s="19"/>
      <c r="C838" s="19"/>
      <c r="D838" s="20"/>
    </row>
    <row r="839">
      <c r="A839" s="18"/>
      <c r="B839" s="19"/>
      <c r="C839" s="19"/>
      <c r="D839" s="20"/>
    </row>
    <row r="840">
      <c r="A840" s="18"/>
      <c r="B840" s="19"/>
      <c r="C840" s="19"/>
      <c r="D840" s="20"/>
    </row>
    <row r="841">
      <c r="A841" s="18"/>
      <c r="B841" s="19"/>
      <c r="C841" s="19"/>
      <c r="D841" s="20"/>
    </row>
    <row r="842">
      <c r="A842" s="18"/>
      <c r="B842" s="19"/>
      <c r="C842" s="19"/>
      <c r="D842" s="20"/>
    </row>
    <row r="843">
      <c r="A843" s="18"/>
      <c r="B843" s="19"/>
      <c r="C843" s="19"/>
      <c r="D843" s="20"/>
    </row>
    <row r="844">
      <c r="A844" s="18"/>
      <c r="B844" s="19"/>
      <c r="C844" s="19"/>
      <c r="D844" s="20"/>
    </row>
    <row r="845">
      <c r="A845" s="18"/>
      <c r="B845" s="19"/>
      <c r="C845" s="19"/>
      <c r="D845" s="20"/>
    </row>
    <row r="846">
      <c r="A846" s="18"/>
      <c r="B846" s="19"/>
      <c r="C846" s="19"/>
      <c r="D846" s="20"/>
    </row>
    <row r="847">
      <c r="A847" s="18"/>
      <c r="B847" s="19"/>
      <c r="C847" s="19"/>
      <c r="D847" s="20"/>
    </row>
    <row r="848">
      <c r="A848" s="18"/>
      <c r="B848" s="19"/>
      <c r="C848" s="19"/>
      <c r="D848" s="20"/>
    </row>
    <row r="849">
      <c r="A849" s="18"/>
      <c r="B849" s="19"/>
      <c r="C849" s="19"/>
      <c r="D849" s="20"/>
    </row>
    <row r="850">
      <c r="A850" s="18"/>
      <c r="B850" s="19"/>
      <c r="C850" s="19"/>
      <c r="D850" s="20"/>
    </row>
    <row r="851">
      <c r="A851" s="18"/>
      <c r="B851" s="19"/>
      <c r="C851" s="19"/>
      <c r="D851" s="20"/>
    </row>
    <row r="852">
      <c r="A852" s="18"/>
      <c r="B852" s="19"/>
      <c r="C852" s="19"/>
      <c r="D852" s="20"/>
    </row>
    <row r="853">
      <c r="A853" s="18"/>
      <c r="B853" s="19"/>
      <c r="C853" s="19"/>
      <c r="D853" s="20"/>
    </row>
    <row r="854">
      <c r="A854" s="18"/>
      <c r="B854" s="19"/>
      <c r="C854" s="19"/>
      <c r="D854" s="20"/>
    </row>
    <row r="855">
      <c r="A855" s="18"/>
      <c r="B855" s="19"/>
      <c r="C855" s="19"/>
      <c r="D855" s="20"/>
    </row>
    <row r="856">
      <c r="A856" s="18"/>
      <c r="B856" s="19"/>
      <c r="C856" s="19"/>
      <c r="D856" s="20"/>
    </row>
    <row r="857">
      <c r="A857" s="18"/>
      <c r="B857" s="19"/>
      <c r="C857" s="19"/>
      <c r="D857" s="20"/>
    </row>
    <row r="858">
      <c r="A858" s="18"/>
      <c r="B858" s="19"/>
      <c r="C858" s="19"/>
      <c r="D858" s="20"/>
    </row>
    <row r="859">
      <c r="A859" s="18"/>
      <c r="B859" s="19"/>
      <c r="C859" s="19"/>
      <c r="D859" s="20"/>
    </row>
    <row r="860">
      <c r="A860" s="18"/>
      <c r="B860" s="19"/>
      <c r="C860" s="19"/>
      <c r="D860" s="20"/>
    </row>
    <row r="861">
      <c r="A861" s="18"/>
      <c r="B861" s="19"/>
      <c r="C861" s="19"/>
      <c r="D861" s="20"/>
    </row>
    <row r="862">
      <c r="A862" s="18"/>
      <c r="B862" s="19"/>
      <c r="C862" s="19"/>
      <c r="D862" s="20"/>
    </row>
    <row r="863">
      <c r="A863" s="18"/>
      <c r="B863" s="19"/>
      <c r="C863" s="19"/>
      <c r="D863" s="20"/>
    </row>
    <row r="864">
      <c r="A864" s="18"/>
      <c r="B864" s="19"/>
      <c r="C864" s="19"/>
      <c r="D864" s="20"/>
    </row>
    <row r="865">
      <c r="A865" s="18"/>
      <c r="B865" s="19"/>
      <c r="C865" s="19"/>
      <c r="D865" s="20"/>
    </row>
    <row r="866">
      <c r="A866" s="18"/>
      <c r="B866" s="19"/>
      <c r="C866" s="19"/>
      <c r="D866" s="20"/>
    </row>
    <row r="867">
      <c r="A867" s="18"/>
      <c r="B867" s="19"/>
      <c r="C867" s="19"/>
      <c r="D867" s="20"/>
    </row>
    <row r="868">
      <c r="A868" s="18"/>
      <c r="B868" s="19"/>
      <c r="C868" s="19"/>
      <c r="D868" s="20"/>
    </row>
    <row r="869">
      <c r="A869" s="18"/>
      <c r="B869" s="19"/>
      <c r="C869" s="19"/>
      <c r="D869" s="20"/>
    </row>
    <row r="870">
      <c r="A870" s="18"/>
      <c r="B870" s="19"/>
      <c r="C870" s="19"/>
      <c r="D870" s="20"/>
    </row>
    <row r="871">
      <c r="A871" s="18"/>
      <c r="B871" s="19"/>
      <c r="C871" s="19"/>
      <c r="D871" s="20"/>
    </row>
    <row r="872">
      <c r="A872" s="18"/>
      <c r="B872" s="19"/>
      <c r="C872" s="19"/>
      <c r="D872" s="20"/>
    </row>
    <row r="873">
      <c r="A873" s="18"/>
      <c r="B873" s="19"/>
      <c r="C873" s="19"/>
      <c r="D873" s="20"/>
    </row>
    <row r="874">
      <c r="A874" s="18"/>
      <c r="B874" s="19"/>
      <c r="C874" s="19"/>
      <c r="D874" s="20"/>
    </row>
    <row r="875">
      <c r="A875" s="18"/>
      <c r="B875" s="19"/>
      <c r="C875" s="19"/>
      <c r="D875" s="20"/>
    </row>
    <row r="876">
      <c r="A876" s="18"/>
      <c r="B876" s="19"/>
      <c r="C876" s="19"/>
      <c r="D876" s="20"/>
    </row>
    <row r="877">
      <c r="A877" s="18"/>
      <c r="B877" s="19"/>
      <c r="C877" s="19"/>
      <c r="D877" s="20"/>
    </row>
    <row r="878">
      <c r="A878" s="18"/>
      <c r="B878" s="19"/>
      <c r="C878" s="19"/>
      <c r="D878" s="20"/>
    </row>
    <row r="879">
      <c r="A879" s="18"/>
      <c r="B879" s="19"/>
      <c r="C879" s="19"/>
      <c r="D879" s="20"/>
    </row>
    <row r="880">
      <c r="A880" s="18"/>
      <c r="B880" s="19"/>
      <c r="C880" s="19"/>
      <c r="D880" s="20"/>
    </row>
    <row r="881">
      <c r="A881" s="18"/>
      <c r="B881" s="19"/>
      <c r="C881" s="19"/>
      <c r="D881" s="20"/>
    </row>
    <row r="882">
      <c r="A882" s="18"/>
      <c r="B882" s="19"/>
      <c r="C882" s="19"/>
      <c r="D882" s="20"/>
    </row>
    <row r="883">
      <c r="A883" s="18"/>
      <c r="B883" s="19"/>
      <c r="C883" s="19"/>
      <c r="D883" s="20"/>
    </row>
    <row r="884">
      <c r="A884" s="18"/>
      <c r="B884" s="19"/>
      <c r="C884" s="19"/>
      <c r="D884" s="20"/>
    </row>
    <row r="885">
      <c r="A885" s="18"/>
      <c r="B885" s="19"/>
      <c r="C885" s="19"/>
      <c r="D885" s="20"/>
    </row>
    <row r="886">
      <c r="A886" s="18"/>
      <c r="B886" s="19"/>
      <c r="C886" s="19"/>
      <c r="D886" s="20"/>
    </row>
    <row r="887">
      <c r="A887" s="18"/>
      <c r="B887" s="19"/>
      <c r="C887" s="19"/>
      <c r="D887" s="20"/>
    </row>
    <row r="888">
      <c r="A888" s="18"/>
      <c r="B888" s="19"/>
      <c r="C888" s="19"/>
      <c r="D888" s="20"/>
    </row>
    <row r="889">
      <c r="A889" s="18"/>
      <c r="B889" s="19"/>
      <c r="C889" s="19"/>
      <c r="D889" s="20"/>
    </row>
    <row r="890">
      <c r="A890" s="18"/>
      <c r="B890" s="19"/>
      <c r="C890" s="19"/>
      <c r="D890" s="20"/>
    </row>
    <row r="891">
      <c r="A891" s="18"/>
      <c r="B891" s="19"/>
      <c r="C891" s="19"/>
      <c r="D891" s="20"/>
    </row>
    <row r="892">
      <c r="A892" s="18"/>
      <c r="B892" s="19"/>
      <c r="C892" s="19"/>
      <c r="D892" s="20"/>
    </row>
    <row r="893">
      <c r="A893" s="18"/>
      <c r="B893" s="19"/>
      <c r="C893" s="19"/>
      <c r="D893" s="20"/>
    </row>
    <row r="894">
      <c r="A894" s="18"/>
      <c r="B894" s="19"/>
      <c r="C894" s="19"/>
      <c r="D894" s="20"/>
    </row>
    <row r="895">
      <c r="A895" s="18"/>
      <c r="B895" s="19"/>
      <c r="C895" s="19"/>
      <c r="D895" s="20"/>
    </row>
    <row r="896">
      <c r="A896" s="18"/>
      <c r="B896" s="19"/>
      <c r="C896" s="19"/>
      <c r="D896" s="20"/>
    </row>
    <row r="897">
      <c r="A897" s="18"/>
      <c r="B897" s="19"/>
      <c r="C897" s="19"/>
      <c r="D897" s="20"/>
    </row>
    <row r="898">
      <c r="A898" s="18"/>
      <c r="B898" s="19"/>
      <c r="C898" s="19"/>
      <c r="D898" s="20"/>
    </row>
    <row r="899">
      <c r="A899" s="18"/>
      <c r="B899" s="19"/>
      <c r="C899" s="19"/>
      <c r="D899" s="20"/>
    </row>
    <row r="900">
      <c r="A900" s="18"/>
      <c r="B900" s="19"/>
      <c r="C900" s="19"/>
      <c r="D900" s="20"/>
    </row>
    <row r="901">
      <c r="A901" s="18"/>
      <c r="B901" s="19"/>
      <c r="C901" s="19"/>
      <c r="D901" s="20"/>
    </row>
    <row r="902">
      <c r="A902" s="18"/>
      <c r="B902" s="19"/>
      <c r="C902" s="19"/>
      <c r="D902" s="20"/>
    </row>
    <row r="903">
      <c r="A903" s="18"/>
      <c r="B903" s="19"/>
      <c r="C903" s="19"/>
      <c r="D903" s="20"/>
    </row>
    <row r="904">
      <c r="A904" s="18"/>
      <c r="B904" s="19"/>
      <c r="C904" s="19"/>
      <c r="D904" s="20"/>
    </row>
    <row r="905">
      <c r="A905" s="18"/>
      <c r="B905" s="19"/>
      <c r="C905" s="19"/>
      <c r="D905" s="20"/>
    </row>
    <row r="906">
      <c r="A906" s="18"/>
      <c r="B906" s="19"/>
      <c r="C906" s="19"/>
      <c r="D906" s="20"/>
    </row>
    <row r="907">
      <c r="A907" s="18"/>
      <c r="B907" s="19"/>
      <c r="C907" s="19"/>
      <c r="D907" s="20"/>
    </row>
    <row r="908">
      <c r="A908" s="18"/>
      <c r="B908" s="19"/>
      <c r="C908" s="19"/>
      <c r="D908" s="20"/>
    </row>
    <row r="909">
      <c r="A909" s="18"/>
      <c r="B909" s="19"/>
      <c r="C909" s="19"/>
      <c r="D909" s="20"/>
    </row>
    <row r="910">
      <c r="A910" s="18"/>
      <c r="B910" s="19"/>
      <c r="C910" s="19"/>
      <c r="D910" s="20"/>
    </row>
    <row r="911">
      <c r="A911" s="18"/>
      <c r="B911" s="19"/>
      <c r="C911" s="19"/>
      <c r="D911" s="20"/>
    </row>
    <row r="912">
      <c r="A912" s="18"/>
      <c r="B912" s="19"/>
      <c r="C912" s="19"/>
      <c r="D912" s="20"/>
    </row>
    <row r="913">
      <c r="A913" s="18"/>
      <c r="B913" s="19"/>
      <c r="C913" s="19"/>
      <c r="D913" s="20"/>
    </row>
    <row r="914">
      <c r="A914" s="18"/>
      <c r="B914" s="19"/>
      <c r="C914" s="19"/>
      <c r="D914" s="20"/>
    </row>
    <row r="915">
      <c r="A915" s="18"/>
      <c r="B915" s="19"/>
      <c r="C915" s="19"/>
      <c r="D915" s="20"/>
    </row>
    <row r="916">
      <c r="A916" s="18"/>
      <c r="B916" s="19"/>
      <c r="C916" s="19"/>
      <c r="D916" s="20"/>
    </row>
    <row r="917">
      <c r="A917" s="18"/>
      <c r="B917" s="19"/>
      <c r="C917" s="19"/>
      <c r="D917" s="20"/>
    </row>
    <row r="918">
      <c r="A918" s="18"/>
      <c r="B918" s="19"/>
      <c r="C918" s="19"/>
      <c r="D918" s="20"/>
    </row>
    <row r="919">
      <c r="A919" s="18"/>
      <c r="B919" s="19"/>
      <c r="C919" s="19"/>
      <c r="D919" s="20"/>
    </row>
    <row r="920">
      <c r="A920" s="18"/>
      <c r="B920" s="19"/>
      <c r="C920" s="19"/>
      <c r="D920" s="20"/>
    </row>
    <row r="921">
      <c r="A921" s="18"/>
      <c r="B921" s="19"/>
      <c r="C921" s="19"/>
      <c r="D921" s="20"/>
    </row>
    <row r="922">
      <c r="A922" s="18"/>
      <c r="B922" s="19"/>
      <c r="C922" s="19"/>
      <c r="D922" s="20"/>
    </row>
    <row r="923">
      <c r="A923" s="18"/>
      <c r="B923" s="19"/>
      <c r="C923" s="19"/>
      <c r="D923" s="20"/>
    </row>
    <row r="924">
      <c r="A924" s="18"/>
      <c r="B924" s="19"/>
      <c r="C924" s="19"/>
      <c r="D924" s="20"/>
    </row>
    <row r="925">
      <c r="A925" s="18"/>
      <c r="B925" s="19"/>
      <c r="C925" s="19"/>
      <c r="D925" s="20"/>
    </row>
    <row r="926">
      <c r="A926" s="18"/>
      <c r="B926" s="19"/>
      <c r="C926" s="19"/>
      <c r="D926" s="20"/>
    </row>
    <row r="927">
      <c r="A927" s="18"/>
      <c r="B927" s="19"/>
      <c r="C927" s="19"/>
      <c r="D927" s="20"/>
    </row>
    <row r="928">
      <c r="A928" s="18"/>
      <c r="B928" s="19"/>
      <c r="C928" s="19"/>
      <c r="D928" s="20"/>
    </row>
    <row r="929">
      <c r="A929" s="18"/>
      <c r="B929" s="19"/>
      <c r="C929" s="19"/>
      <c r="D929" s="20"/>
    </row>
    <row r="930">
      <c r="A930" s="18"/>
      <c r="B930" s="19"/>
      <c r="C930" s="19"/>
      <c r="D930" s="20"/>
    </row>
    <row r="931">
      <c r="A931" s="18"/>
      <c r="B931" s="19"/>
      <c r="C931" s="19"/>
      <c r="D931" s="20"/>
    </row>
    <row r="932">
      <c r="A932" s="18"/>
      <c r="B932" s="19"/>
      <c r="C932" s="19"/>
      <c r="D932" s="20"/>
    </row>
    <row r="933">
      <c r="A933" s="18"/>
      <c r="B933" s="19"/>
      <c r="C933" s="19"/>
      <c r="D933" s="20"/>
    </row>
    <row r="934">
      <c r="A934" s="18"/>
      <c r="B934" s="19"/>
      <c r="C934" s="19"/>
      <c r="D934" s="20"/>
    </row>
    <row r="935">
      <c r="A935" s="18"/>
      <c r="B935" s="19"/>
      <c r="C935" s="19"/>
      <c r="D935" s="20"/>
    </row>
    <row r="936">
      <c r="A936" s="18"/>
      <c r="B936" s="19"/>
      <c r="C936" s="19"/>
      <c r="D936" s="20"/>
    </row>
    <row r="937">
      <c r="A937" s="18"/>
      <c r="B937" s="19"/>
      <c r="C937" s="19"/>
      <c r="D937" s="20"/>
    </row>
    <row r="938">
      <c r="A938" s="18"/>
      <c r="B938" s="19"/>
      <c r="C938" s="19"/>
      <c r="D938" s="20"/>
    </row>
    <row r="939">
      <c r="A939" s="18"/>
      <c r="B939" s="19"/>
      <c r="C939" s="19"/>
      <c r="D939" s="20"/>
    </row>
    <row r="940">
      <c r="A940" s="18"/>
      <c r="B940" s="19"/>
      <c r="C940" s="19"/>
      <c r="D940" s="20"/>
    </row>
    <row r="941">
      <c r="A941" s="18"/>
      <c r="B941" s="19"/>
      <c r="C941" s="19"/>
      <c r="D941" s="20"/>
    </row>
    <row r="942">
      <c r="A942" s="18"/>
      <c r="B942" s="19"/>
      <c r="C942" s="19"/>
      <c r="D942" s="20"/>
    </row>
    <row r="943">
      <c r="A943" s="18"/>
      <c r="B943" s="19"/>
      <c r="C943" s="19"/>
      <c r="D943" s="20"/>
    </row>
    <row r="944">
      <c r="A944" s="18"/>
      <c r="B944" s="19"/>
      <c r="C944" s="19"/>
      <c r="D944" s="20"/>
    </row>
    <row r="945">
      <c r="A945" s="18"/>
      <c r="B945" s="19"/>
      <c r="C945" s="19"/>
      <c r="D945" s="20"/>
    </row>
    <row r="946">
      <c r="A946" s="18"/>
      <c r="B946" s="19"/>
      <c r="C946" s="19"/>
      <c r="D946" s="20"/>
    </row>
    <row r="947">
      <c r="A947" s="18"/>
      <c r="B947" s="19"/>
      <c r="C947" s="19"/>
      <c r="D947" s="20"/>
    </row>
    <row r="948">
      <c r="A948" s="18"/>
      <c r="B948" s="19"/>
      <c r="C948" s="19"/>
      <c r="D948" s="20"/>
    </row>
    <row r="949">
      <c r="A949" s="18"/>
      <c r="B949" s="19"/>
      <c r="C949" s="19"/>
      <c r="D949" s="20"/>
    </row>
    <row r="950">
      <c r="A950" s="18"/>
      <c r="B950" s="19"/>
      <c r="C950" s="19"/>
      <c r="D950" s="20"/>
    </row>
    <row r="951">
      <c r="A951" s="18"/>
      <c r="B951" s="19"/>
      <c r="C951" s="19"/>
      <c r="D951" s="20"/>
    </row>
    <row r="952">
      <c r="A952" s="18"/>
      <c r="B952" s="19"/>
      <c r="C952" s="19"/>
      <c r="D952" s="20"/>
    </row>
    <row r="953">
      <c r="A953" s="18"/>
      <c r="B953" s="19"/>
      <c r="C953" s="19"/>
      <c r="D953" s="20"/>
    </row>
    <row r="954">
      <c r="A954" s="18"/>
      <c r="B954" s="19"/>
      <c r="C954" s="19"/>
      <c r="D954" s="20"/>
    </row>
    <row r="955">
      <c r="A955" s="18"/>
      <c r="B955" s="19"/>
      <c r="C955" s="19"/>
      <c r="D955" s="20"/>
    </row>
    <row r="956">
      <c r="A956" s="18"/>
      <c r="B956" s="19"/>
      <c r="C956" s="19"/>
      <c r="D956" s="20"/>
    </row>
    <row r="957">
      <c r="A957" s="18"/>
      <c r="B957" s="19"/>
      <c r="C957" s="19"/>
      <c r="D957" s="20"/>
    </row>
    <row r="958">
      <c r="A958" s="18"/>
      <c r="B958" s="19"/>
      <c r="C958" s="19"/>
      <c r="D958" s="20"/>
    </row>
    <row r="959">
      <c r="A959" s="18"/>
      <c r="B959" s="19"/>
      <c r="C959" s="19"/>
      <c r="D959" s="20"/>
    </row>
    <row r="960">
      <c r="A960" s="18"/>
      <c r="B960" s="19"/>
      <c r="C960" s="19"/>
      <c r="D960" s="20"/>
    </row>
    <row r="961">
      <c r="A961" s="18"/>
      <c r="B961" s="19"/>
      <c r="C961" s="19"/>
      <c r="D961" s="20"/>
    </row>
    <row r="962">
      <c r="A962" s="18"/>
      <c r="B962" s="19"/>
      <c r="C962" s="19"/>
      <c r="D962" s="20"/>
    </row>
    <row r="963">
      <c r="A963" s="18"/>
      <c r="B963" s="19"/>
      <c r="C963" s="19"/>
      <c r="D963" s="20"/>
    </row>
    <row r="964">
      <c r="A964" s="18"/>
      <c r="B964" s="19"/>
      <c r="C964" s="19"/>
      <c r="D964" s="20"/>
    </row>
    <row r="965">
      <c r="A965" s="18"/>
      <c r="B965" s="19"/>
      <c r="C965" s="19"/>
      <c r="D965" s="20"/>
    </row>
    <row r="966">
      <c r="A966" s="18"/>
      <c r="B966" s="19"/>
      <c r="C966" s="19"/>
      <c r="D966" s="20"/>
    </row>
    <row r="967">
      <c r="A967" s="18"/>
      <c r="B967" s="19"/>
      <c r="C967" s="19"/>
      <c r="D967" s="20"/>
    </row>
    <row r="968">
      <c r="A968" s="18"/>
      <c r="B968" s="19"/>
      <c r="C968" s="19"/>
      <c r="D968" s="20"/>
    </row>
    <row r="969">
      <c r="A969" s="18"/>
      <c r="B969" s="19"/>
      <c r="C969" s="19"/>
      <c r="D969" s="20"/>
    </row>
    <row r="970">
      <c r="A970" s="18"/>
      <c r="B970" s="19"/>
      <c r="C970" s="19"/>
      <c r="D970" s="20"/>
    </row>
    <row r="971">
      <c r="A971" s="18"/>
      <c r="B971" s="19"/>
      <c r="C971" s="19"/>
      <c r="D971" s="20"/>
    </row>
    <row r="972">
      <c r="A972" s="18"/>
      <c r="B972" s="19"/>
      <c r="C972" s="19"/>
      <c r="D972" s="20"/>
    </row>
    <row r="973">
      <c r="A973" s="18"/>
      <c r="B973" s="19"/>
      <c r="C973" s="19"/>
      <c r="D973" s="20"/>
    </row>
    <row r="974">
      <c r="A974" s="18"/>
      <c r="B974" s="19"/>
      <c r="C974" s="19"/>
      <c r="D974" s="20"/>
    </row>
    <row r="975">
      <c r="A975" s="18"/>
      <c r="B975" s="19"/>
      <c r="C975" s="19"/>
      <c r="D975" s="20"/>
    </row>
    <row r="976">
      <c r="A976" s="18"/>
      <c r="B976" s="19"/>
      <c r="C976" s="19"/>
      <c r="D976" s="20"/>
    </row>
    <row r="977">
      <c r="A977" s="18"/>
      <c r="B977" s="19"/>
      <c r="C977" s="19"/>
      <c r="D977" s="20"/>
    </row>
    <row r="978">
      <c r="A978" s="18"/>
      <c r="B978" s="19"/>
      <c r="C978" s="19"/>
      <c r="D978" s="20"/>
    </row>
    <row r="979">
      <c r="A979" s="18"/>
      <c r="B979" s="19"/>
      <c r="C979" s="19"/>
      <c r="D979" s="20"/>
    </row>
    <row r="980">
      <c r="A980" s="18"/>
      <c r="B980" s="19"/>
      <c r="C980" s="19"/>
      <c r="D980" s="20"/>
    </row>
    <row r="981">
      <c r="A981" s="18"/>
      <c r="B981" s="19"/>
      <c r="C981" s="19"/>
      <c r="D981" s="20"/>
    </row>
    <row r="982">
      <c r="A982" s="18"/>
      <c r="B982" s="19"/>
      <c r="C982" s="19"/>
      <c r="D982" s="20"/>
    </row>
    <row r="983">
      <c r="A983" s="18"/>
      <c r="B983" s="19"/>
      <c r="C983" s="19"/>
      <c r="D983" s="20"/>
    </row>
    <row r="984">
      <c r="A984" s="18"/>
      <c r="B984" s="19"/>
      <c r="C984" s="19"/>
      <c r="D984" s="20"/>
    </row>
    <row r="985">
      <c r="A985" s="18"/>
      <c r="B985" s="19"/>
      <c r="C985" s="19"/>
      <c r="D985" s="20"/>
    </row>
    <row r="986">
      <c r="A986" s="18"/>
      <c r="B986" s="19"/>
      <c r="C986" s="19"/>
      <c r="D986" s="20"/>
    </row>
    <row r="987">
      <c r="A987" s="18"/>
      <c r="B987" s="19"/>
      <c r="C987" s="19"/>
      <c r="D987" s="20"/>
    </row>
    <row r="988">
      <c r="A988" s="18"/>
      <c r="B988" s="19"/>
      <c r="C988" s="19"/>
      <c r="D988" s="20"/>
    </row>
    <row r="989">
      <c r="A989" s="18"/>
      <c r="B989" s="19"/>
      <c r="C989" s="19"/>
      <c r="D989" s="20"/>
    </row>
    <row r="990">
      <c r="A990" s="18"/>
      <c r="B990" s="19"/>
      <c r="C990" s="19"/>
      <c r="D990" s="20"/>
    </row>
    <row r="991">
      <c r="A991" s="18"/>
      <c r="B991" s="19"/>
      <c r="C991" s="19"/>
      <c r="D991" s="20"/>
    </row>
    <row r="992">
      <c r="A992" s="18"/>
      <c r="B992" s="19"/>
      <c r="C992" s="19"/>
      <c r="D992" s="20"/>
    </row>
    <row r="993">
      <c r="A993" s="18"/>
      <c r="B993" s="19"/>
      <c r="C993" s="19"/>
      <c r="D993" s="20"/>
    </row>
    <row r="994">
      <c r="A994" s="18"/>
      <c r="B994" s="19"/>
      <c r="C994" s="19"/>
      <c r="D994" s="20"/>
    </row>
    <row r="995">
      <c r="A995" s="18"/>
      <c r="B995" s="19"/>
      <c r="C995" s="19"/>
      <c r="D995" s="20"/>
    </row>
    <row r="996">
      <c r="A996" s="18"/>
      <c r="B996" s="19"/>
      <c r="C996" s="19"/>
      <c r="D996" s="20"/>
    </row>
    <row r="997">
      <c r="A997" s="18"/>
      <c r="B997" s="19"/>
      <c r="C997" s="19"/>
      <c r="D997" s="20"/>
    </row>
    <row r="998">
      <c r="A998" s="18"/>
      <c r="B998" s="19"/>
      <c r="C998" s="19"/>
      <c r="D998" s="20"/>
    </row>
    <row r="999">
      <c r="A999" s="18"/>
      <c r="B999" s="19"/>
      <c r="C999" s="19"/>
      <c r="D999" s="20"/>
    </row>
    <row r="1000">
      <c r="A1000" s="18"/>
      <c r="B1000" s="19"/>
      <c r="C1000" s="19"/>
      <c r="D1000" s="20"/>
    </row>
    <row r="1001">
      <c r="A1001" s="18"/>
      <c r="B1001" s="19"/>
      <c r="C1001" s="19"/>
      <c r="D1001" s="20"/>
    </row>
    <row r="1002">
      <c r="A1002" s="18"/>
      <c r="B1002" s="19"/>
      <c r="C1002" s="19"/>
      <c r="D1002" s="20"/>
    </row>
    <row r="1003">
      <c r="A1003" s="18"/>
      <c r="B1003" s="19"/>
      <c r="C1003" s="19"/>
      <c r="D1003" s="20"/>
    </row>
    <row r="1004">
      <c r="A1004" s="18"/>
      <c r="B1004" s="19"/>
      <c r="C1004" s="19"/>
      <c r="D1004" s="20"/>
    </row>
    <row r="1005">
      <c r="A1005" s="18"/>
      <c r="B1005" s="19"/>
      <c r="C1005" s="19"/>
      <c r="D1005" s="20"/>
    </row>
    <row r="1006">
      <c r="A1006" s="18"/>
      <c r="B1006" s="19"/>
      <c r="C1006" s="19"/>
      <c r="D1006" s="20"/>
    </row>
    <row r="1007">
      <c r="A1007" s="18"/>
      <c r="B1007" s="19"/>
      <c r="C1007" s="19"/>
      <c r="D1007" s="20"/>
    </row>
    <row r="1008">
      <c r="A1008" s="18"/>
      <c r="B1008" s="19"/>
      <c r="C1008" s="19"/>
      <c r="D1008" s="20"/>
    </row>
    <row r="1009">
      <c r="A1009" s="18"/>
      <c r="B1009" s="19"/>
      <c r="C1009" s="19"/>
      <c r="D1009" s="20"/>
    </row>
    <row r="1010">
      <c r="A1010" s="18"/>
      <c r="B1010" s="19"/>
      <c r="C1010" s="19"/>
      <c r="D1010" s="20"/>
    </row>
    <row r="1011">
      <c r="A1011" s="18"/>
      <c r="B1011" s="19"/>
      <c r="C1011" s="19"/>
      <c r="D1011" s="20"/>
    </row>
    <row r="1012">
      <c r="A1012" s="18"/>
      <c r="B1012" s="19"/>
      <c r="C1012" s="19"/>
      <c r="D1012" s="20"/>
    </row>
    <row r="1013">
      <c r="A1013" s="18"/>
      <c r="B1013" s="19"/>
      <c r="C1013" s="19"/>
      <c r="D1013" s="20"/>
    </row>
    <row r="1014">
      <c r="A1014" s="18"/>
      <c r="B1014" s="19"/>
      <c r="C1014" s="19"/>
      <c r="D1014" s="20"/>
    </row>
    <row r="1015">
      <c r="A1015" s="18"/>
      <c r="B1015" s="19"/>
      <c r="C1015" s="19"/>
      <c r="D1015" s="20"/>
    </row>
    <row r="1016">
      <c r="A1016" s="18"/>
      <c r="B1016" s="19"/>
      <c r="C1016" s="19"/>
      <c r="D1016" s="20"/>
    </row>
    <row r="1017">
      <c r="A1017" s="18"/>
      <c r="B1017" s="19"/>
      <c r="C1017" s="19"/>
      <c r="D1017" s="20"/>
    </row>
    <row r="1018">
      <c r="A1018" s="18"/>
      <c r="B1018" s="19"/>
      <c r="C1018" s="19"/>
      <c r="D1018" s="20"/>
    </row>
    <row r="1019">
      <c r="A1019" s="18"/>
      <c r="B1019" s="19"/>
      <c r="C1019" s="19"/>
      <c r="D1019" s="20"/>
    </row>
    <row r="1020">
      <c r="A1020" s="18"/>
      <c r="B1020" s="19"/>
      <c r="C1020" s="19"/>
      <c r="D1020" s="20"/>
    </row>
    <row r="1021">
      <c r="A1021" s="18"/>
      <c r="B1021" s="19"/>
      <c r="C1021" s="19"/>
      <c r="D1021" s="20"/>
    </row>
    <row r="1022">
      <c r="A1022" s="18"/>
      <c r="B1022" s="19"/>
      <c r="C1022" s="19"/>
      <c r="D1022" s="20"/>
    </row>
    <row r="1023">
      <c r="A1023" s="18"/>
      <c r="B1023" s="19"/>
      <c r="C1023" s="19"/>
      <c r="D1023" s="20"/>
    </row>
    <row r="1024">
      <c r="A1024" s="18"/>
      <c r="B1024" s="19"/>
      <c r="C1024" s="19"/>
      <c r="D1024" s="20"/>
    </row>
    <row r="1025">
      <c r="A1025" s="18"/>
      <c r="B1025" s="19"/>
      <c r="C1025" s="19"/>
      <c r="D1025" s="20"/>
    </row>
    <row r="1026">
      <c r="A1026" s="18"/>
      <c r="B1026" s="19"/>
      <c r="C1026" s="19"/>
      <c r="D1026" s="20"/>
    </row>
    <row r="1027">
      <c r="A1027" s="18"/>
      <c r="B1027" s="19"/>
      <c r="C1027" s="19"/>
      <c r="D1027" s="20"/>
    </row>
    <row r="1028">
      <c r="A1028" s="18"/>
      <c r="B1028" s="19"/>
      <c r="C1028" s="19"/>
      <c r="D1028" s="20"/>
    </row>
    <row r="1029">
      <c r="A1029" s="18"/>
      <c r="B1029" s="19"/>
      <c r="C1029" s="19"/>
      <c r="D1029" s="20"/>
    </row>
    <row r="1030">
      <c r="A1030" s="18"/>
      <c r="B1030" s="19"/>
      <c r="C1030" s="19"/>
      <c r="D1030" s="20"/>
    </row>
    <row r="1031">
      <c r="A1031" s="18"/>
      <c r="B1031" s="19"/>
      <c r="C1031" s="19"/>
      <c r="D1031" s="20"/>
    </row>
    <row r="1032">
      <c r="A1032" s="18"/>
      <c r="B1032" s="19"/>
      <c r="C1032" s="19"/>
      <c r="D1032" s="20"/>
    </row>
    <row r="1033">
      <c r="A1033" s="18"/>
      <c r="B1033" s="19"/>
      <c r="C1033" s="19"/>
      <c r="D1033" s="20"/>
    </row>
    <row r="1034">
      <c r="A1034" s="18"/>
      <c r="B1034" s="19"/>
      <c r="C1034" s="19"/>
      <c r="D1034" s="20"/>
    </row>
    <row r="1035">
      <c r="A1035" s="18"/>
      <c r="B1035" s="19"/>
      <c r="C1035" s="19"/>
      <c r="D1035" s="20"/>
    </row>
    <row r="1036">
      <c r="A1036" s="18"/>
      <c r="B1036" s="19"/>
      <c r="C1036" s="19"/>
      <c r="D1036" s="20"/>
    </row>
    <row r="1037">
      <c r="A1037" s="18"/>
      <c r="B1037" s="19"/>
      <c r="C1037" s="19"/>
      <c r="D1037" s="20"/>
    </row>
    <row r="1038">
      <c r="A1038" s="18"/>
      <c r="B1038" s="19"/>
      <c r="C1038" s="19"/>
      <c r="D1038" s="20"/>
    </row>
    <row r="1039">
      <c r="A1039" s="18"/>
      <c r="B1039" s="19"/>
      <c r="C1039" s="19"/>
      <c r="D1039" s="20"/>
    </row>
    <row r="1040">
      <c r="A1040" s="18"/>
      <c r="B1040" s="19"/>
      <c r="C1040" s="19"/>
      <c r="D1040" s="20"/>
    </row>
    <row r="1041">
      <c r="A1041" s="18"/>
      <c r="B1041" s="19"/>
      <c r="C1041" s="19"/>
      <c r="D1041" s="20"/>
    </row>
    <row r="1042">
      <c r="A1042" s="18"/>
      <c r="B1042" s="19"/>
      <c r="C1042" s="19"/>
      <c r="D1042" s="20"/>
    </row>
    <row r="1043">
      <c r="A1043" s="18"/>
      <c r="B1043" s="19"/>
      <c r="C1043" s="19"/>
      <c r="D1043" s="20"/>
    </row>
    <row r="1044">
      <c r="A1044" s="18"/>
      <c r="B1044" s="19"/>
      <c r="C1044" s="19"/>
      <c r="D1044" s="20"/>
    </row>
    <row r="1045">
      <c r="A1045" s="18"/>
      <c r="B1045" s="19"/>
      <c r="C1045" s="19"/>
      <c r="D1045" s="20"/>
    </row>
    <row r="1046">
      <c r="A1046" s="18"/>
      <c r="B1046" s="19"/>
      <c r="C1046" s="19"/>
      <c r="D1046" s="20"/>
    </row>
    <row r="1047">
      <c r="A1047" s="18"/>
      <c r="B1047" s="19"/>
      <c r="C1047" s="19"/>
      <c r="D1047" s="20"/>
    </row>
    <row r="1048">
      <c r="A1048" s="18"/>
      <c r="B1048" s="19"/>
      <c r="C1048" s="19"/>
      <c r="D1048" s="20"/>
    </row>
    <row r="1049">
      <c r="A1049" s="18"/>
      <c r="B1049" s="19"/>
      <c r="C1049" s="19"/>
      <c r="D1049" s="20"/>
    </row>
    <row r="1050">
      <c r="A1050" s="18"/>
      <c r="B1050" s="19"/>
      <c r="C1050" s="19"/>
      <c r="D1050" s="20"/>
    </row>
    <row r="1051">
      <c r="A1051" s="18"/>
      <c r="B1051" s="19"/>
      <c r="C1051" s="19"/>
      <c r="D1051" s="20"/>
    </row>
    <row r="1052">
      <c r="A1052" s="18"/>
      <c r="B1052" s="19"/>
      <c r="C1052" s="19"/>
      <c r="D1052" s="20"/>
    </row>
    <row r="1053">
      <c r="A1053" s="18"/>
      <c r="B1053" s="19"/>
      <c r="C1053" s="19"/>
      <c r="D1053" s="20"/>
    </row>
    <row r="1054">
      <c r="A1054" s="18"/>
      <c r="B1054" s="19"/>
      <c r="C1054" s="19"/>
      <c r="D1054" s="20"/>
    </row>
    <row r="1055">
      <c r="A1055" s="18"/>
      <c r="B1055" s="19"/>
      <c r="C1055" s="19"/>
      <c r="D1055" s="20"/>
    </row>
    <row r="1056">
      <c r="A1056" s="18"/>
      <c r="B1056" s="19"/>
      <c r="C1056" s="19"/>
      <c r="D1056" s="20"/>
    </row>
    <row r="1057">
      <c r="A1057" s="18"/>
      <c r="B1057" s="19"/>
      <c r="C1057" s="19"/>
      <c r="D1057" s="20"/>
    </row>
    <row r="1058">
      <c r="A1058" s="18"/>
      <c r="B1058" s="19"/>
      <c r="C1058" s="19"/>
      <c r="D1058" s="20"/>
    </row>
    <row r="1059">
      <c r="A1059" s="18"/>
      <c r="B1059" s="19"/>
      <c r="C1059" s="19"/>
      <c r="D1059" s="20"/>
    </row>
    <row r="1060">
      <c r="A1060" s="18"/>
      <c r="B1060" s="19"/>
      <c r="C1060" s="19"/>
      <c r="D1060" s="20"/>
    </row>
    <row r="1061">
      <c r="A1061" s="18"/>
      <c r="B1061" s="19"/>
      <c r="C1061" s="19"/>
      <c r="D1061" s="20"/>
    </row>
    <row r="1062">
      <c r="A1062" s="18"/>
      <c r="B1062" s="19"/>
      <c r="C1062" s="19"/>
      <c r="D1062" s="20"/>
    </row>
    <row r="1063">
      <c r="A1063" s="18"/>
      <c r="B1063" s="19"/>
      <c r="C1063" s="19"/>
      <c r="D1063" s="20"/>
    </row>
    <row r="1064">
      <c r="A1064" s="18"/>
      <c r="B1064" s="19"/>
      <c r="C1064" s="19"/>
      <c r="D1064" s="20"/>
    </row>
    <row r="1065">
      <c r="A1065" s="18"/>
      <c r="B1065" s="19"/>
      <c r="C1065" s="19"/>
      <c r="D1065" s="20"/>
    </row>
    <row r="1066">
      <c r="A1066" s="18"/>
      <c r="B1066" s="19"/>
      <c r="C1066" s="19"/>
      <c r="D1066" s="20"/>
    </row>
    <row r="1067">
      <c r="A1067" s="18"/>
      <c r="B1067" s="19"/>
      <c r="C1067" s="19"/>
      <c r="D1067" s="20"/>
    </row>
    <row r="1068">
      <c r="A1068" s="18"/>
      <c r="B1068" s="19"/>
      <c r="C1068" s="19"/>
      <c r="D1068" s="20"/>
    </row>
    <row r="1069">
      <c r="A1069" s="18"/>
      <c r="B1069" s="19"/>
      <c r="C1069" s="19"/>
      <c r="D1069" s="20"/>
    </row>
    <row r="1070">
      <c r="A1070" s="18"/>
      <c r="B1070" s="19"/>
      <c r="C1070" s="19"/>
      <c r="D1070" s="20"/>
    </row>
    <row r="1071">
      <c r="A1071" s="18"/>
      <c r="B1071" s="19"/>
      <c r="C1071" s="19"/>
      <c r="D1071" s="20"/>
    </row>
    <row r="1072">
      <c r="A1072" s="18"/>
      <c r="B1072" s="19"/>
      <c r="C1072" s="19"/>
      <c r="D1072" s="20"/>
    </row>
    <row r="1073">
      <c r="A1073" s="18"/>
      <c r="B1073" s="19"/>
      <c r="C1073" s="19"/>
      <c r="D1073" s="20"/>
    </row>
    <row r="1074">
      <c r="A1074" s="18"/>
      <c r="B1074" s="19"/>
      <c r="C1074" s="19"/>
      <c r="D1074" s="20"/>
    </row>
    <row r="1075">
      <c r="A1075" s="18"/>
      <c r="B1075" s="19"/>
      <c r="C1075" s="19"/>
      <c r="D1075" s="20"/>
    </row>
    <row r="1076">
      <c r="A1076" s="18"/>
      <c r="B1076" s="19"/>
      <c r="C1076" s="19"/>
      <c r="D1076" s="20"/>
    </row>
    <row r="1077">
      <c r="A1077" s="18"/>
      <c r="B1077" s="19"/>
      <c r="C1077" s="19"/>
      <c r="D1077" s="20"/>
    </row>
    <row r="1078">
      <c r="A1078" s="18"/>
      <c r="B1078" s="19"/>
      <c r="C1078" s="19"/>
      <c r="D1078" s="20"/>
    </row>
    <row r="1079">
      <c r="A1079" s="18"/>
      <c r="B1079" s="19"/>
      <c r="C1079" s="19"/>
      <c r="D1079" s="20"/>
    </row>
    <row r="1080">
      <c r="A1080" s="18"/>
      <c r="B1080" s="19"/>
      <c r="C1080" s="19"/>
      <c r="D1080" s="20"/>
    </row>
    <row r="1081">
      <c r="A1081" s="18"/>
      <c r="B1081" s="19"/>
      <c r="C1081" s="19"/>
      <c r="D1081" s="20"/>
    </row>
    <row r="1082">
      <c r="A1082" s="18"/>
      <c r="B1082" s="19"/>
      <c r="C1082" s="19"/>
      <c r="D1082" s="20"/>
    </row>
    <row r="1083">
      <c r="A1083" s="18"/>
      <c r="B1083" s="19"/>
      <c r="C1083" s="19"/>
      <c r="D1083" s="20"/>
    </row>
    <row r="1084">
      <c r="A1084" s="18"/>
      <c r="B1084" s="19"/>
      <c r="C1084" s="19"/>
      <c r="D1084" s="20"/>
    </row>
    <row r="1085">
      <c r="A1085" s="18"/>
      <c r="B1085" s="19"/>
      <c r="C1085" s="19"/>
      <c r="D1085" s="20"/>
    </row>
    <row r="1086">
      <c r="A1086" s="18"/>
      <c r="B1086" s="19"/>
      <c r="C1086" s="19"/>
      <c r="D1086" s="20"/>
    </row>
    <row r="1087">
      <c r="A1087" s="18"/>
      <c r="B1087" s="19"/>
      <c r="C1087" s="19"/>
      <c r="D1087" s="20"/>
    </row>
    <row r="1088">
      <c r="A1088" s="18"/>
      <c r="B1088" s="19"/>
      <c r="C1088" s="19"/>
      <c r="D1088" s="20"/>
    </row>
    <row r="1089">
      <c r="A1089" s="18"/>
      <c r="B1089" s="19"/>
      <c r="C1089" s="19"/>
      <c r="D1089" s="20"/>
    </row>
    <row r="1090">
      <c r="A1090" s="18"/>
      <c r="B1090" s="19"/>
      <c r="C1090" s="19"/>
      <c r="D1090" s="20"/>
    </row>
    <row r="1091">
      <c r="A1091" s="18"/>
      <c r="B1091" s="19"/>
      <c r="C1091" s="19"/>
      <c r="D1091" s="20"/>
    </row>
    <row r="1092">
      <c r="A1092" s="18"/>
      <c r="B1092" s="19"/>
      <c r="C1092" s="19"/>
      <c r="D1092" s="20"/>
    </row>
    <row r="1093">
      <c r="A1093" s="18"/>
      <c r="B1093" s="19"/>
      <c r="C1093" s="19"/>
      <c r="D1093" s="20"/>
    </row>
    <row r="1094">
      <c r="A1094" s="18"/>
      <c r="B1094" s="19"/>
      <c r="C1094" s="19"/>
      <c r="D1094" s="20"/>
    </row>
    <row r="1095">
      <c r="A1095" s="18"/>
      <c r="B1095" s="19"/>
      <c r="C1095" s="19"/>
      <c r="D1095" s="20"/>
    </row>
    <row r="1096">
      <c r="A1096" s="18"/>
      <c r="B1096" s="19"/>
      <c r="C1096" s="19"/>
      <c r="D1096" s="20"/>
    </row>
    <row r="1097">
      <c r="A1097" s="18"/>
      <c r="B1097" s="19"/>
      <c r="C1097" s="19"/>
      <c r="D1097" s="20"/>
    </row>
    <row r="1098">
      <c r="A1098" s="18"/>
      <c r="B1098" s="19"/>
      <c r="C1098" s="19"/>
      <c r="D1098" s="20"/>
    </row>
    <row r="1099">
      <c r="A1099" s="18"/>
      <c r="B1099" s="19"/>
      <c r="C1099" s="19"/>
      <c r="D1099" s="20"/>
    </row>
    <row r="1100">
      <c r="A1100" s="18"/>
      <c r="B1100" s="19"/>
      <c r="C1100" s="19"/>
      <c r="D1100" s="20"/>
    </row>
    <row r="1101">
      <c r="A1101" s="18"/>
      <c r="B1101" s="19"/>
      <c r="C1101" s="19"/>
      <c r="D1101" s="20"/>
    </row>
    <row r="1102">
      <c r="A1102" s="18"/>
      <c r="B1102" s="19"/>
      <c r="C1102" s="19"/>
      <c r="D1102" s="20"/>
    </row>
    <row r="1103">
      <c r="A1103" s="18"/>
      <c r="B1103" s="19"/>
      <c r="C1103" s="19"/>
      <c r="D1103" s="20"/>
    </row>
    <row r="1104">
      <c r="A1104" s="18"/>
      <c r="B1104" s="19"/>
      <c r="C1104" s="19"/>
      <c r="D1104" s="20"/>
    </row>
    <row r="1105">
      <c r="A1105" s="18"/>
      <c r="B1105" s="19"/>
      <c r="C1105" s="19"/>
      <c r="D1105" s="20"/>
    </row>
    <row r="1106">
      <c r="A1106" s="18"/>
      <c r="B1106" s="19"/>
      <c r="C1106" s="19"/>
      <c r="D1106" s="20"/>
    </row>
    <row r="1107">
      <c r="A1107" s="18"/>
      <c r="B1107" s="19"/>
      <c r="C1107" s="19"/>
      <c r="D1107" s="20"/>
    </row>
    <row r="1108">
      <c r="A1108" s="18"/>
      <c r="B1108" s="19"/>
      <c r="C1108" s="19"/>
      <c r="D1108" s="20"/>
    </row>
    <row r="1109">
      <c r="A1109" s="18"/>
      <c r="B1109" s="19"/>
      <c r="C1109" s="19"/>
      <c r="D1109" s="20"/>
    </row>
    <row r="1110">
      <c r="A1110" s="18"/>
      <c r="B1110" s="19"/>
      <c r="C1110" s="19"/>
      <c r="D1110" s="20"/>
    </row>
    <row r="1111">
      <c r="A1111" s="18"/>
      <c r="B1111" s="19"/>
      <c r="C1111" s="19"/>
      <c r="D1111" s="20"/>
    </row>
    <row r="1112">
      <c r="A1112" s="18"/>
      <c r="B1112" s="19"/>
      <c r="C1112" s="19"/>
      <c r="D1112" s="20"/>
    </row>
    <row r="1113">
      <c r="A1113" s="18"/>
      <c r="B1113" s="19"/>
      <c r="C1113" s="19"/>
      <c r="D1113" s="20"/>
    </row>
    <row r="1114">
      <c r="A1114" s="18"/>
      <c r="B1114" s="19"/>
      <c r="C1114" s="19"/>
      <c r="D1114" s="20"/>
    </row>
    <row r="1115">
      <c r="A1115" s="18"/>
      <c r="B1115" s="19"/>
      <c r="C1115" s="19"/>
      <c r="D1115" s="20"/>
    </row>
    <row r="1116">
      <c r="A1116" s="18"/>
      <c r="B1116" s="19"/>
      <c r="C1116" s="19"/>
      <c r="D1116" s="20"/>
    </row>
    <row r="1117">
      <c r="A1117" s="18"/>
      <c r="B1117" s="19"/>
      <c r="C1117" s="19"/>
      <c r="D1117" s="20"/>
    </row>
    <row r="1118">
      <c r="A1118" s="18"/>
      <c r="B1118" s="19"/>
      <c r="C1118" s="19"/>
      <c r="D1118" s="20"/>
    </row>
    <row r="1119">
      <c r="A1119" s="18"/>
      <c r="B1119" s="19"/>
      <c r="C1119" s="19"/>
      <c r="D1119" s="20"/>
    </row>
    <row r="1120">
      <c r="A1120" s="18"/>
      <c r="B1120" s="19"/>
      <c r="C1120" s="19"/>
      <c r="D1120" s="20"/>
    </row>
    <row r="1121">
      <c r="A1121" s="18"/>
      <c r="B1121" s="19"/>
      <c r="C1121" s="19"/>
      <c r="D1121" s="20"/>
    </row>
    <row r="1122">
      <c r="A1122" s="18"/>
      <c r="B1122" s="19"/>
      <c r="C1122" s="19"/>
      <c r="D1122" s="20"/>
    </row>
    <row r="1123">
      <c r="A1123" s="18"/>
      <c r="B1123" s="19"/>
      <c r="C1123" s="19"/>
      <c r="D1123" s="20"/>
    </row>
    <row r="1124">
      <c r="A1124" s="18"/>
      <c r="B1124" s="19"/>
      <c r="C1124" s="19"/>
      <c r="D1124" s="20"/>
    </row>
    <row r="1125">
      <c r="A1125" s="18"/>
      <c r="B1125" s="19"/>
      <c r="C1125" s="19"/>
      <c r="D1125" s="20"/>
    </row>
    <row r="1126">
      <c r="A1126" s="18"/>
      <c r="B1126" s="19"/>
      <c r="C1126" s="19"/>
      <c r="D1126" s="20"/>
    </row>
    <row r="1127">
      <c r="A1127" s="18"/>
      <c r="B1127" s="19"/>
      <c r="C1127" s="19"/>
      <c r="D1127" s="20"/>
    </row>
    <row r="1128">
      <c r="A1128" s="18"/>
      <c r="B1128" s="19"/>
      <c r="C1128" s="19"/>
      <c r="D1128" s="20"/>
    </row>
  </sheetData>
  <autoFilter ref="$A$2:$D$300">
    <filterColumn colId="1">
      <filters>
        <filter val="veliz Marcelo"/>
        <filter val="BRIAN"/>
      </filters>
    </filterColumn>
    <sortState ref="A2:D300">
      <sortCondition ref="C2:C300"/>
    </sortState>
  </autoFilter>
  <mergeCells count="1">
    <mergeCell ref="A1:D1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4.88"/>
    <col customWidth="1" min="3" max="3" width="14.75"/>
    <col customWidth="1" min="8" max="8" width="31.38"/>
  </cols>
  <sheetData>
    <row r="1">
      <c r="A1" s="25" t="s">
        <v>606</v>
      </c>
      <c r="B1" s="6"/>
      <c r="C1" s="7"/>
      <c r="D1" s="26" t="s">
        <v>607</v>
      </c>
    </row>
    <row r="2">
      <c r="A2" s="27" t="s">
        <v>608</v>
      </c>
      <c r="B2" s="28" t="s">
        <v>609</v>
      </c>
      <c r="C2" s="29" t="s">
        <v>610</v>
      </c>
      <c r="D2" s="30" t="s">
        <v>611</v>
      </c>
      <c r="E2" s="30" t="s">
        <v>612</v>
      </c>
      <c r="F2" s="31"/>
      <c r="G2" s="31"/>
      <c r="H2" s="28" t="s">
        <v>609</v>
      </c>
      <c r="I2" s="29" t="s">
        <v>613</v>
      </c>
      <c r="J2" s="29" t="s">
        <v>614</v>
      </c>
      <c r="K2" s="32" t="s">
        <v>615</v>
      </c>
      <c r="L2" s="31"/>
    </row>
    <row r="3">
      <c r="A3" s="33">
        <v>46157.0</v>
      </c>
      <c r="B3" s="34" t="s">
        <v>616</v>
      </c>
      <c r="C3" s="35">
        <v>29476.0</v>
      </c>
      <c r="D3" s="36"/>
      <c r="E3" s="36"/>
      <c r="F3" s="31"/>
      <c r="G3" s="31"/>
      <c r="H3" s="37"/>
      <c r="I3" s="38"/>
      <c r="J3" s="31"/>
      <c r="K3" s="31"/>
      <c r="L3" s="31"/>
    </row>
    <row r="4">
      <c r="A4" s="33">
        <v>46184.0</v>
      </c>
      <c r="B4" s="34" t="s">
        <v>616</v>
      </c>
      <c r="C4" s="35">
        <v>75875.0</v>
      </c>
      <c r="D4" s="36"/>
      <c r="E4" s="36"/>
      <c r="F4" s="31"/>
      <c r="G4" s="31"/>
      <c r="H4" s="37"/>
      <c r="I4" s="38"/>
      <c r="J4" s="31"/>
      <c r="K4" s="31"/>
      <c r="L4" s="31"/>
    </row>
    <row r="5">
      <c r="A5" s="33">
        <v>46177.0</v>
      </c>
      <c r="B5" s="34" t="s">
        <v>616</v>
      </c>
      <c r="C5" s="35">
        <v>75753.0</v>
      </c>
      <c r="D5" s="36"/>
      <c r="E5" s="36"/>
      <c r="F5" s="35"/>
      <c r="G5" s="31"/>
      <c r="H5" s="37"/>
      <c r="I5" s="38"/>
      <c r="J5" s="31"/>
      <c r="K5" s="31"/>
      <c r="L5" s="31"/>
    </row>
    <row r="6">
      <c r="A6" s="33">
        <v>46189.0</v>
      </c>
      <c r="B6" s="34" t="s">
        <v>617</v>
      </c>
      <c r="C6" s="35">
        <f>811275-500000</f>
        <v>311275</v>
      </c>
      <c r="D6" s="36"/>
      <c r="E6" s="36"/>
      <c r="F6" s="31"/>
      <c r="G6" s="31"/>
      <c r="H6" s="37"/>
      <c r="I6" s="38"/>
      <c r="J6" s="31"/>
      <c r="K6" s="31"/>
      <c r="L6" s="31"/>
    </row>
    <row r="7">
      <c r="A7" s="33">
        <v>46189.0</v>
      </c>
      <c r="B7" s="34" t="s">
        <v>618</v>
      </c>
      <c r="C7" s="35">
        <v>214375.0</v>
      </c>
      <c r="D7" s="36"/>
      <c r="E7" s="36"/>
      <c r="F7" s="31"/>
      <c r="G7" s="31"/>
      <c r="H7" s="37"/>
      <c r="I7" s="38"/>
      <c r="J7" s="31"/>
      <c r="K7" s="31"/>
      <c r="L7" s="31"/>
    </row>
    <row r="8">
      <c r="A8" s="33">
        <v>46190.0</v>
      </c>
      <c r="B8" s="34" t="s">
        <v>619</v>
      </c>
      <c r="C8" s="35">
        <v>1707024.0</v>
      </c>
      <c r="D8" s="36"/>
      <c r="E8" s="36"/>
      <c r="F8" s="31"/>
      <c r="G8" s="31"/>
      <c r="H8" s="37"/>
      <c r="I8" s="38"/>
      <c r="J8" s="31"/>
      <c r="K8" s="31"/>
      <c r="L8" s="31"/>
    </row>
    <row r="9">
      <c r="A9" s="33">
        <v>46190.0</v>
      </c>
      <c r="B9" s="34" t="s">
        <v>620</v>
      </c>
      <c r="C9" s="35">
        <v>417238.0</v>
      </c>
      <c r="D9" s="36"/>
      <c r="E9" s="36"/>
      <c r="F9" s="31"/>
      <c r="G9" s="31"/>
      <c r="H9" s="37"/>
      <c r="I9" s="38"/>
      <c r="J9" s="31"/>
      <c r="K9" s="31"/>
      <c r="L9" s="31"/>
    </row>
    <row r="10">
      <c r="A10" s="33">
        <v>46190.0</v>
      </c>
      <c r="B10" s="34" t="s">
        <v>621</v>
      </c>
      <c r="C10" s="35">
        <v>669689.0</v>
      </c>
      <c r="D10" s="36"/>
      <c r="E10" s="36"/>
      <c r="F10" s="31"/>
      <c r="G10" s="31"/>
      <c r="H10" s="37"/>
      <c r="I10" s="38"/>
      <c r="J10" s="31"/>
      <c r="K10" s="31"/>
      <c r="L10" s="31"/>
    </row>
    <row r="11">
      <c r="A11" s="33">
        <v>46191.0</v>
      </c>
      <c r="B11" s="34" t="s">
        <v>622</v>
      </c>
      <c r="C11" s="35">
        <v>476378.0</v>
      </c>
      <c r="D11" s="36"/>
      <c r="E11" s="36"/>
      <c r="F11" s="31"/>
      <c r="G11" s="31"/>
      <c r="H11" s="37"/>
      <c r="I11" s="38"/>
      <c r="J11" s="31"/>
      <c r="K11" s="31"/>
      <c r="L11" s="31"/>
    </row>
    <row r="12">
      <c r="A12" s="33">
        <v>46191.0</v>
      </c>
      <c r="B12" s="34" t="s">
        <v>623</v>
      </c>
      <c r="C12" s="35">
        <v>233308.0</v>
      </c>
      <c r="D12" s="36"/>
      <c r="E12" s="36"/>
      <c r="F12" s="31"/>
      <c r="G12" s="31"/>
      <c r="H12" s="37"/>
      <c r="I12" s="38"/>
      <c r="J12" s="31"/>
      <c r="K12" s="31"/>
      <c r="L12" s="31"/>
    </row>
    <row r="13">
      <c r="A13" s="33">
        <v>46195.0</v>
      </c>
      <c r="B13" s="34" t="s">
        <v>624</v>
      </c>
      <c r="C13" s="35">
        <v>811277.0</v>
      </c>
      <c r="D13" s="36"/>
      <c r="E13" s="36"/>
      <c r="F13" s="31"/>
      <c r="G13" s="31"/>
      <c r="H13" s="37"/>
      <c r="I13" s="38"/>
      <c r="J13" s="31"/>
      <c r="K13" s="31"/>
      <c r="L13" s="31"/>
    </row>
    <row r="14">
      <c r="A14" s="33">
        <v>46195.0</v>
      </c>
      <c r="B14" s="34" t="s">
        <v>625</v>
      </c>
      <c r="C14" s="35">
        <v>437583.0</v>
      </c>
      <c r="D14" s="36"/>
      <c r="E14" s="36"/>
      <c r="F14" s="31"/>
      <c r="G14" s="31"/>
      <c r="H14" s="37"/>
      <c r="I14" s="38"/>
      <c r="J14" s="31"/>
      <c r="K14" s="31"/>
      <c r="L14" s="31"/>
    </row>
    <row r="15">
      <c r="A15" s="33">
        <v>46195.0</v>
      </c>
      <c r="B15" s="34" t="s">
        <v>626</v>
      </c>
      <c r="C15" s="35">
        <v>110556.0</v>
      </c>
      <c r="D15" s="36"/>
      <c r="E15" s="36"/>
      <c r="F15" s="31"/>
      <c r="G15" s="31"/>
      <c r="H15" s="37"/>
      <c r="I15" s="38"/>
      <c r="J15" s="31"/>
      <c r="K15" s="31"/>
      <c r="L15" s="31"/>
    </row>
    <row r="16">
      <c r="A16" s="33">
        <v>46195.0</v>
      </c>
      <c r="B16" s="34" t="s">
        <v>627</v>
      </c>
      <c r="C16" s="35">
        <v>199274.0</v>
      </c>
      <c r="D16" s="36"/>
      <c r="E16" s="36"/>
      <c r="F16" s="31"/>
      <c r="G16" s="31"/>
      <c r="H16" s="37"/>
      <c r="I16" s="38"/>
      <c r="J16" s="31"/>
      <c r="K16" s="31"/>
      <c r="L16" s="31"/>
    </row>
    <row r="17">
      <c r="A17" s="33">
        <v>46195.0</v>
      </c>
      <c r="B17" s="34" t="s">
        <v>628</v>
      </c>
      <c r="C17" s="35">
        <v>400874.0</v>
      </c>
      <c r="D17" s="36"/>
      <c r="E17" s="36"/>
      <c r="F17" s="31"/>
      <c r="G17" s="31"/>
      <c r="H17" s="37"/>
      <c r="I17" s="38"/>
      <c r="J17" s="31"/>
      <c r="K17" s="31"/>
      <c r="L17" s="31"/>
    </row>
    <row r="18">
      <c r="A18" s="33">
        <v>46195.0</v>
      </c>
      <c r="B18" s="34" t="s">
        <v>629</v>
      </c>
      <c r="C18" s="35">
        <v>232722.0</v>
      </c>
      <c r="D18" s="36"/>
      <c r="E18" s="36"/>
      <c r="F18" s="31"/>
      <c r="G18" s="31"/>
      <c r="H18" s="37"/>
      <c r="I18" s="38"/>
      <c r="J18" s="31"/>
      <c r="K18" s="31"/>
      <c r="L18" s="31"/>
    </row>
    <row r="19">
      <c r="A19" s="33">
        <v>46195.0</v>
      </c>
      <c r="B19" s="34" t="s">
        <v>630</v>
      </c>
      <c r="C19" s="35">
        <v>102394.0</v>
      </c>
      <c r="D19" s="36"/>
      <c r="E19" s="36"/>
      <c r="F19" s="31"/>
      <c r="G19" s="31"/>
      <c r="H19" s="37"/>
      <c r="I19" s="38"/>
      <c r="J19" s="31"/>
      <c r="K19" s="31"/>
      <c r="L19" s="31"/>
    </row>
    <row r="20">
      <c r="A20" s="33">
        <v>46196.0</v>
      </c>
      <c r="B20" s="34" t="s">
        <v>631</v>
      </c>
      <c r="C20" s="35">
        <f>1024562-15435</f>
        <v>1009127</v>
      </c>
      <c r="D20" s="36"/>
      <c r="E20" s="36"/>
      <c r="F20" s="31"/>
      <c r="G20" s="31"/>
      <c r="H20" s="37"/>
      <c r="I20" s="38"/>
      <c r="J20" s="31"/>
      <c r="K20" s="31"/>
      <c r="L20" s="31"/>
    </row>
    <row r="21">
      <c r="A21" s="33">
        <v>46196.0</v>
      </c>
      <c r="B21" s="34" t="s">
        <v>632</v>
      </c>
      <c r="C21" s="35">
        <f>5542923-2509700</f>
        <v>3033223</v>
      </c>
      <c r="D21" s="36"/>
      <c r="E21" s="36"/>
      <c r="F21" s="31"/>
      <c r="G21" s="31"/>
      <c r="H21" s="37"/>
      <c r="I21" s="38"/>
      <c r="J21" s="31"/>
      <c r="K21" s="31"/>
      <c r="L21" s="31"/>
    </row>
    <row r="22">
      <c r="A22" s="33">
        <v>46197.0</v>
      </c>
      <c r="B22" s="34" t="s">
        <v>633</v>
      </c>
      <c r="C22" s="35">
        <v>113426.0</v>
      </c>
      <c r="D22" s="36"/>
      <c r="E22" s="36"/>
      <c r="F22" s="31"/>
      <c r="G22" s="31"/>
      <c r="H22" s="37"/>
      <c r="I22" s="38"/>
      <c r="J22" s="31"/>
      <c r="K22" s="31"/>
      <c r="L22" s="31"/>
    </row>
    <row r="23">
      <c r="A23" s="33">
        <v>46197.0</v>
      </c>
      <c r="B23" s="34" t="s">
        <v>634</v>
      </c>
      <c r="C23" s="35">
        <v>427706.0</v>
      </c>
      <c r="D23" s="36"/>
      <c r="E23" s="36"/>
      <c r="F23" s="31"/>
      <c r="G23" s="31"/>
      <c r="H23" s="37"/>
      <c r="I23" s="38"/>
      <c r="J23" s="31"/>
      <c r="K23" s="31"/>
      <c r="L23" s="31"/>
    </row>
    <row r="24">
      <c r="A24" s="33">
        <v>46197.0</v>
      </c>
      <c r="B24" s="34" t="s">
        <v>635</v>
      </c>
      <c r="C24" s="35">
        <v>655322.0</v>
      </c>
      <c r="D24" s="36"/>
      <c r="E24" s="36"/>
      <c r="F24" s="31"/>
      <c r="G24" s="31"/>
      <c r="H24" s="37"/>
      <c r="I24" s="38"/>
      <c r="J24" s="31"/>
      <c r="K24" s="31"/>
      <c r="L24" s="31"/>
    </row>
    <row r="25">
      <c r="A25" s="33">
        <v>46197.0</v>
      </c>
      <c r="B25" s="34" t="s">
        <v>636</v>
      </c>
      <c r="C25" s="35">
        <v>867550.0</v>
      </c>
      <c r="D25" s="36"/>
      <c r="E25" s="36"/>
      <c r="F25" s="31"/>
      <c r="G25" s="31"/>
      <c r="H25" s="37"/>
      <c r="I25" s="38"/>
      <c r="J25" s="31"/>
      <c r="K25" s="31"/>
      <c r="L25" s="31"/>
    </row>
    <row r="26">
      <c r="A26" s="33">
        <v>46197.0</v>
      </c>
      <c r="B26" s="34" t="s">
        <v>637</v>
      </c>
      <c r="C26" s="35">
        <v>949345.0</v>
      </c>
      <c r="D26" s="36"/>
      <c r="E26" s="36"/>
      <c r="F26" s="31"/>
      <c r="G26" s="31"/>
      <c r="H26" s="37"/>
      <c r="I26" s="38"/>
      <c r="J26" s="31"/>
      <c r="K26" s="31"/>
      <c r="L26" s="31"/>
    </row>
    <row r="27">
      <c r="A27" s="33">
        <v>46199.0</v>
      </c>
      <c r="B27" s="34" t="s">
        <v>638</v>
      </c>
      <c r="C27" s="35">
        <v>309358.0</v>
      </c>
      <c r="D27" s="36"/>
      <c r="E27" s="36"/>
      <c r="F27" s="31"/>
      <c r="G27" s="31"/>
      <c r="H27" s="37"/>
      <c r="I27" s="38"/>
      <c r="J27" s="31"/>
      <c r="K27" s="31"/>
      <c r="L27" s="31"/>
    </row>
    <row r="28">
      <c r="A28" s="33">
        <v>46199.0</v>
      </c>
      <c r="B28" s="34" t="s">
        <v>639</v>
      </c>
      <c r="C28" s="35">
        <f>877953-400000</f>
        <v>477953</v>
      </c>
      <c r="D28" s="36"/>
      <c r="E28" s="36"/>
      <c r="F28" s="31"/>
      <c r="G28" s="31"/>
      <c r="H28" s="37"/>
      <c r="I28" s="38"/>
      <c r="J28" s="31"/>
      <c r="K28" s="31"/>
      <c r="L28" s="31"/>
    </row>
    <row r="29">
      <c r="A29" s="33">
        <v>46199.0</v>
      </c>
      <c r="B29" s="34" t="s">
        <v>640</v>
      </c>
      <c r="C29" s="35">
        <v>1089907.0</v>
      </c>
      <c r="D29" s="36"/>
      <c r="E29" s="36"/>
      <c r="F29" s="31"/>
      <c r="G29" s="31"/>
      <c r="H29" s="37"/>
      <c r="I29" s="38"/>
      <c r="J29" s="31"/>
      <c r="K29" s="31"/>
      <c r="L29" s="31"/>
    </row>
    <row r="30">
      <c r="A30" s="33">
        <v>46199.0</v>
      </c>
      <c r="B30" s="34" t="s">
        <v>641</v>
      </c>
      <c r="C30" s="35">
        <v>2682511.0</v>
      </c>
      <c r="D30" s="36"/>
      <c r="E30" s="36"/>
      <c r="F30" s="31"/>
      <c r="G30" s="31"/>
      <c r="H30" s="37"/>
      <c r="I30" s="38"/>
      <c r="J30" s="39"/>
      <c r="K30" s="31"/>
      <c r="L30" s="31"/>
    </row>
    <row r="31">
      <c r="A31" s="33">
        <v>46200.0</v>
      </c>
      <c r="B31" s="34" t="s">
        <v>642</v>
      </c>
      <c r="C31" s="35">
        <v>222089.0</v>
      </c>
      <c r="D31" s="36"/>
      <c r="E31" s="36"/>
      <c r="F31" s="31"/>
      <c r="G31" s="31"/>
      <c r="H31" s="37"/>
      <c r="I31" s="38"/>
      <c r="J31" s="31"/>
      <c r="K31" s="31"/>
      <c r="L31" s="31"/>
    </row>
    <row r="32">
      <c r="A32" s="33">
        <v>46200.0</v>
      </c>
      <c r="B32" s="34" t="s">
        <v>643</v>
      </c>
      <c r="C32" s="35">
        <v>260202.0</v>
      </c>
      <c r="D32" s="36"/>
      <c r="E32" s="36"/>
      <c r="F32" s="31"/>
      <c r="G32" s="31"/>
      <c r="H32" s="37"/>
      <c r="I32" s="38"/>
      <c r="J32" s="39"/>
      <c r="K32" s="31"/>
      <c r="L32" s="31"/>
    </row>
    <row r="33">
      <c r="A33" s="33">
        <v>46200.0</v>
      </c>
      <c r="B33" s="34" t="s">
        <v>644</v>
      </c>
      <c r="C33" s="35">
        <f>602165-5368</f>
        <v>596797</v>
      </c>
      <c r="D33" s="36"/>
      <c r="E33" s="36"/>
      <c r="F33" s="31"/>
      <c r="G33" s="31"/>
      <c r="H33" s="37"/>
      <c r="I33" s="38"/>
      <c r="J33" s="39"/>
      <c r="K33" s="31"/>
      <c r="L33" s="31"/>
    </row>
    <row r="34">
      <c r="A34" s="33">
        <v>46200.0</v>
      </c>
      <c r="B34" s="34" t="s">
        <v>645</v>
      </c>
      <c r="C34" s="35">
        <v>133108.0</v>
      </c>
      <c r="D34" s="36"/>
      <c r="E34" s="36"/>
      <c r="F34" s="31"/>
      <c r="G34" s="31"/>
      <c r="H34" s="37"/>
      <c r="I34" s="38"/>
      <c r="J34" s="31"/>
      <c r="K34" s="31"/>
      <c r="L34" s="31"/>
    </row>
    <row r="35">
      <c r="A35" s="33">
        <v>46200.0</v>
      </c>
      <c r="B35" s="34" t="s">
        <v>641</v>
      </c>
      <c r="C35" s="35">
        <v>122250.0</v>
      </c>
      <c r="D35" s="36"/>
      <c r="E35" s="36"/>
      <c r="F35" s="31"/>
      <c r="G35" s="31"/>
      <c r="H35" s="37"/>
      <c r="I35" s="38"/>
      <c r="J35" s="31"/>
      <c r="K35" s="31"/>
      <c r="L35" s="31"/>
    </row>
    <row r="36">
      <c r="A36" s="33">
        <v>46202.0</v>
      </c>
      <c r="B36" s="34" t="s">
        <v>646</v>
      </c>
      <c r="C36" s="35">
        <v>815374.0</v>
      </c>
      <c r="D36" s="36"/>
      <c r="E36" s="36"/>
      <c r="F36" s="31"/>
      <c r="G36" s="31"/>
      <c r="H36" s="37"/>
      <c r="I36" s="38"/>
      <c r="J36" s="39"/>
      <c r="K36" s="31"/>
      <c r="L36" s="31"/>
    </row>
    <row r="37">
      <c r="A37" s="33">
        <v>46202.0</v>
      </c>
      <c r="B37" s="34" t="s">
        <v>647</v>
      </c>
      <c r="C37" s="35">
        <v>1072874.0</v>
      </c>
      <c r="D37" s="36"/>
      <c r="E37" s="36"/>
      <c r="F37" s="31"/>
      <c r="G37" s="31"/>
      <c r="H37" s="37"/>
      <c r="I37" s="38"/>
      <c r="J37" s="31"/>
      <c r="K37" s="31"/>
      <c r="L37" s="31"/>
    </row>
    <row r="38">
      <c r="A38" s="33">
        <v>46202.0</v>
      </c>
      <c r="B38" s="34" t="s">
        <v>648</v>
      </c>
      <c r="C38" s="35">
        <v>662663.0</v>
      </c>
      <c r="D38" s="36"/>
      <c r="E38" s="36"/>
      <c r="F38" s="31"/>
      <c r="G38" s="31"/>
      <c r="H38" s="37"/>
      <c r="I38" s="38"/>
      <c r="J38" s="31"/>
      <c r="K38" s="31"/>
      <c r="L38" s="31"/>
    </row>
    <row r="39">
      <c r="A39" s="33">
        <v>46202.0</v>
      </c>
      <c r="B39" s="34" t="s">
        <v>649</v>
      </c>
      <c r="C39" s="35">
        <v>231396.0</v>
      </c>
      <c r="D39" s="36"/>
      <c r="E39" s="36"/>
      <c r="F39" s="31"/>
      <c r="G39" s="31"/>
      <c r="H39" s="37"/>
      <c r="I39" s="38"/>
      <c r="J39" s="31"/>
      <c r="K39" s="31"/>
      <c r="L39" s="31"/>
    </row>
    <row r="40">
      <c r="A40" s="33">
        <v>46202.0</v>
      </c>
      <c r="B40" s="34" t="s">
        <v>650</v>
      </c>
      <c r="C40" s="35">
        <v>585677.0</v>
      </c>
      <c r="D40" s="36"/>
      <c r="E40" s="36"/>
      <c r="F40" s="31"/>
      <c r="G40" s="31"/>
      <c r="H40" s="37"/>
      <c r="I40" s="38"/>
      <c r="J40" s="39"/>
      <c r="K40" s="31"/>
      <c r="L40" s="31"/>
    </row>
    <row r="41">
      <c r="A41" s="33">
        <v>46202.0</v>
      </c>
      <c r="B41" s="34" t="s">
        <v>651</v>
      </c>
      <c r="C41" s="35">
        <v>100822.0</v>
      </c>
      <c r="D41" s="36"/>
      <c r="E41" s="36"/>
      <c r="F41" s="31"/>
      <c r="G41" s="31"/>
      <c r="H41" s="37"/>
      <c r="I41" s="38"/>
      <c r="J41" s="39"/>
      <c r="K41" s="31"/>
      <c r="L41" s="31"/>
    </row>
    <row r="42">
      <c r="A42" s="33">
        <v>46202.0</v>
      </c>
      <c r="B42" s="34" t="s">
        <v>652</v>
      </c>
      <c r="C42" s="35">
        <v>256633.0</v>
      </c>
      <c r="D42" s="36"/>
      <c r="E42" s="36"/>
      <c r="F42" s="31"/>
      <c r="G42" s="31"/>
      <c r="H42" s="37"/>
      <c r="I42" s="38"/>
      <c r="J42" s="39"/>
      <c r="K42" s="31"/>
      <c r="L42" s="31"/>
    </row>
    <row r="43">
      <c r="A43" s="33">
        <v>46202.0</v>
      </c>
      <c r="B43" s="34" t="s">
        <v>653</v>
      </c>
      <c r="C43" s="35">
        <f>456911-55611</f>
        <v>401300</v>
      </c>
      <c r="D43" s="36"/>
      <c r="E43" s="36"/>
      <c r="F43" s="31"/>
      <c r="G43" s="31"/>
      <c r="H43" s="37"/>
      <c r="I43" s="38"/>
      <c r="J43" s="31"/>
      <c r="K43" s="31"/>
      <c r="L43" s="31"/>
    </row>
    <row r="44">
      <c r="A44" s="33">
        <v>46202.0</v>
      </c>
      <c r="B44" s="34" t="s">
        <v>630</v>
      </c>
      <c r="C44" s="35">
        <v>10239.0</v>
      </c>
      <c r="D44" s="36"/>
      <c r="E44" s="36"/>
      <c r="F44" s="31"/>
      <c r="G44" s="31"/>
      <c r="H44" s="37"/>
      <c r="I44" s="38"/>
      <c r="J44" s="39"/>
      <c r="K44" s="31"/>
      <c r="L44" s="31"/>
    </row>
    <row r="45">
      <c r="A45" s="33">
        <v>46202.0</v>
      </c>
      <c r="B45" s="34" t="s">
        <v>654</v>
      </c>
      <c r="C45" s="35">
        <v>334958.0</v>
      </c>
      <c r="D45" s="36"/>
      <c r="E45" s="36"/>
      <c r="F45" s="31"/>
      <c r="G45" s="31"/>
      <c r="H45" s="37"/>
      <c r="I45" s="38"/>
      <c r="J45" s="31"/>
      <c r="K45" s="31"/>
      <c r="L45" s="31"/>
    </row>
    <row r="46">
      <c r="A46" s="33">
        <v>46203.0</v>
      </c>
      <c r="B46" s="34" t="s">
        <v>655</v>
      </c>
      <c r="C46" s="35">
        <v>1244639.0</v>
      </c>
      <c r="D46" s="36"/>
      <c r="E46" s="36"/>
      <c r="F46" s="31"/>
      <c r="G46" s="31"/>
      <c r="H46" s="37"/>
      <c r="I46" s="38"/>
      <c r="J46" s="31"/>
      <c r="K46" s="31"/>
      <c r="L46" s="31"/>
    </row>
    <row r="47">
      <c r="A47" s="33">
        <v>46203.0</v>
      </c>
      <c r="B47" s="34" t="s">
        <v>656</v>
      </c>
      <c r="C47" s="35">
        <v>162476.0</v>
      </c>
      <c r="D47" s="36"/>
      <c r="E47" s="36"/>
      <c r="F47" s="31"/>
      <c r="G47" s="31"/>
      <c r="H47" s="37"/>
      <c r="I47" s="38"/>
      <c r="J47" s="31"/>
      <c r="K47" s="31"/>
      <c r="L47" s="31"/>
    </row>
    <row r="48">
      <c r="A48" s="33">
        <v>46203.0</v>
      </c>
      <c r="B48" s="34" t="s">
        <v>657</v>
      </c>
      <c r="C48" s="35">
        <v>187032.0</v>
      </c>
      <c r="D48" s="36"/>
      <c r="E48" s="36"/>
      <c r="F48" s="31"/>
      <c r="G48" s="31"/>
      <c r="H48" s="37"/>
      <c r="I48" s="38"/>
      <c r="J48" s="31"/>
      <c r="K48" s="31"/>
      <c r="L48" s="31"/>
    </row>
    <row r="49">
      <c r="A49" s="33">
        <v>46203.0</v>
      </c>
      <c r="B49" s="34" t="s">
        <v>658</v>
      </c>
      <c r="C49" s="35">
        <v>237787.0</v>
      </c>
      <c r="D49" s="36"/>
      <c r="E49" s="36"/>
      <c r="F49" s="31"/>
      <c r="G49" s="31"/>
      <c r="H49" s="37"/>
      <c r="I49" s="38"/>
      <c r="J49" s="31"/>
      <c r="K49" s="31"/>
      <c r="L49" s="31"/>
    </row>
    <row r="50">
      <c r="A50" s="33">
        <v>46203.0</v>
      </c>
      <c r="B50" s="34" t="s">
        <v>659</v>
      </c>
      <c r="C50" s="35">
        <v>227246.0</v>
      </c>
      <c r="D50" s="36"/>
      <c r="E50" s="36"/>
      <c r="F50" s="31"/>
      <c r="G50" s="31"/>
      <c r="H50" s="37"/>
      <c r="I50" s="38"/>
      <c r="J50" s="31"/>
      <c r="K50" s="31"/>
      <c r="L50" s="31"/>
    </row>
    <row r="51">
      <c r="A51" s="33">
        <v>46203.0</v>
      </c>
      <c r="B51" s="34" t="s">
        <v>660</v>
      </c>
      <c r="C51" s="35">
        <v>145799.0</v>
      </c>
      <c r="D51" s="36"/>
      <c r="E51" s="36"/>
      <c r="F51" s="31"/>
      <c r="G51" s="31"/>
      <c r="H51" s="37"/>
      <c r="I51" s="38"/>
      <c r="J51" s="31"/>
      <c r="K51" s="31"/>
      <c r="L51" s="31"/>
    </row>
    <row r="52">
      <c r="A52" s="33">
        <v>46203.0</v>
      </c>
      <c r="B52" s="34" t="s">
        <v>632</v>
      </c>
      <c r="C52" s="35">
        <f>5211410-356447</f>
        <v>4854963</v>
      </c>
      <c r="D52" s="36"/>
      <c r="E52" s="36"/>
      <c r="F52" s="31"/>
      <c r="G52" s="31"/>
      <c r="H52" s="37"/>
      <c r="I52" s="38"/>
      <c r="J52" s="31"/>
      <c r="K52" s="31"/>
      <c r="L52" s="31"/>
    </row>
    <row r="53">
      <c r="A53" s="33">
        <v>46203.0</v>
      </c>
      <c r="B53" s="34" t="s">
        <v>661</v>
      </c>
      <c r="C53" s="35">
        <v>100219.0</v>
      </c>
      <c r="D53" s="36"/>
      <c r="E53" s="36"/>
      <c r="F53" s="31"/>
      <c r="G53" s="31"/>
      <c r="H53" s="37"/>
      <c r="I53" s="38"/>
      <c r="J53" s="31"/>
      <c r="K53" s="31"/>
      <c r="L53" s="31"/>
    </row>
    <row r="54">
      <c r="A54" s="33"/>
      <c r="B54" s="34"/>
      <c r="C54" s="35"/>
      <c r="D54" s="36"/>
      <c r="E54" s="36"/>
      <c r="F54" s="31"/>
      <c r="G54" s="31"/>
      <c r="H54" s="37"/>
      <c r="I54" s="38"/>
      <c r="J54" s="31"/>
      <c r="K54" s="31"/>
      <c r="L54" s="31"/>
    </row>
    <row r="55">
      <c r="A55" s="33"/>
      <c r="B55" s="34"/>
      <c r="C55" s="35"/>
      <c r="D55" s="36"/>
      <c r="E55" s="36"/>
      <c r="F55" s="31"/>
      <c r="G55" s="31"/>
      <c r="H55" s="37"/>
      <c r="I55" s="38"/>
      <c r="J55" s="31"/>
      <c r="K55" s="31"/>
      <c r="L55" s="31"/>
    </row>
    <row r="56">
      <c r="A56" s="33"/>
      <c r="B56" s="34"/>
      <c r="C56" s="35"/>
      <c r="D56" s="36"/>
      <c r="E56" s="36"/>
      <c r="F56" s="31"/>
      <c r="G56" s="31"/>
      <c r="H56" s="37"/>
      <c r="I56" s="38"/>
      <c r="J56" s="39"/>
      <c r="K56" s="31"/>
      <c r="L56" s="31"/>
    </row>
    <row r="57">
      <c r="A57" s="33"/>
      <c r="B57" s="34"/>
      <c r="C57" s="35"/>
      <c r="D57" s="36"/>
      <c r="E57" s="36"/>
      <c r="F57" s="31"/>
      <c r="G57" s="31"/>
      <c r="H57" s="37"/>
      <c r="I57" s="38"/>
      <c r="J57" s="31"/>
      <c r="K57" s="31"/>
      <c r="L57" s="31"/>
    </row>
    <row r="58">
      <c r="A58" s="33"/>
      <c r="B58" s="34"/>
      <c r="C58" s="35"/>
      <c r="D58" s="36"/>
      <c r="E58" s="36"/>
      <c r="F58" s="31"/>
      <c r="G58" s="31"/>
      <c r="H58" s="37"/>
      <c r="I58" s="38"/>
      <c r="J58" s="31"/>
      <c r="K58" s="31"/>
      <c r="L58" s="31"/>
    </row>
    <row r="59">
      <c r="A59" s="33"/>
      <c r="B59" s="34"/>
      <c r="C59" s="35"/>
      <c r="D59" s="36"/>
      <c r="E59" s="36"/>
      <c r="F59" s="31"/>
      <c r="G59" s="31"/>
      <c r="H59" s="37"/>
      <c r="I59" s="38"/>
      <c r="J59" s="39"/>
      <c r="K59" s="31"/>
      <c r="L59" s="31"/>
    </row>
    <row r="60">
      <c r="A60" s="33"/>
      <c r="B60" s="34"/>
      <c r="C60" s="35"/>
      <c r="D60" s="36"/>
      <c r="E60" s="36"/>
      <c r="F60" s="31"/>
      <c r="G60" s="31"/>
      <c r="H60" s="37"/>
      <c r="I60" s="38"/>
      <c r="J60" s="31"/>
      <c r="K60" s="31"/>
      <c r="L60" s="31"/>
    </row>
    <row r="61">
      <c r="A61" s="33"/>
      <c r="B61" s="34"/>
      <c r="C61" s="35"/>
      <c r="D61" s="36"/>
      <c r="E61" s="36"/>
      <c r="F61" s="31"/>
      <c r="G61" s="31"/>
      <c r="H61" s="37"/>
      <c r="I61" s="38"/>
      <c r="J61" s="39"/>
      <c r="K61" s="31"/>
      <c r="L61" s="31"/>
    </row>
    <row r="62">
      <c r="A62" s="33"/>
      <c r="B62" s="34"/>
      <c r="C62" s="35"/>
      <c r="D62" s="36"/>
      <c r="E62" s="36"/>
      <c r="F62" s="31"/>
      <c r="G62" s="31"/>
      <c r="H62" s="37"/>
      <c r="I62" s="38"/>
      <c r="J62" s="31"/>
      <c r="K62" s="31"/>
      <c r="L62" s="31"/>
    </row>
    <row r="63">
      <c r="A63" s="33"/>
      <c r="B63" s="34"/>
      <c r="C63" s="35"/>
      <c r="D63" s="36"/>
      <c r="E63" s="36"/>
      <c r="F63" s="31"/>
      <c r="G63" s="31"/>
      <c r="H63" s="37"/>
      <c r="I63" s="38"/>
      <c r="J63" s="31"/>
      <c r="K63" s="31"/>
      <c r="L63" s="31"/>
    </row>
    <row r="64">
      <c r="A64" s="33"/>
      <c r="B64" s="34"/>
      <c r="C64" s="35"/>
      <c r="D64" s="36"/>
      <c r="E64" s="36"/>
      <c r="F64" s="31"/>
      <c r="G64" s="31"/>
      <c r="H64" s="37"/>
      <c r="I64" s="38"/>
      <c r="J64" s="31"/>
      <c r="K64" s="31"/>
      <c r="L64" s="31"/>
    </row>
    <row r="65">
      <c r="A65" s="40"/>
      <c r="B65" s="34"/>
      <c r="C65" s="35"/>
      <c r="D65" s="36"/>
      <c r="E65" s="36"/>
      <c r="F65" s="31"/>
      <c r="G65" s="31"/>
      <c r="H65" s="37"/>
      <c r="I65" s="38"/>
      <c r="J65" s="39"/>
      <c r="K65" s="31"/>
      <c r="L65" s="31"/>
    </row>
    <row r="66">
      <c r="A66" s="33"/>
      <c r="B66" s="34"/>
      <c r="C66" s="35"/>
      <c r="D66" s="36"/>
      <c r="E66" s="36"/>
      <c r="F66" s="31"/>
      <c r="G66" s="31"/>
      <c r="H66" s="37"/>
      <c r="I66" s="38"/>
      <c r="J66" s="31"/>
      <c r="K66" s="31"/>
      <c r="L66" s="31"/>
    </row>
    <row r="67">
      <c r="A67" s="33"/>
      <c r="B67" s="34"/>
      <c r="C67" s="35"/>
      <c r="D67" s="36"/>
      <c r="E67" s="36"/>
      <c r="F67" s="31"/>
      <c r="G67" s="31"/>
      <c r="H67" s="37"/>
      <c r="I67" s="38"/>
      <c r="J67" s="31"/>
      <c r="K67" s="31"/>
      <c r="L67" s="31"/>
    </row>
    <row r="68">
      <c r="A68" s="33"/>
      <c r="B68" s="34"/>
      <c r="C68" s="35"/>
      <c r="D68" s="36"/>
      <c r="E68" s="36"/>
      <c r="F68" s="31"/>
      <c r="G68" s="31"/>
      <c r="H68" s="31"/>
      <c r="I68" s="31"/>
      <c r="J68" s="31"/>
      <c r="K68" s="31"/>
      <c r="L68" s="31"/>
    </row>
    <row r="69">
      <c r="A69" s="33"/>
      <c r="B69" s="34"/>
      <c r="C69" s="35"/>
      <c r="D69" s="36"/>
      <c r="E69" s="36"/>
    </row>
    <row r="70">
      <c r="A70" s="33"/>
      <c r="B70" s="34"/>
      <c r="C70" s="35"/>
      <c r="D70" s="36"/>
      <c r="E70" s="36"/>
    </row>
    <row r="71">
      <c r="A71" s="33"/>
      <c r="B71" s="34"/>
      <c r="C71" s="35"/>
      <c r="D71" s="36"/>
      <c r="E71" s="36"/>
    </row>
    <row r="72">
      <c r="A72" s="33"/>
      <c r="B72" s="34"/>
      <c r="C72" s="35"/>
      <c r="D72" s="36"/>
      <c r="E72" s="36"/>
    </row>
    <row r="73">
      <c r="A73" s="33"/>
      <c r="B73" s="34"/>
      <c r="C73" s="35"/>
      <c r="D73" s="36"/>
      <c r="E73" s="36"/>
    </row>
    <row r="74">
      <c r="A74" s="33"/>
      <c r="B74" s="34"/>
      <c r="C74" s="35"/>
      <c r="D74" s="36"/>
      <c r="E74" s="36"/>
    </row>
    <row r="75">
      <c r="A75" s="33"/>
      <c r="B75" s="34"/>
      <c r="C75" s="35"/>
      <c r="D75" s="36"/>
      <c r="E75" s="36"/>
    </row>
    <row r="76">
      <c r="A76" s="41"/>
      <c r="B76" s="34"/>
      <c r="C76" s="42"/>
      <c r="D76" s="31"/>
      <c r="E76" s="31"/>
    </row>
    <row r="77">
      <c r="A77" s="41"/>
      <c r="B77" s="34"/>
      <c r="C77" s="42"/>
      <c r="D77" s="31"/>
      <c r="E77" s="31"/>
    </row>
    <row r="78">
      <c r="A78" s="41"/>
      <c r="B78" s="34"/>
      <c r="C78" s="42"/>
      <c r="D78" s="31"/>
      <c r="E78" s="31"/>
    </row>
    <row r="79">
      <c r="A79" s="41"/>
      <c r="B79" s="34"/>
      <c r="C79" s="42"/>
      <c r="D79" s="31"/>
      <c r="E79" s="31"/>
    </row>
    <row r="80">
      <c r="A80" s="41"/>
      <c r="B80" s="34"/>
      <c r="C80" s="42"/>
      <c r="D80" s="31"/>
      <c r="E80" s="31"/>
    </row>
    <row r="81">
      <c r="A81" s="41"/>
      <c r="B81" s="34"/>
      <c r="C81" s="42"/>
      <c r="D81" s="31"/>
      <c r="E81" s="31"/>
    </row>
    <row r="82">
      <c r="A82" s="41"/>
      <c r="B82" s="34"/>
      <c r="C82" s="42"/>
      <c r="D82" s="31"/>
      <c r="E82" s="31"/>
    </row>
    <row r="83">
      <c r="A83" s="41"/>
      <c r="B83" s="34"/>
      <c r="C83" s="42"/>
      <c r="D83" s="31"/>
      <c r="E83" s="31"/>
    </row>
    <row r="84">
      <c r="A84" s="41"/>
      <c r="B84" s="34"/>
      <c r="C84" s="42"/>
      <c r="D84" s="31"/>
      <c r="E84" s="31"/>
    </row>
    <row r="85">
      <c r="A85" s="41"/>
      <c r="B85" s="34"/>
      <c r="C85" s="42"/>
      <c r="D85" s="31"/>
      <c r="E85" s="31"/>
    </row>
    <row r="86">
      <c r="A86" s="41"/>
      <c r="B86" s="34"/>
      <c r="C86" s="42"/>
      <c r="D86" s="31"/>
      <c r="E86" s="31"/>
    </row>
    <row r="87">
      <c r="A87" s="41"/>
      <c r="B87" s="34"/>
      <c r="C87" s="42"/>
      <c r="D87" s="31"/>
      <c r="E87" s="31"/>
    </row>
    <row r="88">
      <c r="A88" s="41"/>
      <c r="B88" s="34"/>
      <c r="C88" s="42"/>
      <c r="D88" s="31"/>
      <c r="E88" s="31"/>
    </row>
    <row r="89">
      <c r="A89" s="41"/>
      <c r="B89" s="34"/>
      <c r="C89" s="42"/>
      <c r="D89" s="31"/>
      <c r="E89" s="31"/>
    </row>
    <row r="90">
      <c r="A90" s="41"/>
      <c r="B90" s="34"/>
      <c r="C90" s="42"/>
      <c r="D90" s="31"/>
      <c r="E90" s="31"/>
    </row>
    <row r="91">
      <c r="A91" s="41"/>
      <c r="B91" s="34"/>
      <c r="C91" s="42"/>
      <c r="D91" s="31"/>
      <c r="E91" s="31"/>
    </row>
    <row r="92">
      <c r="A92" s="41"/>
      <c r="B92" s="34"/>
      <c r="C92" s="42"/>
      <c r="D92" s="31"/>
      <c r="E92" s="31"/>
    </row>
    <row r="93">
      <c r="A93" s="41"/>
      <c r="B93" s="34"/>
      <c r="C93" s="42"/>
      <c r="D93" s="31"/>
      <c r="E93" s="31"/>
    </row>
    <row r="94">
      <c r="A94" s="41"/>
      <c r="B94" s="34"/>
      <c r="C94" s="42"/>
      <c r="D94" s="31"/>
      <c r="E94" s="31"/>
    </row>
    <row r="95">
      <c r="A95" s="41"/>
      <c r="B95" s="34"/>
      <c r="C95" s="42"/>
      <c r="D95" s="31"/>
      <c r="E95" s="31"/>
    </row>
    <row r="96">
      <c r="A96" s="41"/>
      <c r="B96" s="34"/>
      <c r="C96" s="42"/>
      <c r="D96" s="31"/>
      <c r="E96" s="31"/>
    </row>
    <row r="97">
      <c r="A97" s="41"/>
      <c r="B97" s="34"/>
      <c r="C97" s="42"/>
      <c r="D97" s="31"/>
      <c r="E97" s="31"/>
    </row>
    <row r="98">
      <c r="A98" s="41"/>
      <c r="B98" s="34"/>
      <c r="C98" s="42"/>
      <c r="D98" s="31"/>
      <c r="E98" s="31"/>
    </row>
    <row r="99">
      <c r="A99" s="41"/>
      <c r="B99" s="34"/>
      <c r="C99" s="42"/>
      <c r="D99" s="31"/>
      <c r="E99" s="31"/>
    </row>
    <row r="100">
      <c r="A100" s="41"/>
      <c r="B100" s="34"/>
      <c r="C100" s="42"/>
      <c r="D100" s="31"/>
      <c r="E100" s="31"/>
    </row>
    <row r="101">
      <c r="A101" s="41"/>
      <c r="B101" s="34"/>
      <c r="C101" s="42"/>
      <c r="D101" s="31"/>
      <c r="E101" s="31"/>
    </row>
    <row r="102">
      <c r="A102" s="41"/>
      <c r="B102" s="34"/>
      <c r="C102" s="42"/>
      <c r="D102" s="31"/>
      <c r="E102" s="31"/>
    </row>
    <row r="103">
      <c r="A103" s="41"/>
      <c r="B103" s="34"/>
      <c r="C103" s="42"/>
      <c r="D103" s="31"/>
      <c r="E103" s="31"/>
    </row>
    <row r="104">
      <c r="A104" s="41"/>
      <c r="B104" s="34"/>
      <c r="C104" s="42"/>
      <c r="D104" s="31"/>
      <c r="E104" s="31"/>
    </row>
    <row r="105">
      <c r="A105" s="41"/>
      <c r="B105" s="34"/>
      <c r="C105" s="42"/>
      <c r="D105" s="31"/>
      <c r="E105" s="31"/>
    </row>
    <row r="106">
      <c r="A106" s="41"/>
      <c r="B106" s="34"/>
      <c r="C106" s="42"/>
      <c r="D106" s="31"/>
      <c r="E106" s="31"/>
    </row>
    <row r="107">
      <c r="A107" s="41"/>
      <c r="B107" s="34"/>
      <c r="C107" s="42"/>
      <c r="D107" s="31"/>
      <c r="E107" s="31"/>
    </row>
    <row r="108">
      <c r="A108" s="41"/>
      <c r="B108" s="34"/>
      <c r="C108" s="42"/>
      <c r="D108" s="31"/>
      <c r="E108" s="31"/>
    </row>
    <row r="109">
      <c r="A109" s="41"/>
      <c r="B109" s="34"/>
      <c r="C109" s="42"/>
      <c r="D109" s="31"/>
      <c r="E109" s="31"/>
    </row>
    <row r="110">
      <c r="A110" s="41"/>
      <c r="B110" s="41"/>
      <c r="C110" s="42"/>
      <c r="D110" s="31"/>
      <c r="E110" s="31"/>
    </row>
    <row r="111">
      <c r="A111" s="41"/>
      <c r="B111" s="41"/>
      <c r="C111" s="42"/>
      <c r="D111" s="31"/>
      <c r="E111" s="31"/>
    </row>
    <row r="112">
      <c r="A112" s="41"/>
      <c r="B112" s="41"/>
      <c r="C112" s="42"/>
      <c r="D112" s="31"/>
      <c r="E112" s="31"/>
    </row>
    <row r="113">
      <c r="A113" s="41"/>
      <c r="B113" s="41"/>
      <c r="C113" s="42"/>
      <c r="D113" s="31"/>
      <c r="E113" s="31"/>
    </row>
    <row r="114">
      <c r="A114" s="41"/>
      <c r="B114" s="41"/>
      <c r="C114" s="42"/>
      <c r="D114" s="31"/>
      <c r="E114" s="31"/>
    </row>
    <row r="115">
      <c r="A115" s="41"/>
      <c r="B115" s="41"/>
      <c r="C115" s="42"/>
      <c r="D115" s="31"/>
      <c r="E115" s="31"/>
    </row>
    <row r="116">
      <c r="A116" s="41"/>
      <c r="B116" s="41"/>
      <c r="C116" s="42"/>
      <c r="D116" s="31"/>
      <c r="E116" s="31"/>
    </row>
    <row r="117">
      <c r="A117" s="41"/>
      <c r="B117" s="41"/>
      <c r="C117" s="42"/>
      <c r="D117" s="31"/>
      <c r="E117" s="31"/>
    </row>
    <row r="118">
      <c r="A118" s="41"/>
      <c r="B118" s="41"/>
      <c r="C118" s="42"/>
      <c r="D118" s="31"/>
      <c r="E118" s="31"/>
    </row>
    <row r="119">
      <c r="A119" s="41"/>
      <c r="B119" s="41"/>
      <c r="C119" s="42"/>
      <c r="D119" s="31"/>
      <c r="E119" s="31"/>
    </row>
    <row r="120">
      <c r="A120" s="41"/>
      <c r="B120" s="41"/>
      <c r="C120" s="42"/>
      <c r="D120" s="31"/>
      <c r="E120" s="31"/>
    </row>
    <row r="121">
      <c r="A121" s="41"/>
      <c r="B121" s="41"/>
      <c r="C121" s="42"/>
      <c r="D121" s="31"/>
      <c r="E121" s="31"/>
    </row>
    <row r="122">
      <c r="A122" s="41"/>
      <c r="B122" s="41"/>
      <c r="C122" s="42"/>
      <c r="D122" s="31"/>
      <c r="E122" s="31"/>
    </row>
    <row r="123">
      <c r="A123" s="41"/>
      <c r="B123" s="41"/>
      <c r="C123" s="42"/>
      <c r="D123" s="31"/>
      <c r="E123" s="31"/>
    </row>
    <row r="124">
      <c r="A124" s="41"/>
      <c r="B124" s="41"/>
      <c r="C124" s="42"/>
      <c r="D124" s="31"/>
      <c r="E124" s="31"/>
    </row>
    <row r="125">
      <c r="A125" s="41"/>
      <c r="B125" s="41"/>
      <c r="C125" s="42"/>
      <c r="D125" s="31"/>
      <c r="E125" s="31"/>
    </row>
    <row r="126">
      <c r="A126" s="41"/>
      <c r="B126" s="41"/>
      <c r="C126" s="42"/>
      <c r="D126" s="31"/>
      <c r="E126" s="31"/>
    </row>
    <row r="127">
      <c r="A127" s="41"/>
      <c r="B127" s="41"/>
      <c r="C127" s="42"/>
      <c r="D127" s="31"/>
      <c r="E127" s="31"/>
    </row>
    <row r="128">
      <c r="A128" s="41"/>
      <c r="B128" s="41"/>
      <c r="C128" s="42"/>
      <c r="D128" s="31"/>
      <c r="E128" s="31"/>
    </row>
    <row r="129">
      <c r="A129" s="41"/>
      <c r="B129" s="41"/>
      <c r="C129" s="42"/>
      <c r="D129" s="31"/>
      <c r="E129" s="31"/>
    </row>
    <row r="130">
      <c r="A130" s="41"/>
      <c r="B130" s="41"/>
      <c r="C130" s="42"/>
      <c r="D130" s="31"/>
      <c r="E130" s="31"/>
    </row>
    <row r="131">
      <c r="A131" s="41"/>
      <c r="B131" s="41"/>
      <c r="C131" s="42"/>
      <c r="D131" s="31"/>
      <c r="E131" s="31"/>
    </row>
    <row r="132">
      <c r="A132" s="41"/>
      <c r="B132" s="41"/>
      <c r="C132" s="42"/>
      <c r="D132" s="31"/>
      <c r="E132" s="31"/>
    </row>
    <row r="133">
      <c r="A133" s="41"/>
      <c r="B133" s="41"/>
      <c r="C133" s="42"/>
      <c r="D133" s="31"/>
      <c r="E133" s="31"/>
    </row>
    <row r="134">
      <c r="A134" s="41"/>
      <c r="B134" s="41"/>
      <c r="C134" s="42"/>
      <c r="D134" s="31"/>
      <c r="E134" s="31"/>
    </row>
    <row r="135">
      <c r="A135" s="41"/>
      <c r="B135" s="41"/>
      <c r="C135" s="42"/>
      <c r="D135" s="31"/>
      <c r="E135" s="31"/>
    </row>
    <row r="136">
      <c r="A136" s="41"/>
      <c r="B136" s="41"/>
      <c r="C136" s="42"/>
      <c r="D136" s="31"/>
      <c r="E136" s="31"/>
    </row>
    <row r="137">
      <c r="A137" s="41"/>
      <c r="B137" s="41"/>
      <c r="C137" s="42"/>
      <c r="D137" s="31"/>
      <c r="E137" s="31"/>
    </row>
    <row r="138">
      <c r="A138" s="41"/>
      <c r="B138" s="41"/>
      <c r="C138" s="42"/>
      <c r="D138" s="31"/>
      <c r="E138" s="31"/>
    </row>
    <row r="139">
      <c r="A139" s="41"/>
      <c r="B139" s="41"/>
      <c r="C139" s="42"/>
      <c r="D139" s="31"/>
      <c r="E139" s="31"/>
    </row>
    <row r="140">
      <c r="A140" s="41"/>
      <c r="B140" s="41"/>
      <c r="C140" s="42"/>
      <c r="D140" s="31"/>
      <c r="E140" s="31"/>
    </row>
    <row r="141">
      <c r="A141" s="41"/>
      <c r="B141" s="41"/>
      <c r="C141" s="42"/>
      <c r="D141" s="31"/>
      <c r="E141" s="31"/>
    </row>
    <row r="142">
      <c r="A142" s="41"/>
      <c r="B142" s="41"/>
      <c r="C142" s="42"/>
      <c r="D142" s="31"/>
      <c r="E142" s="31"/>
    </row>
    <row r="143">
      <c r="A143" s="41"/>
      <c r="B143" s="41"/>
      <c r="C143" s="42"/>
      <c r="D143" s="31"/>
      <c r="E143" s="31"/>
    </row>
    <row r="144">
      <c r="A144" s="41"/>
      <c r="B144" s="41"/>
      <c r="C144" s="42"/>
      <c r="D144" s="31"/>
      <c r="E144" s="31"/>
    </row>
    <row r="145">
      <c r="A145" s="41"/>
      <c r="B145" s="41"/>
      <c r="C145" s="42"/>
      <c r="D145" s="31"/>
      <c r="E145" s="31"/>
    </row>
    <row r="146">
      <c r="A146" s="41"/>
      <c r="B146" s="41"/>
      <c r="C146" s="42"/>
      <c r="D146" s="31"/>
      <c r="E146" s="31"/>
    </row>
    <row r="147">
      <c r="A147" s="41"/>
      <c r="B147" s="41"/>
      <c r="C147" s="42"/>
      <c r="D147" s="31"/>
      <c r="E147" s="31"/>
    </row>
    <row r="148">
      <c r="A148" s="41"/>
      <c r="B148" s="41"/>
      <c r="C148" s="42"/>
      <c r="D148" s="31"/>
      <c r="E148" s="31"/>
    </row>
    <row r="149">
      <c r="A149" s="41"/>
      <c r="B149" s="41"/>
      <c r="C149" s="42"/>
      <c r="D149" s="31"/>
      <c r="E149" s="31"/>
    </row>
    <row r="150">
      <c r="A150" s="41"/>
      <c r="B150" s="41"/>
      <c r="C150" s="42"/>
      <c r="D150" s="31"/>
      <c r="E150" s="31"/>
    </row>
    <row r="151">
      <c r="A151" s="41"/>
      <c r="B151" s="41"/>
      <c r="C151" s="42"/>
      <c r="D151" s="31"/>
      <c r="E151" s="31"/>
    </row>
    <row r="152">
      <c r="A152" s="41"/>
      <c r="B152" s="41"/>
      <c r="C152" s="42"/>
      <c r="D152" s="31"/>
      <c r="E152" s="31"/>
    </row>
    <row r="153">
      <c r="A153" s="41"/>
      <c r="B153" s="41"/>
      <c r="C153" s="42"/>
      <c r="D153" s="31"/>
      <c r="E153" s="31"/>
    </row>
    <row r="154">
      <c r="A154" s="41"/>
      <c r="B154" s="41"/>
      <c r="C154" s="42"/>
      <c r="D154" s="31"/>
      <c r="E154" s="31"/>
    </row>
    <row r="155">
      <c r="A155" s="41"/>
      <c r="B155" s="41"/>
      <c r="C155" s="42"/>
      <c r="D155" s="31"/>
      <c r="E155" s="31"/>
    </row>
    <row r="156">
      <c r="A156" s="41"/>
      <c r="B156" s="41"/>
      <c r="C156" s="42"/>
      <c r="D156" s="31"/>
      <c r="E156" s="31"/>
    </row>
    <row r="157">
      <c r="A157" s="41"/>
      <c r="B157" s="41"/>
      <c r="C157" s="42"/>
      <c r="D157" s="31"/>
      <c r="E157" s="31"/>
    </row>
    <row r="158">
      <c r="A158" s="41"/>
      <c r="B158" s="41"/>
      <c r="C158" s="42"/>
      <c r="D158" s="31"/>
      <c r="E158" s="31"/>
    </row>
    <row r="159">
      <c r="A159" s="41"/>
      <c r="B159" s="41"/>
      <c r="C159" s="42"/>
      <c r="D159" s="31"/>
      <c r="E159" s="31"/>
    </row>
    <row r="160">
      <c r="A160" s="41"/>
      <c r="B160" s="41"/>
      <c r="C160" s="42"/>
      <c r="D160" s="31"/>
      <c r="E160" s="31"/>
    </row>
    <row r="161">
      <c r="A161" s="41"/>
      <c r="B161" s="41"/>
      <c r="C161" s="42"/>
      <c r="D161" s="31"/>
      <c r="E161" s="31"/>
    </row>
    <row r="162">
      <c r="A162" s="41"/>
      <c r="B162" s="41"/>
      <c r="C162" s="42"/>
      <c r="D162" s="31"/>
      <c r="E162" s="31"/>
    </row>
    <row r="163">
      <c r="A163" s="41"/>
      <c r="B163" s="41"/>
      <c r="C163" s="42"/>
      <c r="D163" s="31"/>
      <c r="E163" s="31"/>
    </row>
    <row r="164">
      <c r="A164" s="41"/>
      <c r="B164" s="41"/>
      <c r="C164" s="42"/>
      <c r="D164" s="31"/>
      <c r="E164" s="31"/>
    </row>
    <row r="165">
      <c r="A165" s="41"/>
      <c r="B165" s="41"/>
      <c r="C165" s="42"/>
      <c r="D165" s="31"/>
      <c r="E165" s="31"/>
    </row>
    <row r="166">
      <c r="A166" s="41"/>
      <c r="B166" s="41"/>
      <c r="C166" s="42"/>
      <c r="D166" s="31"/>
      <c r="E166" s="31"/>
    </row>
    <row r="167">
      <c r="A167" s="41"/>
      <c r="B167" s="41"/>
      <c r="C167" s="42"/>
      <c r="D167" s="31"/>
      <c r="E167" s="31"/>
    </row>
    <row r="168">
      <c r="A168" s="41"/>
      <c r="B168" s="41"/>
      <c r="C168" s="42"/>
      <c r="D168" s="31"/>
      <c r="E168" s="31"/>
    </row>
    <row r="169">
      <c r="A169" s="41"/>
      <c r="B169" s="41"/>
      <c r="C169" s="42"/>
      <c r="D169" s="31"/>
      <c r="E169" s="31"/>
    </row>
    <row r="170">
      <c r="A170" s="41"/>
      <c r="B170" s="41"/>
      <c r="C170" s="42"/>
      <c r="D170" s="31"/>
      <c r="E170" s="31"/>
    </row>
    <row r="171">
      <c r="A171" s="41"/>
      <c r="B171" s="41"/>
      <c r="C171" s="42"/>
      <c r="D171" s="31"/>
      <c r="E171" s="31"/>
    </row>
    <row r="172">
      <c r="A172" s="41"/>
      <c r="B172" s="41"/>
      <c r="C172" s="42"/>
      <c r="D172" s="31"/>
      <c r="E172" s="31"/>
    </row>
    <row r="173">
      <c r="A173" s="41"/>
      <c r="B173" s="41"/>
      <c r="C173" s="42"/>
      <c r="D173" s="31"/>
      <c r="E173" s="31"/>
    </row>
    <row r="174">
      <c r="A174" s="41"/>
      <c r="B174" s="41"/>
      <c r="C174" s="42"/>
      <c r="D174" s="31"/>
      <c r="E174" s="31"/>
    </row>
    <row r="175">
      <c r="A175" s="41"/>
      <c r="B175" s="41"/>
      <c r="C175" s="42"/>
      <c r="D175" s="31"/>
      <c r="E175" s="31"/>
    </row>
    <row r="176">
      <c r="A176" s="41"/>
      <c r="B176" s="41"/>
      <c r="C176" s="42"/>
      <c r="D176" s="31"/>
      <c r="E176" s="31"/>
    </row>
    <row r="177">
      <c r="A177" s="41"/>
      <c r="B177" s="41"/>
      <c r="C177" s="42"/>
      <c r="D177" s="31"/>
      <c r="E177" s="31"/>
    </row>
    <row r="178">
      <c r="A178" s="41"/>
      <c r="B178" s="41"/>
      <c r="C178" s="42"/>
      <c r="D178" s="31"/>
      <c r="E178" s="31"/>
    </row>
    <row r="179">
      <c r="A179" s="41"/>
      <c r="B179" s="41"/>
      <c r="C179" s="42"/>
      <c r="D179" s="31"/>
      <c r="E179" s="31"/>
    </row>
    <row r="180">
      <c r="A180" s="41"/>
      <c r="B180" s="41"/>
      <c r="C180" s="42"/>
      <c r="D180" s="31"/>
      <c r="E180" s="31"/>
    </row>
    <row r="181">
      <c r="A181" s="41"/>
      <c r="B181" s="41"/>
      <c r="C181" s="42"/>
      <c r="D181" s="31"/>
      <c r="E181" s="31"/>
    </row>
    <row r="182">
      <c r="A182" s="41"/>
      <c r="B182" s="41"/>
      <c r="C182" s="42"/>
      <c r="D182" s="31"/>
      <c r="E182" s="31"/>
    </row>
    <row r="183">
      <c r="A183" s="41"/>
      <c r="B183" s="41"/>
      <c r="C183" s="42"/>
      <c r="D183" s="31"/>
      <c r="E183" s="31"/>
    </row>
    <row r="184">
      <c r="A184" s="41"/>
      <c r="B184" s="41"/>
      <c r="C184" s="42"/>
      <c r="D184" s="31"/>
      <c r="E184" s="31"/>
    </row>
    <row r="185">
      <c r="A185" s="41"/>
      <c r="B185" s="41"/>
      <c r="C185" s="42"/>
      <c r="D185" s="31"/>
      <c r="E185" s="31"/>
    </row>
    <row r="186">
      <c r="A186" s="41"/>
      <c r="B186" s="41"/>
      <c r="C186" s="42"/>
      <c r="D186" s="31"/>
      <c r="E186" s="31"/>
    </row>
    <row r="187">
      <c r="A187" s="41"/>
      <c r="B187" s="41"/>
      <c r="C187" s="42"/>
      <c r="D187" s="31"/>
      <c r="E187" s="31"/>
    </row>
    <row r="188">
      <c r="A188" s="41"/>
      <c r="B188" s="41"/>
      <c r="C188" s="42"/>
      <c r="D188" s="31"/>
      <c r="E188" s="31"/>
    </row>
    <row r="189">
      <c r="A189" s="41"/>
      <c r="B189" s="41"/>
      <c r="C189" s="42"/>
      <c r="D189" s="31"/>
      <c r="E189" s="31"/>
    </row>
    <row r="190">
      <c r="A190" s="41"/>
      <c r="B190" s="41"/>
      <c r="C190" s="42"/>
      <c r="D190" s="31"/>
      <c r="E190" s="31"/>
    </row>
    <row r="191">
      <c r="A191" s="41"/>
      <c r="B191" s="41"/>
      <c r="C191" s="42"/>
      <c r="D191" s="31"/>
      <c r="E191" s="31"/>
    </row>
    <row r="192">
      <c r="A192" s="41"/>
      <c r="B192" s="41"/>
      <c r="C192" s="42"/>
      <c r="D192" s="31"/>
      <c r="E192" s="31"/>
    </row>
    <row r="193">
      <c r="A193" s="41"/>
      <c r="B193" s="41"/>
      <c r="C193" s="42"/>
      <c r="D193" s="31"/>
      <c r="E193" s="31"/>
    </row>
    <row r="194">
      <c r="A194" s="41"/>
      <c r="B194" s="41"/>
      <c r="C194" s="42"/>
      <c r="D194" s="31"/>
      <c r="E194" s="31"/>
    </row>
    <row r="195">
      <c r="A195" s="41"/>
      <c r="B195" s="41"/>
      <c r="C195" s="42"/>
      <c r="D195" s="31"/>
      <c r="E195" s="31"/>
    </row>
    <row r="196">
      <c r="A196" s="41"/>
      <c r="B196" s="41"/>
      <c r="C196" s="42"/>
      <c r="D196" s="31"/>
      <c r="E196" s="31"/>
    </row>
    <row r="197">
      <c r="A197" s="41"/>
      <c r="B197" s="41"/>
      <c r="C197" s="42"/>
      <c r="D197" s="31"/>
      <c r="E197" s="31"/>
    </row>
    <row r="198">
      <c r="A198" s="41"/>
      <c r="B198" s="41"/>
      <c r="C198" s="42"/>
      <c r="D198" s="31"/>
      <c r="E198" s="31"/>
    </row>
    <row r="199">
      <c r="A199" s="41"/>
      <c r="B199" s="41"/>
      <c r="C199" s="42"/>
      <c r="D199" s="31"/>
      <c r="E199" s="31"/>
    </row>
    <row r="200">
      <c r="A200" s="41"/>
      <c r="B200" s="41"/>
      <c r="C200" s="42"/>
      <c r="D200" s="31"/>
      <c r="E200" s="31"/>
    </row>
    <row r="201">
      <c r="A201" s="41"/>
      <c r="B201" s="41"/>
      <c r="C201" s="42"/>
      <c r="D201" s="31"/>
      <c r="E201" s="31"/>
    </row>
    <row r="202">
      <c r="A202" s="41"/>
      <c r="B202" s="41"/>
      <c r="C202" s="42"/>
      <c r="D202" s="31"/>
      <c r="E202" s="31"/>
    </row>
    <row r="203">
      <c r="A203" s="41"/>
      <c r="B203" s="41"/>
      <c r="C203" s="42"/>
      <c r="D203" s="31"/>
      <c r="E203" s="31"/>
    </row>
    <row r="204">
      <c r="A204" s="41"/>
      <c r="B204" s="41"/>
      <c r="C204" s="42"/>
      <c r="D204" s="31"/>
      <c r="E204" s="31"/>
    </row>
    <row r="205">
      <c r="A205" s="41"/>
      <c r="B205" s="41"/>
      <c r="C205" s="42"/>
      <c r="D205" s="31"/>
      <c r="E205" s="31"/>
    </row>
    <row r="206">
      <c r="A206" s="41"/>
      <c r="B206" s="41"/>
      <c r="C206" s="42"/>
      <c r="D206" s="31"/>
      <c r="E206" s="31"/>
    </row>
    <row r="207">
      <c r="A207" s="41"/>
      <c r="B207" s="41"/>
      <c r="C207" s="42"/>
      <c r="D207" s="31"/>
      <c r="E207" s="31"/>
    </row>
    <row r="208">
      <c r="A208" s="41"/>
      <c r="B208" s="41"/>
      <c r="C208" s="42"/>
      <c r="D208" s="31"/>
      <c r="E208" s="31"/>
    </row>
    <row r="209">
      <c r="A209" s="41"/>
      <c r="B209" s="41"/>
      <c r="C209" s="42"/>
      <c r="D209" s="31"/>
      <c r="E209" s="31"/>
    </row>
    <row r="210">
      <c r="A210" s="41"/>
      <c r="B210" s="41"/>
      <c r="C210" s="42"/>
      <c r="D210" s="31"/>
      <c r="E210" s="31"/>
    </row>
    <row r="211">
      <c r="A211" s="41"/>
      <c r="B211" s="41"/>
      <c r="C211" s="42"/>
      <c r="D211" s="31"/>
      <c r="E211" s="31"/>
    </row>
    <row r="212">
      <c r="A212" s="41"/>
      <c r="B212" s="41"/>
      <c r="C212" s="42"/>
      <c r="D212" s="31"/>
      <c r="E212" s="31"/>
    </row>
    <row r="213">
      <c r="A213" s="41"/>
      <c r="B213" s="41"/>
      <c r="C213" s="42"/>
      <c r="D213" s="31"/>
      <c r="E213" s="31"/>
    </row>
    <row r="214">
      <c r="A214" s="41"/>
      <c r="B214" s="41"/>
      <c r="C214" s="42"/>
      <c r="D214" s="31"/>
      <c r="E214" s="31"/>
    </row>
    <row r="215">
      <c r="A215" s="41"/>
      <c r="B215" s="41"/>
      <c r="C215" s="42"/>
      <c r="D215" s="31"/>
      <c r="E215" s="31"/>
    </row>
    <row r="216">
      <c r="A216" s="41"/>
      <c r="B216" s="41"/>
      <c r="C216" s="42"/>
      <c r="D216" s="31"/>
      <c r="E216" s="31"/>
    </row>
    <row r="217">
      <c r="A217" s="41"/>
      <c r="B217" s="41"/>
      <c r="C217" s="42"/>
      <c r="D217" s="31"/>
      <c r="E217" s="31"/>
    </row>
    <row r="218">
      <c r="A218" s="41"/>
      <c r="B218" s="41"/>
      <c r="C218" s="42"/>
      <c r="D218" s="31"/>
      <c r="E218" s="31"/>
    </row>
    <row r="219">
      <c r="A219" s="41"/>
      <c r="B219" s="41"/>
      <c r="C219" s="42"/>
      <c r="D219" s="31"/>
      <c r="E219" s="31"/>
    </row>
    <row r="220">
      <c r="A220" s="41"/>
      <c r="B220" s="41"/>
      <c r="C220" s="42"/>
      <c r="D220" s="31"/>
      <c r="E220" s="31"/>
    </row>
    <row r="221">
      <c r="A221" s="41"/>
      <c r="B221" s="41"/>
      <c r="C221" s="42"/>
      <c r="D221" s="31"/>
      <c r="E221" s="31"/>
    </row>
    <row r="222">
      <c r="A222" s="41"/>
      <c r="B222" s="41"/>
      <c r="C222" s="42"/>
      <c r="D222" s="31"/>
      <c r="E222" s="31"/>
    </row>
    <row r="223">
      <c r="A223" s="41"/>
      <c r="B223" s="41"/>
      <c r="C223" s="42"/>
      <c r="D223" s="31"/>
      <c r="E223" s="31"/>
    </row>
    <row r="224">
      <c r="A224" s="41"/>
      <c r="B224" s="41"/>
      <c r="C224" s="42"/>
      <c r="D224" s="31"/>
      <c r="E224" s="31"/>
    </row>
    <row r="225">
      <c r="A225" s="41"/>
      <c r="B225" s="41"/>
      <c r="C225" s="42"/>
      <c r="D225" s="31"/>
      <c r="E225" s="31"/>
    </row>
    <row r="226">
      <c r="A226" s="41"/>
      <c r="B226" s="41"/>
      <c r="C226" s="42"/>
      <c r="D226" s="31"/>
      <c r="E226" s="31"/>
    </row>
    <row r="227">
      <c r="A227" s="41"/>
      <c r="B227" s="41"/>
      <c r="C227" s="42"/>
      <c r="D227" s="31"/>
      <c r="E227" s="31"/>
    </row>
    <row r="228">
      <c r="A228" s="41"/>
      <c r="B228" s="41"/>
      <c r="C228" s="42"/>
      <c r="D228" s="31"/>
      <c r="E228" s="31"/>
    </row>
    <row r="229">
      <c r="A229" s="41"/>
      <c r="B229" s="41"/>
      <c r="C229" s="42"/>
      <c r="D229" s="31"/>
      <c r="E229" s="31"/>
    </row>
    <row r="230">
      <c r="A230" s="41"/>
      <c r="B230" s="41"/>
      <c r="C230" s="42"/>
      <c r="D230" s="31"/>
      <c r="E230" s="31"/>
    </row>
    <row r="231">
      <c r="A231" s="41"/>
      <c r="B231" s="41"/>
      <c r="C231" s="42"/>
      <c r="D231" s="31"/>
      <c r="E231" s="31"/>
    </row>
    <row r="232">
      <c r="A232" s="41"/>
      <c r="B232" s="41"/>
      <c r="C232" s="42"/>
      <c r="D232" s="31"/>
      <c r="E232" s="31"/>
    </row>
    <row r="233">
      <c r="A233" s="41"/>
      <c r="B233" s="41"/>
      <c r="C233" s="42"/>
      <c r="D233" s="31"/>
      <c r="E233" s="31"/>
    </row>
    <row r="234">
      <c r="A234" s="41"/>
      <c r="B234" s="41"/>
      <c r="C234" s="42"/>
      <c r="D234" s="31"/>
      <c r="E234" s="31"/>
    </row>
    <row r="235">
      <c r="A235" s="41"/>
      <c r="B235" s="41"/>
      <c r="C235" s="42"/>
      <c r="D235" s="31"/>
      <c r="E235" s="31"/>
    </row>
    <row r="236">
      <c r="A236" s="41"/>
      <c r="B236" s="41"/>
      <c r="C236" s="42"/>
      <c r="D236" s="31"/>
      <c r="E236" s="31"/>
    </row>
    <row r="237">
      <c r="A237" s="41"/>
      <c r="B237" s="41"/>
      <c r="C237" s="42"/>
      <c r="D237" s="31"/>
      <c r="E237" s="31"/>
    </row>
    <row r="238">
      <c r="A238" s="41"/>
      <c r="B238" s="41"/>
      <c r="C238" s="42"/>
      <c r="D238" s="31"/>
      <c r="E238" s="31"/>
    </row>
    <row r="239">
      <c r="A239" s="41"/>
      <c r="B239" s="41"/>
      <c r="C239" s="42"/>
      <c r="D239" s="31"/>
      <c r="E239" s="31"/>
    </row>
    <row r="240">
      <c r="A240" s="41"/>
      <c r="B240" s="41"/>
      <c r="C240" s="42"/>
      <c r="D240" s="31"/>
      <c r="E240" s="31"/>
    </row>
    <row r="241">
      <c r="A241" s="41"/>
      <c r="B241" s="41"/>
      <c r="C241" s="42"/>
      <c r="D241" s="31"/>
      <c r="E241" s="31"/>
    </row>
    <row r="242">
      <c r="A242" s="41"/>
      <c r="B242" s="41"/>
      <c r="C242" s="42"/>
      <c r="D242" s="31"/>
      <c r="E242" s="31"/>
    </row>
    <row r="243">
      <c r="A243" s="41"/>
      <c r="B243" s="41"/>
      <c r="C243" s="42"/>
      <c r="D243" s="31"/>
      <c r="E243" s="31"/>
    </row>
    <row r="244">
      <c r="A244" s="41"/>
      <c r="B244" s="41"/>
      <c r="C244" s="42"/>
      <c r="D244" s="31"/>
      <c r="E244" s="31"/>
    </row>
    <row r="245">
      <c r="A245" s="41"/>
      <c r="B245" s="41"/>
      <c r="C245" s="42"/>
      <c r="D245" s="31"/>
      <c r="E245" s="31"/>
    </row>
    <row r="246">
      <c r="A246" s="41"/>
      <c r="B246" s="41"/>
      <c r="C246" s="42"/>
      <c r="D246" s="31"/>
      <c r="E246" s="31"/>
    </row>
    <row r="247">
      <c r="A247" s="41"/>
      <c r="B247" s="41"/>
      <c r="C247" s="42"/>
      <c r="D247" s="31"/>
      <c r="E247" s="31"/>
    </row>
    <row r="248">
      <c r="A248" s="41"/>
      <c r="B248" s="41"/>
      <c r="C248" s="42"/>
      <c r="D248" s="31"/>
      <c r="E248" s="31"/>
    </row>
    <row r="249">
      <c r="A249" s="41"/>
      <c r="B249" s="41"/>
      <c r="C249" s="42"/>
      <c r="D249" s="31"/>
      <c r="E249" s="31"/>
    </row>
    <row r="250">
      <c r="A250" s="41"/>
      <c r="B250" s="41"/>
      <c r="C250" s="42"/>
      <c r="D250" s="31"/>
      <c r="E250" s="31"/>
    </row>
    <row r="251">
      <c r="A251" s="41"/>
      <c r="B251" s="41"/>
      <c r="C251" s="42"/>
      <c r="D251" s="31"/>
      <c r="E251" s="31"/>
    </row>
    <row r="252">
      <c r="A252" s="41"/>
      <c r="B252" s="41"/>
      <c r="C252" s="42"/>
      <c r="D252" s="31"/>
      <c r="E252" s="31"/>
    </row>
    <row r="253">
      <c r="A253" s="41"/>
      <c r="B253" s="41"/>
      <c r="C253" s="42"/>
      <c r="D253" s="31"/>
      <c r="E253" s="31"/>
    </row>
    <row r="254">
      <c r="A254" s="41"/>
      <c r="B254" s="41"/>
      <c r="C254" s="42"/>
      <c r="D254" s="31"/>
      <c r="E254" s="31"/>
    </row>
    <row r="255">
      <c r="A255" s="41"/>
      <c r="B255" s="41"/>
      <c r="C255" s="42"/>
      <c r="D255" s="31"/>
      <c r="E255" s="31"/>
    </row>
    <row r="256">
      <c r="A256" s="41"/>
      <c r="B256" s="41"/>
      <c r="C256" s="42"/>
      <c r="D256" s="31"/>
      <c r="E256" s="31"/>
    </row>
    <row r="257">
      <c r="A257" s="41"/>
      <c r="B257" s="41"/>
      <c r="C257" s="42"/>
      <c r="D257" s="31"/>
      <c r="E257" s="31"/>
    </row>
    <row r="258">
      <c r="A258" s="41"/>
      <c r="B258" s="41"/>
      <c r="C258" s="42"/>
      <c r="D258" s="31"/>
      <c r="E258" s="31"/>
    </row>
    <row r="259">
      <c r="A259" s="41"/>
      <c r="B259" s="41"/>
      <c r="C259" s="42"/>
      <c r="D259" s="31"/>
      <c r="E259" s="31"/>
    </row>
    <row r="260">
      <c r="A260" s="41"/>
      <c r="B260" s="41"/>
      <c r="C260" s="42"/>
      <c r="D260" s="31"/>
      <c r="E260" s="31"/>
    </row>
    <row r="261">
      <c r="A261" s="41"/>
      <c r="B261" s="41"/>
      <c r="C261" s="42"/>
      <c r="D261" s="31"/>
      <c r="E261" s="31"/>
    </row>
    <row r="262">
      <c r="A262" s="41"/>
      <c r="B262" s="41"/>
      <c r="C262" s="42"/>
      <c r="D262" s="31"/>
      <c r="E262" s="31"/>
    </row>
    <row r="263">
      <c r="A263" s="41"/>
      <c r="B263" s="41"/>
      <c r="C263" s="42"/>
      <c r="D263" s="31"/>
      <c r="E263" s="31"/>
    </row>
    <row r="264">
      <c r="A264" s="41"/>
      <c r="B264" s="41"/>
      <c r="C264" s="42"/>
      <c r="D264" s="31"/>
      <c r="E264" s="31"/>
    </row>
    <row r="265">
      <c r="A265" s="41"/>
      <c r="B265" s="41"/>
      <c r="C265" s="42"/>
      <c r="D265" s="31"/>
      <c r="E265" s="31"/>
    </row>
    <row r="266">
      <c r="A266" s="41"/>
      <c r="B266" s="41"/>
      <c r="C266" s="42"/>
      <c r="D266" s="31"/>
      <c r="E266" s="31"/>
    </row>
    <row r="267">
      <c r="A267" s="41"/>
      <c r="B267" s="41"/>
      <c r="C267" s="42"/>
      <c r="D267" s="31"/>
      <c r="E267" s="31"/>
    </row>
    <row r="268">
      <c r="A268" s="41"/>
      <c r="B268" s="41"/>
      <c r="C268" s="42"/>
      <c r="D268" s="31"/>
      <c r="E268" s="31"/>
    </row>
    <row r="269">
      <c r="A269" s="41"/>
      <c r="B269" s="41"/>
      <c r="C269" s="42"/>
      <c r="D269" s="31"/>
      <c r="E269" s="31"/>
    </row>
    <row r="270">
      <c r="A270" s="41"/>
      <c r="B270" s="41"/>
      <c r="C270" s="42"/>
      <c r="D270" s="31"/>
      <c r="E270" s="31"/>
    </row>
    <row r="271">
      <c r="A271" s="41"/>
      <c r="B271" s="41"/>
      <c r="C271" s="42"/>
      <c r="D271" s="31"/>
      <c r="E271" s="31"/>
    </row>
    <row r="272">
      <c r="A272" s="41"/>
      <c r="B272" s="41"/>
      <c r="C272" s="42"/>
      <c r="D272" s="31"/>
      <c r="E272" s="31"/>
    </row>
    <row r="273">
      <c r="A273" s="41"/>
      <c r="B273" s="41"/>
      <c r="C273" s="42"/>
      <c r="D273" s="31"/>
      <c r="E273" s="31"/>
    </row>
    <row r="274">
      <c r="A274" s="41"/>
      <c r="B274" s="41"/>
      <c r="C274" s="42"/>
      <c r="D274" s="31"/>
      <c r="E274" s="31"/>
    </row>
    <row r="275">
      <c r="A275" s="41"/>
      <c r="B275" s="41"/>
      <c r="C275" s="42"/>
      <c r="D275" s="31"/>
      <c r="E275" s="31"/>
    </row>
    <row r="276">
      <c r="A276" s="41"/>
      <c r="B276" s="41"/>
      <c r="C276" s="42"/>
      <c r="D276" s="31"/>
      <c r="E276" s="31"/>
    </row>
    <row r="277">
      <c r="A277" s="41"/>
      <c r="B277" s="41"/>
      <c r="C277" s="42"/>
      <c r="D277" s="31"/>
      <c r="E277" s="31"/>
    </row>
    <row r="278">
      <c r="A278" s="41"/>
      <c r="B278" s="41"/>
      <c r="C278" s="42"/>
      <c r="D278" s="31"/>
      <c r="E278" s="31"/>
    </row>
    <row r="279">
      <c r="A279" s="41"/>
      <c r="B279" s="41"/>
      <c r="C279" s="42"/>
      <c r="D279" s="31"/>
      <c r="E279" s="31"/>
    </row>
    <row r="280">
      <c r="A280" s="41"/>
      <c r="B280" s="41"/>
      <c r="C280" s="42"/>
      <c r="D280" s="31"/>
      <c r="E280" s="31"/>
    </row>
    <row r="281">
      <c r="A281" s="41"/>
      <c r="B281" s="41"/>
      <c r="C281" s="42"/>
      <c r="D281" s="31"/>
      <c r="E281" s="31"/>
    </row>
    <row r="282">
      <c r="A282" s="41"/>
      <c r="B282" s="41"/>
      <c r="C282" s="42"/>
      <c r="D282" s="31"/>
      <c r="E282" s="31"/>
    </row>
    <row r="283">
      <c r="A283" s="41"/>
      <c r="B283" s="41"/>
      <c r="C283" s="42"/>
      <c r="D283" s="31"/>
      <c r="E283" s="31"/>
    </row>
    <row r="284">
      <c r="A284" s="41"/>
      <c r="B284" s="41"/>
      <c r="C284" s="42"/>
      <c r="D284" s="31"/>
      <c r="E284" s="31"/>
    </row>
    <row r="285">
      <c r="A285" s="41"/>
      <c r="B285" s="41"/>
      <c r="C285" s="42"/>
      <c r="D285" s="31"/>
      <c r="E285" s="31"/>
    </row>
    <row r="286">
      <c r="A286" s="41"/>
      <c r="B286" s="41"/>
      <c r="C286" s="42"/>
      <c r="D286" s="31"/>
      <c r="E286" s="31"/>
    </row>
    <row r="287">
      <c r="A287" s="41"/>
      <c r="B287" s="41"/>
      <c r="C287" s="42"/>
      <c r="D287" s="31"/>
      <c r="E287" s="31"/>
    </row>
    <row r="288">
      <c r="A288" s="41"/>
      <c r="B288" s="41"/>
      <c r="C288" s="42"/>
      <c r="D288" s="31"/>
      <c r="E288" s="31"/>
    </row>
    <row r="289">
      <c r="A289" s="41"/>
      <c r="B289" s="41"/>
      <c r="C289" s="42"/>
      <c r="D289" s="31"/>
      <c r="E289" s="31"/>
    </row>
    <row r="290">
      <c r="A290" s="41"/>
      <c r="B290" s="41"/>
      <c r="C290" s="42"/>
      <c r="D290" s="31"/>
      <c r="E290" s="31"/>
    </row>
    <row r="291">
      <c r="A291" s="41"/>
      <c r="B291" s="41"/>
      <c r="C291" s="42"/>
      <c r="D291" s="31"/>
      <c r="E291" s="31"/>
    </row>
    <row r="292">
      <c r="A292" s="41"/>
      <c r="B292" s="41"/>
      <c r="C292" s="42"/>
      <c r="D292" s="31"/>
      <c r="E292" s="31"/>
    </row>
    <row r="293">
      <c r="A293" s="41"/>
      <c r="B293" s="41"/>
      <c r="C293" s="42"/>
      <c r="D293" s="31"/>
      <c r="E293" s="31"/>
    </row>
    <row r="294">
      <c r="A294" s="41"/>
      <c r="B294" s="41"/>
      <c r="C294" s="42"/>
      <c r="D294" s="31"/>
      <c r="E294" s="31"/>
    </row>
    <row r="295">
      <c r="A295" s="41"/>
      <c r="B295" s="41"/>
      <c r="C295" s="42"/>
      <c r="D295" s="31"/>
      <c r="E295" s="31"/>
    </row>
    <row r="296">
      <c r="A296" s="41"/>
      <c r="B296" s="41"/>
      <c r="C296" s="42"/>
      <c r="D296" s="31"/>
      <c r="E296" s="31"/>
    </row>
    <row r="297">
      <c r="A297" s="41"/>
      <c r="B297" s="41"/>
      <c r="C297" s="42"/>
      <c r="D297" s="31"/>
      <c r="E297" s="31"/>
    </row>
    <row r="298">
      <c r="A298" s="41"/>
      <c r="B298" s="41"/>
      <c r="C298" s="42"/>
      <c r="D298" s="31"/>
      <c r="E298" s="31"/>
    </row>
    <row r="299">
      <c r="A299" s="41"/>
      <c r="B299" s="41"/>
      <c r="C299" s="42"/>
      <c r="D299" s="31"/>
      <c r="E299" s="31"/>
    </row>
    <row r="300">
      <c r="A300" s="41"/>
      <c r="B300" s="41"/>
      <c r="C300" s="42"/>
      <c r="D300" s="31"/>
      <c r="E300" s="31"/>
    </row>
    <row r="301">
      <c r="A301" s="41"/>
      <c r="B301" s="41"/>
      <c r="C301" s="42"/>
      <c r="D301" s="31"/>
      <c r="E301" s="31"/>
    </row>
    <row r="302">
      <c r="A302" s="41"/>
      <c r="B302" s="41"/>
      <c r="C302" s="42"/>
      <c r="D302" s="31"/>
      <c r="E302" s="31"/>
    </row>
    <row r="303">
      <c r="A303" s="41"/>
      <c r="B303" s="41"/>
      <c r="C303" s="42"/>
      <c r="D303" s="31"/>
      <c r="E303" s="31"/>
    </row>
    <row r="304">
      <c r="A304" s="41"/>
      <c r="B304" s="41"/>
      <c r="C304" s="42"/>
      <c r="D304" s="31"/>
      <c r="E304" s="31"/>
    </row>
    <row r="305">
      <c r="A305" s="41"/>
      <c r="B305" s="41"/>
      <c r="C305" s="42"/>
      <c r="D305" s="31"/>
      <c r="E305" s="31"/>
    </row>
    <row r="306">
      <c r="A306" s="41"/>
      <c r="B306" s="41"/>
      <c r="C306" s="42"/>
      <c r="D306" s="31"/>
      <c r="E306" s="31"/>
    </row>
    <row r="307">
      <c r="A307" s="41"/>
      <c r="B307" s="41"/>
      <c r="C307" s="42"/>
      <c r="D307" s="31"/>
      <c r="E307" s="31"/>
    </row>
    <row r="308">
      <c r="A308" s="41"/>
      <c r="B308" s="41"/>
      <c r="C308" s="42"/>
      <c r="D308" s="31"/>
      <c r="E308" s="31"/>
    </row>
    <row r="309">
      <c r="A309" s="41"/>
      <c r="B309" s="41"/>
      <c r="C309" s="42"/>
      <c r="D309" s="31"/>
      <c r="E309" s="31"/>
    </row>
    <row r="310">
      <c r="A310" s="41"/>
      <c r="B310" s="41"/>
      <c r="C310" s="42"/>
      <c r="D310" s="31"/>
      <c r="E310" s="31"/>
    </row>
    <row r="311">
      <c r="A311" s="41"/>
      <c r="B311" s="41"/>
      <c r="C311" s="42"/>
      <c r="D311" s="31"/>
      <c r="E311" s="31"/>
    </row>
    <row r="312">
      <c r="A312" s="41"/>
      <c r="B312" s="41"/>
      <c r="C312" s="42"/>
      <c r="D312" s="31"/>
      <c r="E312" s="31"/>
    </row>
    <row r="313">
      <c r="A313" s="41"/>
      <c r="B313" s="41"/>
      <c r="C313" s="42"/>
      <c r="D313" s="31"/>
      <c r="E313" s="31"/>
    </row>
    <row r="314">
      <c r="A314" s="41"/>
      <c r="B314" s="41"/>
      <c r="C314" s="42"/>
      <c r="D314" s="31"/>
      <c r="E314" s="31"/>
    </row>
    <row r="315">
      <c r="A315" s="41"/>
      <c r="B315" s="41"/>
      <c r="C315" s="42"/>
      <c r="D315" s="31"/>
      <c r="E315" s="31"/>
    </row>
    <row r="316">
      <c r="A316" s="41"/>
      <c r="B316" s="41"/>
      <c r="C316" s="42"/>
      <c r="D316" s="31"/>
      <c r="E316" s="31"/>
    </row>
    <row r="317">
      <c r="A317" s="41"/>
      <c r="B317" s="41"/>
      <c r="C317" s="42"/>
      <c r="D317" s="31"/>
      <c r="E317" s="31"/>
    </row>
    <row r="318">
      <c r="A318" s="41"/>
      <c r="B318" s="41"/>
      <c r="C318" s="42"/>
      <c r="D318" s="31"/>
      <c r="E318" s="31"/>
    </row>
    <row r="319">
      <c r="A319" s="41"/>
      <c r="B319" s="41"/>
      <c r="C319" s="42"/>
      <c r="D319" s="31"/>
      <c r="E319" s="31"/>
    </row>
    <row r="320">
      <c r="A320" s="41"/>
      <c r="B320" s="41"/>
      <c r="C320" s="42"/>
      <c r="D320" s="31"/>
      <c r="E320" s="31"/>
    </row>
    <row r="321">
      <c r="A321" s="41"/>
      <c r="B321" s="41"/>
      <c r="C321" s="42"/>
      <c r="D321" s="31"/>
      <c r="E321" s="31"/>
    </row>
    <row r="322">
      <c r="A322" s="41"/>
      <c r="B322" s="41"/>
      <c r="C322" s="42"/>
      <c r="D322" s="31"/>
      <c r="E322" s="31"/>
    </row>
    <row r="323">
      <c r="A323" s="41"/>
      <c r="B323" s="41"/>
      <c r="C323" s="42"/>
      <c r="D323" s="31"/>
      <c r="E323" s="31"/>
    </row>
    <row r="324">
      <c r="A324" s="41"/>
      <c r="B324" s="41"/>
      <c r="C324" s="42"/>
      <c r="D324" s="31"/>
      <c r="E324" s="31"/>
    </row>
    <row r="325">
      <c r="A325" s="41"/>
      <c r="B325" s="41"/>
      <c r="C325" s="42"/>
      <c r="D325" s="31"/>
      <c r="E325" s="31"/>
    </row>
    <row r="326">
      <c r="A326" s="41"/>
      <c r="B326" s="41"/>
      <c r="C326" s="42"/>
      <c r="D326" s="31"/>
      <c r="E326" s="31"/>
    </row>
    <row r="327">
      <c r="A327" s="41"/>
      <c r="B327" s="41"/>
      <c r="C327" s="42"/>
      <c r="D327" s="31"/>
      <c r="E327" s="31"/>
    </row>
    <row r="328">
      <c r="A328" s="41"/>
      <c r="B328" s="41"/>
      <c r="C328" s="42"/>
      <c r="D328" s="31"/>
      <c r="E328" s="31"/>
    </row>
    <row r="329">
      <c r="A329" s="41"/>
      <c r="B329" s="41"/>
      <c r="C329" s="42"/>
      <c r="D329" s="31"/>
      <c r="E329" s="31"/>
    </row>
    <row r="330">
      <c r="A330" s="41"/>
      <c r="B330" s="41"/>
      <c r="C330" s="42"/>
      <c r="D330" s="31"/>
      <c r="E330" s="31"/>
    </row>
    <row r="331">
      <c r="A331" s="41"/>
      <c r="B331" s="41"/>
      <c r="C331" s="42"/>
      <c r="D331" s="31"/>
      <c r="E331" s="31"/>
    </row>
    <row r="332">
      <c r="A332" s="41"/>
      <c r="B332" s="41"/>
      <c r="C332" s="42"/>
      <c r="D332" s="31"/>
      <c r="E332" s="31"/>
    </row>
    <row r="333">
      <c r="A333" s="41"/>
      <c r="B333" s="41"/>
      <c r="C333" s="42"/>
      <c r="D333" s="31"/>
      <c r="E333" s="31"/>
    </row>
    <row r="334">
      <c r="A334" s="41"/>
      <c r="B334" s="41"/>
      <c r="C334" s="42"/>
      <c r="D334" s="31"/>
      <c r="E334" s="31"/>
    </row>
    <row r="335">
      <c r="A335" s="41"/>
      <c r="B335" s="41"/>
      <c r="C335" s="42"/>
      <c r="D335" s="31"/>
      <c r="E335" s="31"/>
    </row>
    <row r="336">
      <c r="A336" s="41"/>
      <c r="B336" s="41"/>
      <c r="C336" s="42"/>
      <c r="D336" s="31"/>
      <c r="E336" s="31"/>
    </row>
    <row r="337">
      <c r="A337" s="41"/>
      <c r="B337" s="41"/>
      <c r="C337" s="42"/>
      <c r="D337" s="31"/>
      <c r="E337" s="31"/>
    </row>
    <row r="338">
      <c r="A338" s="41"/>
      <c r="B338" s="41"/>
      <c r="C338" s="42"/>
      <c r="D338" s="31"/>
      <c r="E338" s="31"/>
    </row>
    <row r="339">
      <c r="A339" s="41"/>
      <c r="B339" s="41"/>
      <c r="C339" s="42"/>
      <c r="D339" s="31"/>
      <c r="E339" s="31"/>
    </row>
    <row r="340">
      <c r="A340" s="41"/>
      <c r="B340" s="41"/>
      <c r="C340" s="42"/>
      <c r="D340" s="31"/>
      <c r="E340" s="31"/>
    </row>
    <row r="341">
      <c r="A341" s="41"/>
      <c r="B341" s="41"/>
      <c r="C341" s="42"/>
      <c r="D341" s="31"/>
      <c r="E341" s="31"/>
    </row>
    <row r="342">
      <c r="A342" s="41"/>
      <c r="B342" s="41"/>
      <c r="C342" s="42"/>
      <c r="D342" s="31"/>
      <c r="E342" s="31"/>
    </row>
    <row r="343">
      <c r="A343" s="41"/>
      <c r="B343" s="41"/>
      <c r="C343" s="42"/>
      <c r="D343" s="31"/>
      <c r="E343" s="31"/>
    </row>
    <row r="344">
      <c r="A344" s="41"/>
      <c r="B344" s="41"/>
      <c r="C344" s="42"/>
      <c r="D344" s="31"/>
      <c r="E344" s="31"/>
    </row>
    <row r="345">
      <c r="A345" s="41"/>
      <c r="B345" s="41"/>
      <c r="C345" s="42"/>
      <c r="D345" s="31"/>
      <c r="E345" s="31"/>
    </row>
    <row r="346">
      <c r="A346" s="41"/>
      <c r="B346" s="41"/>
      <c r="C346" s="42"/>
      <c r="D346" s="31"/>
      <c r="E346" s="31"/>
    </row>
    <row r="347">
      <c r="A347" s="41"/>
      <c r="B347" s="41"/>
      <c r="C347" s="42"/>
      <c r="D347" s="31"/>
      <c r="E347" s="31"/>
    </row>
    <row r="348">
      <c r="A348" s="41"/>
      <c r="B348" s="41"/>
      <c r="C348" s="42"/>
      <c r="D348" s="31"/>
      <c r="E348" s="31"/>
    </row>
    <row r="349">
      <c r="A349" s="41"/>
      <c r="B349" s="41"/>
      <c r="C349" s="42"/>
      <c r="D349" s="31"/>
      <c r="E349" s="31"/>
    </row>
    <row r="350">
      <c r="A350" s="41"/>
      <c r="B350" s="41"/>
      <c r="C350" s="42"/>
      <c r="D350" s="31"/>
      <c r="E350" s="31"/>
    </row>
    <row r="351">
      <c r="A351" s="41"/>
      <c r="B351" s="41"/>
      <c r="C351" s="42"/>
      <c r="D351" s="31"/>
      <c r="E351" s="31"/>
    </row>
    <row r="352">
      <c r="A352" s="41"/>
      <c r="B352" s="41"/>
      <c r="C352" s="42"/>
      <c r="D352" s="31"/>
      <c r="E352" s="31"/>
    </row>
    <row r="353">
      <c r="A353" s="41"/>
      <c r="B353" s="41"/>
      <c r="C353" s="42"/>
      <c r="D353" s="31"/>
      <c r="E353" s="31"/>
    </row>
    <row r="354">
      <c r="A354" s="41"/>
      <c r="B354" s="41"/>
      <c r="C354" s="42"/>
      <c r="D354" s="31"/>
      <c r="E354" s="31"/>
    </row>
    <row r="355">
      <c r="A355" s="41"/>
      <c r="B355" s="41"/>
      <c r="C355" s="42"/>
      <c r="D355" s="31"/>
      <c r="E355" s="31"/>
    </row>
    <row r="356">
      <c r="A356" s="41"/>
      <c r="B356" s="41"/>
      <c r="C356" s="42"/>
      <c r="D356" s="31"/>
      <c r="E356" s="31"/>
    </row>
    <row r="357">
      <c r="A357" s="41"/>
      <c r="B357" s="41"/>
      <c r="C357" s="42"/>
      <c r="D357" s="31"/>
      <c r="E357" s="31"/>
    </row>
    <row r="358">
      <c r="A358" s="41"/>
      <c r="B358" s="41"/>
      <c r="C358" s="42"/>
      <c r="D358" s="31"/>
      <c r="E358" s="31"/>
    </row>
    <row r="359">
      <c r="A359" s="41"/>
      <c r="B359" s="41"/>
      <c r="C359" s="42"/>
      <c r="D359" s="31"/>
      <c r="E359" s="31"/>
    </row>
    <row r="360">
      <c r="A360" s="41"/>
      <c r="B360" s="41"/>
      <c r="C360" s="42"/>
      <c r="D360" s="31"/>
      <c r="E360" s="31"/>
    </row>
    <row r="361">
      <c r="A361" s="41"/>
      <c r="B361" s="41"/>
      <c r="C361" s="42"/>
      <c r="D361" s="31"/>
      <c r="E361" s="31"/>
    </row>
    <row r="362">
      <c r="A362" s="41"/>
      <c r="B362" s="41"/>
      <c r="C362" s="42"/>
      <c r="D362" s="31"/>
      <c r="E362" s="31"/>
    </row>
    <row r="363">
      <c r="A363" s="41"/>
      <c r="B363" s="41"/>
      <c r="C363" s="42"/>
      <c r="D363" s="31"/>
      <c r="E363" s="31"/>
    </row>
    <row r="364">
      <c r="A364" s="41"/>
      <c r="B364" s="41"/>
      <c r="C364" s="42"/>
      <c r="D364" s="31"/>
      <c r="E364" s="31"/>
    </row>
    <row r="365">
      <c r="A365" s="41"/>
      <c r="B365" s="41"/>
      <c r="C365" s="42"/>
      <c r="D365" s="31"/>
      <c r="E365" s="31"/>
    </row>
    <row r="366">
      <c r="A366" s="41"/>
      <c r="B366" s="41"/>
      <c r="C366" s="42"/>
      <c r="D366" s="31"/>
      <c r="E366" s="31"/>
    </row>
    <row r="367">
      <c r="A367" s="41"/>
      <c r="B367" s="41"/>
      <c r="C367" s="42"/>
      <c r="D367" s="31"/>
      <c r="E367" s="31"/>
    </row>
    <row r="368">
      <c r="A368" s="41"/>
      <c r="B368" s="41"/>
      <c r="C368" s="42"/>
      <c r="D368" s="31"/>
      <c r="E368" s="31"/>
    </row>
    <row r="369">
      <c r="A369" s="41"/>
      <c r="B369" s="41"/>
      <c r="C369" s="42"/>
      <c r="D369" s="31"/>
      <c r="E369" s="31"/>
    </row>
    <row r="370">
      <c r="A370" s="41"/>
      <c r="B370" s="41"/>
      <c r="C370" s="42"/>
      <c r="D370" s="31"/>
      <c r="E370" s="31"/>
    </row>
    <row r="371">
      <c r="A371" s="41"/>
      <c r="B371" s="41"/>
      <c r="C371" s="42"/>
      <c r="D371" s="31"/>
      <c r="E371" s="31"/>
    </row>
    <row r="372">
      <c r="A372" s="41"/>
      <c r="B372" s="41"/>
      <c r="C372" s="42"/>
      <c r="D372" s="31"/>
      <c r="E372" s="31"/>
    </row>
    <row r="373">
      <c r="A373" s="41"/>
      <c r="B373" s="41"/>
      <c r="C373" s="42"/>
      <c r="D373" s="31"/>
      <c r="E373" s="31"/>
    </row>
    <row r="374">
      <c r="A374" s="41"/>
      <c r="B374" s="41"/>
      <c r="C374" s="42"/>
      <c r="D374" s="31"/>
      <c r="E374" s="31"/>
    </row>
    <row r="375">
      <c r="A375" s="41"/>
      <c r="B375" s="41"/>
      <c r="C375" s="42"/>
      <c r="D375" s="31"/>
      <c r="E375" s="31"/>
    </row>
    <row r="376">
      <c r="A376" s="41"/>
      <c r="B376" s="41"/>
      <c r="C376" s="42"/>
      <c r="D376" s="31"/>
      <c r="E376" s="31"/>
    </row>
    <row r="377">
      <c r="A377" s="41"/>
      <c r="B377" s="41"/>
      <c r="C377" s="42"/>
      <c r="D377" s="31"/>
      <c r="E377" s="31"/>
    </row>
    <row r="378">
      <c r="A378" s="41"/>
      <c r="B378" s="41"/>
      <c r="C378" s="42"/>
      <c r="D378" s="31"/>
      <c r="E378" s="31"/>
    </row>
    <row r="379">
      <c r="A379" s="41"/>
      <c r="B379" s="41"/>
      <c r="C379" s="42"/>
      <c r="D379" s="31"/>
      <c r="E379" s="31"/>
    </row>
    <row r="380">
      <c r="A380" s="41"/>
      <c r="B380" s="41"/>
      <c r="C380" s="42"/>
      <c r="D380" s="31"/>
      <c r="E380" s="31"/>
    </row>
    <row r="381">
      <c r="A381" s="41"/>
      <c r="B381" s="41"/>
      <c r="C381" s="42"/>
      <c r="D381" s="31"/>
      <c r="E381" s="31"/>
    </row>
    <row r="382">
      <c r="A382" s="41"/>
      <c r="B382" s="41"/>
      <c r="C382" s="42"/>
      <c r="D382" s="31"/>
      <c r="E382" s="31"/>
    </row>
    <row r="383">
      <c r="A383" s="41"/>
      <c r="B383" s="41"/>
      <c r="C383" s="42"/>
      <c r="D383" s="31"/>
      <c r="E383" s="31"/>
    </row>
    <row r="384">
      <c r="A384" s="41"/>
      <c r="B384" s="41"/>
      <c r="C384" s="42"/>
      <c r="D384" s="31"/>
      <c r="E384" s="31"/>
    </row>
    <row r="385">
      <c r="A385" s="41"/>
      <c r="B385" s="41"/>
      <c r="C385" s="42"/>
      <c r="D385" s="31"/>
      <c r="E385" s="31"/>
    </row>
    <row r="386">
      <c r="A386" s="41"/>
      <c r="B386" s="41"/>
      <c r="C386" s="42"/>
      <c r="D386" s="31"/>
      <c r="E386" s="31"/>
    </row>
    <row r="387">
      <c r="A387" s="41"/>
      <c r="B387" s="41"/>
      <c r="C387" s="42"/>
      <c r="D387" s="31"/>
      <c r="E387" s="31"/>
    </row>
    <row r="388">
      <c r="A388" s="41"/>
      <c r="B388" s="41"/>
      <c r="C388" s="42"/>
      <c r="D388" s="31"/>
      <c r="E388" s="31"/>
    </row>
    <row r="389">
      <c r="A389" s="41"/>
      <c r="B389" s="41"/>
      <c r="C389" s="42"/>
      <c r="D389" s="31"/>
      <c r="E389" s="31"/>
    </row>
    <row r="390">
      <c r="A390" s="41"/>
      <c r="B390" s="41"/>
      <c r="C390" s="42"/>
      <c r="D390" s="31"/>
      <c r="E390" s="31"/>
    </row>
    <row r="391">
      <c r="A391" s="41"/>
      <c r="B391" s="41"/>
      <c r="C391" s="42"/>
      <c r="D391" s="31"/>
      <c r="E391" s="31"/>
    </row>
    <row r="392">
      <c r="A392" s="41"/>
      <c r="B392" s="41"/>
      <c r="C392" s="42"/>
      <c r="D392" s="31"/>
      <c r="E392" s="31"/>
    </row>
    <row r="393">
      <c r="A393" s="41"/>
      <c r="B393" s="41"/>
      <c r="C393" s="42"/>
      <c r="D393" s="31"/>
      <c r="E393" s="31"/>
    </row>
    <row r="394">
      <c r="A394" s="41"/>
      <c r="B394" s="41"/>
      <c r="C394" s="42"/>
      <c r="D394" s="31"/>
      <c r="E394" s="31"/>
    </row>
    <row r="395">
      <c r="A395" s="41"/>
      <c r="B395" s="41"/>
      <c r="C395" s="42"/>
      <c r="D395" s="31"/>
      <c r="E395" s="31"/>
    </row>
    <row r="396">
      <c r="A396" s="41"/>
      <c r="B396" s="41"/>
      <c r="C396" s="42"/>
      <c r="D396" s="31"/>
      <c r="E396" s="31"/>
    </row>
    <row r="397">
      <c r="A397" s="41"/>
      <c r="B397" s="41"/>
      <c r="C397" s="42"/>
      <c r="D397" s="31"/>
      <c r="E397" s="31"/>
    </row>
    <row r="398">
      <c r="A398" s="41"/>
      <c r="B398" s="41"/>
      <c r="C398" s="42"/>
      <c r="D398" s="31"/>
      <c r="E398" s="31"/>
    </row>
    <row r="399">
      <c r="A399" s="41"/>
      <c r="B399" s="41"/>
      <c r="C399" s="42"/>
      <c r="D399" s="31"/>
      <c r="E399" s="31"/>
    </row>
    <row r="400">
      <c r="A400" s="41"/>
      <c r="B400" s="41"/>
      <c r="C400" s="42"/>
      <c r="D400" s="31"/>
      <c r="E400" s="31"/>
    </row>
    <row r="401">
      <c r="A401" s="41"/>
      <c r="B401" s="41"/>
      <c r="C401" s="42"/>
      <c r="D401" s="31"/>
      <c r="E401" s="31"/>
    </row>
    <row r="402">
      <c r="A402" s="41"/>
      <c r="B402" s="41"/>
      <c r="C402" s="42"/>
      <c r="D402" s="31"/>
      <c r="E402" s="31"/>
    </row>
    <row r="403">
      <c r="A403" s="41"/>
      <c r="B403" s="41"/>
      <c r="C403" s="42"/>
      <c r="D403" s="31"/>
      <c r="E403" s="31"/>
    </row>
    <row r="404">
      <c r="A404" s="41"/>
      <c r="B404" s="41"/>
      <c r="C404" s="42"/>
      <c r="D404" s="31"/>
      <c r="E404" s="31"/>
    </row>
    <row r="405">
      <c r="A405" s="41"/>
      <c r="B405" s="41"/>
      <c r="C405" s="42"/>
      <c r="D405" s="31"/>
      <c r="E405" s="31"/>
    </row>
    <row r="406">
      <c r="A406" s="41"/>
      <c r="B406" s="41"/>
      <c r="C406" s="42"/>
      <c r="D406" s="31"/>
      <c r="E406" s="31"/>
    </row>
    <row r="407">
      <c r="A407" s="41"/>
      <c r="B407" s="41"/>
      <c r="C407" s="42"/>
      <c r="D407" s="31"/>
      <c r="E407" s="31"/>
    </row>
    <row r="408">
      <c r="A408" s="41"/>
      <c r="B408" s="41"/>
      <c r="C408" s="42"/>
      <c r="D408" s="31"/>
      <c r="E408" s="31"/>
    </row>
    <row r="409">
      <c r="A409" s="41"/>
      <c r="B409" s="41"/>
      <c r="C409" s="42"/>
      <c r="D409" s="31"/>
      <c r="E409" s="31"/>
    </row>
    <row r="410">
      <c r="A410" s="41"/>
      <c r="B410" s="41"/>
      <c r="C410" s="42"/>
      <c r="D410" s="31"/>
      <c r="E410" s="31"/>
    </row>
    <row r="411">
      <c r="A411" s="41"/>
      <c r="B411" s="41"/>
      <c r="C411" s="42"/>
      <c r="D411" s="31"/>
      <c r="E411" s="31"/>
    </row>
    <row r="412">
      <c r="A412" s="41"/>
      <c r="B412" s="41"/>
      <c r="C412" s="42"/>
      <c r="D412" s="31"/>
      <c r="E412" s="31"/>
    </row>
    <row r="413">
      <c r="A413" s="41"/>
      <c r="B413" s="41"/>
      <c r="C413" s="42"/>
      <c r="D413" s="31"/>
      <c r="E413" s="31"/>
    </row>
    <row r="414">
      <c r="A414" s="41"/>
      <c r="B414" s="41"/>
      <c r="C414" s="42"/>
      <c r="D414" s="31"/>
      <c r="E414" s="31"/>
    </row>
    <row r="415">
      <c r="A415" s="41"/>
      <c r="B415" s="41"/>
      <c r="C415" s="42"/>
      <c r="D415" s="31"/>
      <c r="E415" s="31"/>
    </row>
    <row r="416">
      <c r="A416" s="41"/>
      <c r="B416" s="41"/>
      <c r="C416" s="42"/>
      <c r="D416" s="31"/>
      <c r="E416" s="31"/>
    </row>
    <row r="417">
      <c r="A417" s="41"/>
      <c r="B417" s="41"/>
      <c r="C417" s="42"/>
      <c r="D417" s="31"/>
      <c r="E417" s="31"/>
    </row>
    <row r="418">
      <c r="A418" s="41"/>
      <c r="B418" s="41"/>
      <c r="C418" s="42"/>
      <c r="D418" s="31"/>
      <c r="E418" s="31"/>
    </row>
    <row r="419">
      <c r="A419" s="41"/>
      <c r="B419" s="41"/>
      <c r="C419" s="42"/>
      <c r="D419" s="31"/>
      <c r="E419" s="31"/>
    </row>
    <row r="420">
      <c r="A420" s="41"/>
      <c r="B420" s="41"/>
      <c r="C420" s="42"/>
      <c r="D420" s="31"/>
      <c r="E420" s="31"/>
    </row>
    <row r="421">
      <c r="A421" s="41"/>
      <c r="B421" s="41"/>
      <c r="C421" s="42"/>
      <c r="D421" s="31"/>
      <c r="E421" s="31"/>
    </row>
    <row r="422">
      <c r="A422" s="41"/>
      <c r="B422" s="41"/>
      <c r="C422" s="42"/>
      <c r="D422" s="31"/>
      <c r="E422" s="31"/>
    </row>
    <row r="423">
      <c r="A423" s="41"/>
      <c r="B423" s="41"/>
      <c r="C423" s="42"/>
      <c r="D423" s="31"/>
      <c r="E423" s="31"/>
    </row>
    <row r="424">
      <c r="A424" s="41"/>
      <c r="B424" s="41"/>
      <c r="C424" s="42"/>
      <c r="D424" s="31"/>
      <c r="E424" s="31"/>
    </row>
    <row r="425">
      <c r="A425" s="41"/>
      <c r="B425" s="41"/>
      <c r="C425" s="42"/>
      <c r="D425" s="31"/>
      <c r="E425" s="31"/>
    </row>
    <row r="426">
      <c r="A426" s="41"/>
      <c r="B426" s="41"/>
      <c r="C426" s="42"/>
      <c r="D426" s="31"/>
      <c r="E426" s="31"/>
    </row>
    <row r="427">
      <c r="A427" s="41"/>
      <c r="B427" s="41"/>
      <c r="C427" s="42"/>
      <c r="D427" s="31"/>
      <c r="E427" s="31"/>
    </row>
    <row r="428">
      <c r="A428" s="41"/>
      <c r="B428" s="41"/>
      <c r="C428" s="42"/>
      <c r="D428" s="31"/>
      <c r="E428" s="31"/>
    </row>
    <row r="429">
      <c r="A429" s="41"/>
      <c r="B429" s="41"/>
      <c r="C429" s="42"/>
      <c r="D429" s="31"/>
      <c r="E429" s="31"/>
    </row>
    <row r="430">
      <c r="A430" s="41"/>
      <c r="B430" s="41"/>
      <c r="C430" s="42"/>
      <c r="D430" s="31"/>
      <c r="E430" s="31"/>
    </row>
    <row r="431">
      <c r="A431" s="41"/>
      <c r="B431" s="41"/>
      <c r="C431" s="42"/>
      <c r="D431" s="31"/>
      <c r="E431" s="31"/>
    </row>
    <row r="432">
      <c r="A432" s="41"/>
      <c r="B432" s="41"/>
      <c r="C432" s="42"/>
      <c r="D432" s="31"/>
      <c r="E432" s="31"/>
    </row>
    <row r="433">
      <c r="A433" s="41"/>
      <c r="B433" s="41"/>
      <c r="C433" s="42"/>
      <c r="D433" s="31"/>
      <c r="E433" s="31"/>
    </row>
    <row r="434">
      <c r="A434" s="41"/>
      <c r="B434" s="41"/>
      <c r="C434" s="42"/>
      <c r="D434" s="31"/>
      <c r="E434" s="31"/>
    </row>
    <row r="435">
      <c r="A435" s="41"/>
      <c r="B435" s="41"/>
      <c r="C435" s="42"/>
      <c r="D435" s="31"/>
      <c r="E435" s="31"/>
    </row>
    <row r="436">
      <c r="A436" s="41"/>
      <c r="B436" s="41"/>
      <c r="C436" s="42"/>
      <c r="D436" s="31"/>
      <c r="E436" s="31"/>
    </row>
    <row r="437">
      <c r="A437" s="41"/>
      <c r="B437" s="41"/>
      <c r="C437" s="42"/>
      <c r="D437" s="31"/>
      <c r="E437" s="31"/>
    </row>
    <row r="438">
      <c r="A438" s="41"/>
      <c r="B438" s="41"/>
      <c r="C438" s="42"/>
      <c r="D438" s="31"/>
      <c r="E438" s="31"/>
    </row>
    <row r="439">
      <c r="A439" s="41"/>
      <c r="B439" s="41"/>
      <c r="C439" s="42"/>
      <c r="D439" s="31"/>
      <c r="E439" s="31"/>
    </row>
    <row r="440">
      <c r="A440" s="41"/>
      <c r="B440" s="41"/>
      <c r="C440" s="42"/>
      <c r="D440" s="31"/>
      <c r="E440" s="31"/>
    </row>
    <row r="441">
      <c r="A441" s="41"/>
      <c r="B441" s="41"/>
      <c r="C441" s="42"/>
      <c r="D441" s="31"/>
      <c r="E441" s="31"/>
    </row>
    <row r="442">
      <c r="A442" s="41"/>
      <c r="B442" s="41"/>
      <c r="C442" s="42"/>
      <c r="D442" s="31"/>
      <c r="E442" s="31"/>
    </row>
    <row r="443">
      <c r="A443" s="41"/>
      <c r="B443" s="41"/>
      <c r="C443" s="42"/>
      <c r="D443" s="31"/>
      <c r="E443" s="31"/>
    </row>
    <row r="444">
      <c r="A444" s="41"/>
      <c r="B444" s="41"/>
      <c r="C444" s="42"/>
      <c r="D444" s="31"/>
      <c r="E444" s="31"/>
    </row>
    <row r="445">
      <c r="A445" s="41"/>
      <c r="B445" s="41"/>
      <c r="C445" s="42"/>
      <c r="D445" s="31"/>
      <c r="E445" s="31"/>
    </row>
    <row r="446">
      <c r="A446" s="41"/>
      <c r="B446" s="41"/>
      <c r="C446" s="42"/>
      <c r="D446" s="31"/>
      <c r="E446" s="31"/>
    </row>
    <row r="447">
      <c r="A447" s="41"/>
      <c r="B447" s="41"/>
      <c r="C447" s="42"/>
      <c r="D447" s="31"/>
      <c r="E447" s="31"/>
    </row>
    <row r="448">
      <c r="A448" s="41"/>
      <c r="B448" s="41"/>
      <c r="C448" s="42"/>
      <c r="D448" s="31"/>
      <c r="E448" s="31"/>
    </row>
    <row r="449">
      <c r="A449" s="41"/>
      <c r="B449" s="41"/>
      <c r="C449" s="42"/>
      <c r="D449" s="31"/>
      <c r="E449" s="31"/>
    </row>
    <row r="450">
      <c r="A450" s="41"/>
      <c r="B450" s="41"/>
      <c r="C450" s="42"/>
      <c r="D450" s="31"/>
      <c r="E450" s="31"/>
    </row>
    <row r="451">
      <c r="A451" s="41"/>
      <c r="B451" s="41"/>
      <c r="C451" s="42"/>
      <c r="D451" s="31"/>
      <c r="E451" s="31"/>
    </row>
    <row r="452">
      <c r="A452" s="41"/>
      <c r="B452" s="41"/>
      <c r="C452" s="42"/>
      <c r="D452" s="31"/>
      <c r="E452" s="31"/>
    </row>
    <row r="453">
      <c r="A453" s="41"/>
      <c r="B453" s="41"/>
      <c r="C453" s="42"/>
      <c r="D453" s="31"/>
      <c r="E453" s="31"/>
    </row>
    <row r="454">
      <c r="A454" s="41"/>
      <c r="B454" s="41"/>
      <c r="C454" s="42"/>
      <c r="D454" s="31"/>
      <c r="E454" s="31"/>
    </row>
    <row r="455">
      <c r="A455" s="41"/>
      <c r="B455" s="41"/>
      <c r="C455" s="42"/>
      <c r="D455" s="31"/>
      <c r="E455" s="31"/>
    </row>
    <row r="456">
      <c r="A456" s="41"/>
      <c r="B456" s="41"/>
      <c r="C456" s="42"/>
      <c r="D456" s="31"/>
      <c r="E456" s="31"/>
    </row>
    <row r="457">
      <c r="A457" s="41"/>
      <c r="B457" s="41"/>
      <c r="C457" s="42"/>
      <c r="D457" s="31"/>
      <c r="E457" s="31"/>
    </row>
    <row r="458">
      <c r="A458" s="41"/>
      <c r="B458" s="41"/>
      <c r="C458" s="42"/>
      <c r="D458" s="31"/>
      <c r="E458" s="31"/>
    </row>
    <row r="459">
      <c r="A459" s="41"/>
      <c r="B459" s="41"/>
      <c r="C459" s="42"/>
      <c r="D459" s="31"/>
      <c r="E459" s="31"/>
    </row>
    <row r="460">
      <c r="A460" s="41"/>
      <c r="B460" s="41"/>
      <c r="C460" s="42"/>
      <c r="D460" s="31"/>
      <c r="E460" s="31"/>
    </row>
    <row r="461">
      <c r="A461" s="41"/>
      <c r="B461" s="41"/>
      <c r="C461" s="42"/>
      <c r="D461" s="31"/>
      <c r="E461" s="31"/>
    </row>
    <row r="462">
      <c r="A462" s="41"/>
      <c r="B462" s="41"/>
      <c r="C462" s="42"/>
      <c r="D462" s="31"/>
      <c r="E462" s="31"/>
    </row>
    <row r="463">
      <c r="A463" s="41"/>
      <c r="B463" s="41"/>
      <c r="C463" s="42"/>
      <c r="D463" s="31"/>
      <c r="E463" s="31"/>
    </row>
    <row r="464">
      <c r="A464" s="41"/>
      <c r="B464" s="41"/>
      <c r="C464" s="42"/>
      <c r="D464" s="31"/>
      <c r="E464" s="31"/>
    </row>
    <row r="465">
      <c r="A465" s="41"/>
      <c r="B465" s="41"/>
      <c r="C465" s="42"/>
      <c r="D465" s="31"/>
      <c r="E465" s="31"/>
    </row>
    <row r="466">
      <c r="A466" s="41"/>
      <c r="B466" s="41"/>
      <c r="C466" s="42"/>
      <c r="D466" s="31"/>
      <c r="E466" s="31"/>
    </row>
    <row r="467">
      <c r="A467" s="41"/>
      <c r="B467" s="41"/>
      <c r="C467" s="42"/>
      <c r="D467" s="31"/>
      <c r="E467" s="31"/>
    </row>
    <row r="468">
      <c r="A468" s="41"/>
      <c r="B468" s="41"/>
      <c r="C468" s="42"/>
      <c r="D468" s="31"/>
      <c r="E468" s="31"/>
    </row>
    <row r="469">
      <c r="A469" s="41"/>
      <c r="B469" s="41"/>
      <c r="C469" s="42"/>
      <c r="D469" s="31"/>
      <c r="E469" s="31"/>
    </row>
    <row r="470">
      <c r="A470" s="41"/>
      <c r="B470" s="41"/>
      <c r="C470" s="42"/>
      <c r="D470" s="31"/>
      <c r="E470" s="31"/>
    </row>
    <row r="471">
      <c r="A471" s="41"/>
      <c r="B471" s="41"/>
      <c r="C471" s="42"/>
      <c r="D471" s="31"/>
      <c r="E471" s="31"/>
    </row>
    <row r="472">
      <c r="A472" s="41"/>
      <c r="B472" s="41"/>
      <c r="C472" s="42"/>
      <c r="D472" s="31"/>
      <c r="E472" s="31"/>
    </row>
    <row r="473">
      <c r="A473" s="41"/>
      <c r="B473" s="41"/>
      <c r="C473" s="42"/>
      <c r="D473" s="31"/>
      <c r="E473" s="31"/>
    </row>
    <row r="474">
      <c r="A474" s="41"/>
      <c r="B474" s="41"/>
      <c r="C474" s="42"/>
      <c r="D474" s="31"/>
      <c r="E474" s="31"/>
    </row>
    <row r="475">
      <c r="A475" s="41"/>
      <c r="B475" s="41"/>
      <c r="C475" s="42"/>
      <c r="D475" s="31"/>
      <c r="E475" s="31"/>
    </row>
    <row r="476">
      <c r="A476" s="41"/>
      <c r="B476" s="41"/>
      <c r="C476" s="42"/>
      <c r="D476" s="31"/>
      <c r="E476" s="31"/>
    </row>
    <row r="477">
      <c r="A477" s="41"/>
      <c r="B477" s="41"/>
      <c r="C477" s="42"/>
      <c r="D477" s="31"/>
      <c r="E477" s="31"/>
    </row>
    <row r="478">
      <c r="A478" s="41"/>
      <c r="B478" s="41"/>
      <c r="C478" s="42"/>
      <c r="D478" s="31"/>
      <c r="E478" s="31"/>
    </row>
    <row r="479">
      <c r="A479" s="41"/>
      <c r="B479" s="41"/>
      <c r="C479" s="42"/>
      <c r="D479" s="31"/>
      <c r="E479" s="31"/>
    </row>
    <row r="480">
      <c r="A480" s="41"/>
      <c r="B480" s="41"/>
      <c r="C480" s="42"/>
      <c r="D480" s="31"/>
      <c r="E480" s="31"/>
    </row>
    <row r="481">
      <c r="A481" s="41"/>
      <c r="B481" s="41"/>
      <c r="C481" s="42"/>
      <c r="D481" s="31"/>
      <c r="E481" s="31"/>
    </row>
    <row r="482">
      <c r="A482" s="41"/>
      <c r="B482" s="41"/>
      <c r="C482" s="42"/>
      <c r="D482" s="31"/>
      <c r="E482" s="31"/>
    </row>
    <row r="483">
      <c r="A483" s="41"/>
      <c r="B483" s="41"/>
      <c r="C483" s="42"/>
      <c r="D483" s="31"/>
      <c r="E483" s="31"/>
    </row>
    <row r="484">
      <c r="A484" s="41"/>
      <c r="B484" s="41"/>
      <c r="C484" s="42"/>
      <c r="D484" s="31"/>
      <c r="E484" s="31"/>
    </row>
    <row r="485">
      <c r="A485" s="41"/>
      <c r="B485" s="41"/>
      <c r="C485" s="42"/>
      <c r="D485" s="31"/>
      <c r="E485" s="31"/>
    </row>
    <row r="486">
      <c r="A486" s="41"/>
      <c r="B486" s="41"/>
      <c r="C486" s="42"/>
      <c r="D486" s="31"/>
      <c r="E486" s="31"/>
    </row>
    <row r="487">
      <c r="A487" s="41"/>
      <c r="B487" s="41"/>
      <c r="C487" s="42"/>
      <c r="D487" s="31"/>
      <c r="E487" s="31"/>
    </row>
    <row r="488">
      <c r="A488" s="41"/>
      <c r="B488" s="41"/>
      <c r="C488" s="42"/>
      <c r="D488" s="31"/>
      <c r="E488" s="31"/>
    </row>
    <row r="489">
      <c r="A489" s="41"/>
      <c r="B489" s="41"/>
      <c r="C489" s="42"/>
      <c r="D489" s="31"/>
      <c r="E489" s="31"/>
    </row>
    <row r="490">
      <c r="A490" s="41"/>
      <c r="B490" s="41"/>
      <c r="C490" s="42"/>
      <c r="D490" s="31"/>
      <c r="E490" s="31"/>
    </row>
    <row r="491">
      <c r="A491" s="41"/>
      <c r="B491" s="41"/>
      <c r="C491" s="42"/>
      <c r="D491" s="31"/>
      <c r="E491" s="31"/>
    </row>
    <row r="492">
      <c r="A492" s="41"/>
      <c r="B492" s="41"/>
      <c r="C492" s="42"/>
      <c r="D492" s="31"/>
      <c r="E492" s="31"/>
    </row>
    <row r="493">
      <c r="A493" s="41"/>
      <c r="B493" s="41"/>
      <c r="C493" s="42"/>
      <c r="D493" s="31"/>
      <c r="E493" s="31"/>
    </row>
    <row r="494">
      <c r="A494" s="41"/>
      <c r="B494" s="41"/>
      <c r="C494" s="42"/>
      <c r="D494" s="31"/>
      <c r="E494" s="31"/>
    </row>
    <row r="495">
      <c r="A495" s="41"/>
      <c r="B495" s="41"/>
      <c r="C495" s="42"/>
      <c r="D495" s="31"/>
      <c r="E495" s="31"/>
    </row>
    <row r="496">
      <c r="A496" s="41"/>
      <c r="B496" s="41"/>
      <c r="C496" s="42"/>
      <c r="D496" s="31"/>
      <c r="E496" s="31"/>
    </row>
    <row r="497">
      <c r="A497" s="41"/>
      <c r="B497" s="41"/>
      <c r="C497" s="42"/>
      <c r="D497" s="31"/>
      <c r="E497" s="31"/>
    </row>
    <row r="498">
      <c r="A498" s="41"/>
      <c r="B498" s="41"/>
      <c r="C498" s="42"/>
      <c r="D498" s="31"/>
      <c r="E498" s="31"/>
    </row>
    <row r="499">
      <c r="A499" s="41"/>
      <c r="B499" s="41"/>
      <c r="C499" s="42"/>
      <c r="D499" s="31"/>
      <c r="E499" s="31"/>
    </row>
    <row r="500">
      <c r="A500" s="41"/>
      <c r="B500" s="41"/>
      <c r="C500" s="42"/>
      <c r="D500" s="31"/>
      <c r="E500" s="31"/>
    </row>
    <row r="501">
      <c r="A501" s="41"/>
      <c r="B501" s="41"/>
      <c r="C501" s="42"/>
      <c r="D501" s="31"/>
      <c r="E501" s="31"/>
    </row>
    <row r="502">
      <c r="A502" s="41"/>
      <c r="B502" s="41"/>
      <c r="C502" s="42"/>
      <c r="D502" s="31"/>
      <c r="E502" s="31"/>
    </row>
    <row r="503">
      <c r="A503" s="41"/>
      <c r="B503" s="41"/>
      <c r="C503" s="42"/>
      <c r="D503" s="31"/>
      <c r="E503" s="31"/>
    </row>
    <row r="504">
      <c r="A504" s="41"/>
      <c r="B504" s="41"/>
      <c r="C504" s="42"/>
      <c r="D504" s="31"/>
      <c r="E504" s="31"/>
    </row>
    <row r="505">
      <c r="A505" s="41"/>
      <c r="B505" s="41"/>
      <c r="C505" s="42"/>
      <c r="D505" s="31"/>
      <c r="E505" s="31"/>
    </row>
    <row r="506">
      <c r="A506" s="41"/>
      <c r="B506" s="41"/>
      <c r="C506" s="42"/>
      <c r="D506" s="31"/>
      <c r="E506" s="31"/>
    </row>
    <row r="507">
      <c r="A507" s="41"/>
      <c r="B507" s="41"/>
      <c r="C507" s="42"/>
      <c r="D507" s="31"/>
      <c r="E507" s="31"/>
    </row>
    <row r="508">
      <c r="A508" s="41"/>
      <c r="B508" s="41"/>
      <c r="C508" s="42"/>
      <c r="D508" s="31"/>
      <c r="E508" s="31"/>
    </row>
    <row r="509">
      <c r="A509" s="41"/>
      <c r="B509" s="41"/>
      <c r="C509" s="42"/>
      <c r="D509" s="31"/>
      <c r="E509" s="31"/>
    </row>
    <row r="510">
      <c r="A510" s="41"/>
      <c r="B510" s="41"/>
      <c r="C510" s="42"/>
      <c r="D510" s="31"/>
      <c r="E510" s="31"/>
    </row>
    <row r="511">
      <c r="A511" s="41"/>
      <c r="B511" s="41"/>
      <c r="C511" s="42"/>
      <c r="D511" s="31"/>
      <c r="E511" s="31"/>
    </row>
    <row r="512">
      <c r="A512" s="41"/>
      <c r="B512" s="41"/>
      <c r="C512" s="42"/>
      <c r="D512" s="31"/>
      <c r="E512" s="31"/>
    </row>
    <row r="513">
      <c r="A513" s="41"/>
      <c r="B513" s="41"/>
      <c r="C513" s="42"/>
      <c r="D513" s="31"/>
      <c r="E513" s="31"/>
    </row>
    <row r="514">
      <c r="A514" s="41"/>
      <c r="B514" s="41"/>
      <c r="C514" s="42"/>
      <c r="D514" s="31"/>
      <c r="E514" s="31"/>
    </row>
    <row r="515">
      <c r="A515" s="41"/>
      <c r="B515" s="41"/>
      <c r="C515" s="42"/>
      <c r="D515" s="31"/>
      <c r="E515" s="31"/>
    </row>
    <row r="516">
      <c r="A516" s="41"/>
      <c r="B516" s="41"/>
      <c r="C516" s="42"/>
      <c r="D516" s="31"/>
      <c r="E516" s="31"/>
    </row>
    <row r="517">
      <c r="A517" s="41"/>
      <c r="B517" s="41"/>
      <c r="C517" s="42"/>
      <c r="D517" s="31"/>
      <c r="E517" s="31"/>
    </row>
    <row r="518">
      <c r="A518" s="41"/>
      <c r="B518" s="41"/>
      <c r="C518" s="42"/>
      <c r="D518" s="31"/>
      <c r="E518" s="31"/>
    </row>
    <row r="519">
      <c r="A519" s="41"/>
      <c r="B519" s="41"/>
      <c r="C519" s="42"/>
      <c r="D519" s="31"/>
      <c r="E519" s="31"/>
    </row>
    <row r="520">
      <c r="A520" s="41"/>
      <c r="B520" s="41"/>
      <c r="C520" s="42"/>
      <c r="D520" s="31"/>
      <c r="E520" s="31"/>
    </row>
    <row r="521">
      <c r="A521" s="41"/>
      <c r="B521" s="41"/>
      <c r="C521" s="42"/>
      <c r="D521" s="31"/>
      <c r="E521" s="31"/>
    </row>
    <row r="522">
      <c r="A522" s="41"/>
      <c r="B522" s="41"/>
      <c r="C522" s="42"/>
      <c r="D522" s="31"/>
      <c r="E522" s="31"/>
    </row>
    <row r="523">
      <c r="A523" s="41"/>
      <c r="B523" s="41"/>
      <c r="C523" s="42"/>
      <c r="D523" s="31"/>
      <c r="E523" s="31"/>
    </row>
    <row r="524">
      <c r="A524" s="41"/>
      <c r="B524" s="41"/>
      <c r="C524" s="42"/>
      <c r="D524" s="31"/>
      <c r="E524" s="31"/>
    </row>
    <row r="525">
      <c r="A525" s="41"/>
      <c r="B525" s="41"/>
      <c r="C525" s="42"/>
      <c r="D525" s="31"/>
      <c r="E525" s="31"/>
    </row>
    <row r="526">
      <c r="A526" s="41"/>
      <c r="B526" s="41"/>
      <c r="C526" s="42"/>
      <c r="D526" s="31"/>
      <c r="E526" s="31"/>
    </row>
    <row r="527">
      <c r="A527" s="41"/>
      <c r="B527" s="41"/>
      <c r="C527" s="42"/>
      <c r="D527" s="31"/>
      <c r="E527" s="31"/>
    </row>
    <row r="528">
      <c r="A528" s="41"/>
      <c r="B528" s="41"/>
      <c r="C528" s="42"/>
      <c r="D528" s="31"/>
      <c r="E528" s="31"/>
    </row>
    <row r="529">
      <c r="A529" s="41"/>
      <c r="B529" s="41"/>
      <c r="C529" s="42"/>
      <c r="D529" s="31"/>
      <c r="E529" s="31"/>
    </row>
    <row r="530">
      <c r="A530" s="41"/>
      <c r="B530" s="41"/>
      <c r="C530" s="42"/>
      <c r="D530" s="31"/>
      <c r="E530" s="31"/>
    </row>
    <row r="531">
      <c r="A531" s="41"/>
      <c r="B531" s="41"/>
      <c r="C531" s="42"/>
      <c r="D531" s="31"/>
      <c r="E531" s="31"/>
    </row>
    <row r="532">
      <c r="A532" s="41"/>
      <c r="B532" s="41"/>
      <c r="C532" s="42"/>
      <c r="D532" s="31"/>
      <c r="E532" s="31"/>
    </row>
    <row r="533">
      <c r="A533" s="41"/>
      <c r="B533" s="41"/>
      <c r="C533" s="42"/>
      <c r="D533" s="31"/>
      <c r="E533" s="31"/>
    </row>
    <row r="534">
      <c r="A534" s="41"/>
      <c r="B534" s="41"/>
      <c r="C534" s="42"/>
      <c r="D534" s="31"/>
      <c r="E534" s="31"/>
    </row>
    <row r="535">
      <c r="A535" s="41"/>
      <c r="B535" s="41"/>
      <c r="C535" s="42"/>
      <c r="D535" s="31"/>
      <c r="E535" s="31"/>
    </row>
    <row r="536">
      <c r="A536" s="41"/>
      <c r="B536" s="41"/>
      <c r="C536" s="42"/>
      <c r="D536" s="31"/>
      <c r="E536" s="31"/>
    </row>
    <row r="537">
      <c r="A537" s="41"/>
      <c r="B537" s="41"/>
      <c r="C537" s="42"/>
      <c r="D537" s="31"/>
      <c r="E537" s="31"/>
    </row>
    <row r="538">
      <c r="A538" s="41"/>
      <c r="B538" s="41"/>
      <c r="C538" s="42"/>
      <c r="D538" s="31"/>
      <c r="E538" s="31"/>
    </row>
    <row r="539">
      <c r="A539" s="41"/>
      <c r="B539" s="41"/>
      <c r="C539" s="42"/>
      <c r="D539" s="31"/>
      <c r="E539" s="31"/>
    </row>
    <row r="540">
      <c r="A540" s="41"/>
      <c r="B540" s="41"/>
      <c r="C540" s="42"/>
      <c r="D540" s="31"/>
      <c r="E540" s="31"/>
    </row>
    <row r="541">
      <c r="A541" s="41"/>
      <c r="B541" s="41"/>
      <c r="C541" s="42"/>
      <c r="D541" s="31"/>
      <c r="E541" s="31"/>
    </row>
    <row r="542">
      <c r="A542" s="41"/>
      <c r="B542" s="41"/>
      <c r="C542" s="42"/>
      <c r="D542" s="31"/>
      <c r="E542" s="31"/>
    </row>
    <row r="543">
      <c r="A543" s="41"/>
      <c r="B543" s="41"/>
      <c r="C543" s="42"/>
      <c r="D543" s="31"/>
      <c r="E543" s="31"/>
    </row>
    <row r="544">
      <c r="A544" s="41"/>
      <c r="B544" s="41"/>
      <c r="C544" s="42"/>
      <c r="D544" s="31"/>
      <c r="E544" s="31"/>
    </row>
    <row r="545">
      <c r="A545" s="41"/>
      <c r="B545" s="41"/>
      <c r="C545" s="42"/>
      <c r="D545" s="31"/>
      <c r="E545" s="31"/>
    </row>
    <row r="546">
      <c r="A546" s="41"/>
      <c r="B546" s="41"/>
      <c r="C546" s="42"/>
      <c r="D546" s="31"/>
      <c r="E546" s="31"/>
    </row>
    <row r="547">
      <c r="A547" s="41"/>
      <c r="B547" s="41"/>
      <c r="C547" s="42"/>
      <c r="D547" s="31"/>
      <c r="E547" s="31"/>
    </row>
    <row r="548">
      <c r="A548" s="41"/>
      <c r="B548" s="41"/>
      <c r="C548" s="42"/>
      <c r="D548" s="31"/>
      <c r="E548" s="31"/>
    </row>
    <row r="549">
      <c r="A549" s="41"/>
      <c r="B549" s="41"/>
      <c r="C549" s="42"/>
      <c r="D549" s="31"/>
      <c r="E549" s="31"/>
    </row>
    <row r="550">
      <c r="A550" s="41"/>
      <c r="B550" s="41"/>
      <c r="C550" s="42"/>
      <c r="D550" s="31"/>
      <c r="E550" s="31"/>
    </row>
    <row r="551">
      <c r="A551" s="41"/>
      <c r="B551" s="41"/>
      <c r="C551" s="42"/>
      <c r="D551" s="31"/>
      <c r="E551" s="31"/>
    </row>
    <row r="552">
      <c r="A552" s="41"/>
      <c r="B552" s="41"/>
      <c r="C552" s="42"/>
      <c r="D552" s="31"/>
      <c r="E552" s="31"/>
    </row>
    <row r="553">
      <c r="A553" s="41"/>
      <c r="B553" s="41"/>
      <c r="C553" s="42"/>
      <c r="D553" s="31"/>
      <c r="E553" s="31"/>
    </row>
    <row r="554">
      <c r="A554" s="41"/>
      <c r="B554" s="41"/>
      <c r="C554" s="42"/>
      <c r="D554" s="31"/>
      <c r="E554" s="31"/>
    </row>
    <row r="555">
      <c r="A555" s="41"/>
      <c r="B555" s="41"/>
      <c r="C555" s="42"/>
      <c r="D555" s="31"/>
      <c r="E555" s="31"/>
    </row>
    <row r="556">
      <c r="A556" s="41"/>
      <c r="B556" s="41"/>
      <c r="C556" s="42"/>
      <c r="D556" s="31"/>
      <c r="E556" s="31"/>
    </row>
    <row r="557">
      <c r="A557" s="41"/>
      <c r="B557" s="41"/>
      <c r="C557" s="42"/>
      <c r="D557" s="31"/>
      <c r="E557" s="31"/>
    </row>
    <row r="558">
      <c r="A558" s="41"/>
      <c r="B558" s="41"/>
      <c r="C558" s="42"/>
      <c r="D558" s="31"/>
      <c r="E558" s="31"/>
    </row>
    <row r="559">
      <c r="A559" s="41"/>
      <c r="B559" s="41"/>
      <c r="C559" s="42"/>
      <c r="D559" s="31"/>
      <c r="E559" s="31"/>
    </row>
    <row r="560">
      <c r="A560" s="41"/>
      <c r="B560" s="41"/>
      <c r="C560" s="42"/>
      <c r="D560" s="31"/>
      <c r="E560" s="31"/>
    </row>
    <row r="561">
      <c r="A561" s="41"/>
      <c r="B561" s="41"/>
      <c r="C561" s="42"/>
      <c r="D561" s="31"/>
      <c r="E561" s="31"/>
    </row>
    <row r="562">
      <c r="A562" s="41"/>
      <c r="B562" s="41"/>
      <c r="C562" s="42"/>
      <c r="D562" s="31"/>
      <c r="E562" s="31"/>
    </row>
    <row r="563">
      <c r="A563" s="41"/>
      <c r="B563" s="41"/>
      <c r="C563" s="42"/>
      <c r="D563" s="31"/>
      <c r="E563" s="31"/>
    </row>
    <row r="564">
      <c r="A564" s="41"/>
      <c r="B564" s="41"/>
      <c r="C564" s="42"/>
      <c r="D564" s="31"/>
      <c r="E564" s="31"/>
    </row>
    <row r="565">
      <c r="A565" s="41"/>
      <c r="B565" s="41"/>
      <c r="C565" s="42"/>
      <c r="D565" s="31"/>
      <c r="E565" s="31"/>
    </row>
    <row r="566">
      <c r="A566" s="41"/>
      <c r="B566" s="41"/>
      <c r="C566" s="42"/>
      <c r="D566" s="31"/>
      <c r="E566" s="31"/>
    </row>
    <row r="567">
      <c r="A567" s="41"/>
      <c r="B567" s="41"/>
      <c r="C567" s="42"/>
      <c r="D567" s="31"/>
      <c r="E567" s="31"/>
    </row>
    <row r="568">
      <c r="A568" s="41"/>
      <c r="B568" s="41"/>
      <c r="C568" s="42"/>
      <c r="D568" s="31"/>
      <c r="E568" s="31"/>
    </row>
    <row r="569">
      <c r="A569" s="41"/>
      <c r="B569" s="41"/>
      <c r="C569" s="42"/>
      <c r="D569" s="31"/>
      <c r="E569" s="31"/>
    </row>
    <row r="570">
      <c r="A570" s="41"/>
      <c r="B570" s="41"/>
      <c r="C570" s="42"/>
      <c r="D570" s="31"/>
      <c r="E570" s="31"/>
    </row>
    <row r="571">
      <c r="A571" s="41"/>
      <c r="B571" s="41"/>
      <c r="C571" s="42"/>
      <c r="D571" s="31"/>
      <c r="E571" s="31"/>
    </row>
    <row r="572">
      <c r="A572" s="41"/>
      <c r="B572" s="41"/>
      <c r="C572" s="42"/>
      <c r="D572" s="31"/>
      <c r="E572" s="31"/>
    </row>
    <row r="573">
      <c r="A573" s="41"/>
      <c r="B573" s="41"/>
      <c r="C573" s="42"/>
      <c r="D573" s="31"/>
      <c r="E573" s="31"/>
    </row>
    <row r="574">
      <c r="A574" s="41"/>
      <c r="B574" s="41"/>
      <c r="C574" s="42"/>
      <c r="D574" s="31"/>
      <c r="E574" s="31"/>
    </row>
    <row r="575">
      <c r="A575" s="41"/>
      <c r="B575" s="41"/>
      <c r="C575" s="42"/>
      <c r="D575" s="31"/>
      <c r="E575" s="31"/>
    </row>
    <row r="576">
      <c r="A576" s="41"/>
      <c r="B576" s="41"/>
      <c r="C576" s="42"/>
      <c r="D576" s="31"/>
      <c r="E576" s="31"/>
    </row>
    <row r="577">
      <c r="A577" s="41"/>
      <c r="B577" s="41"/>
      <c r="C577" s="42"/>
      <c r="D577" s="31"/>
      <c r="E577" s="31"/>
    </row>
    <row r="578">
      <c r="A578" s="41"/>
      <c r="B578" s="41"/>
      <c r="C578" s="42"/>
      <c r="D578" s="31"/>
      <c r="E578" s="31"/>
    </row>
    <row r="579">
      <c r="A579" s="41"/>
      <c r="B579" s="41"/>
      <c r="C579" s="42"/>
      <c r="D579" s="31"/>
      <c r="E579" s="31"/>
    </row>
    <row r="580">
      <c r="A580" s="41"/>
      <c r="B580" s="41"/>
      <c r="C580" s="42"/>
      <c r="D580" s="31"/>
      <c r="E580" s="31"/>
    </row>
    <row r="581">
      <c r="A581" s="41"/>
      <c r="B581" s="41"/>
      <c r="C581" s="42"/>
      <c r="D581" s="31"/>
      <c r="E581" s="31"/>
    </row>
    <row r="582">
      <c r="A582" s="41"/>
      <c r="B582" s="41"/>
      <c r="C582" s="42"/>
      <c r="D582" s="31"/>
      <c r="E582" s="31"/>
    </row>
    <row r="583">
      <c r="A583" s="41"/>
      <c r="B583" s="41"/>
      <c r="C583" s="42"/>
      <c r="D583" s="31"/>
      <c r="E583" s="31"/>
    </row>
    <row r="584">
      <c r="A584" s="41"/>
      <c r="B584" s="41"/>
      <c r="C584" s="42"/>
      <c r="D584" s="31"/>
      <c r="E584" s="31"/>
    </row>
    <row r="585">
      <c r="A585" s="41"/>
      <c r="B585" s="41"/>
      <c r="C585" s="42"/>
      <c r="D585" s="31"/>
      <c r="E585" s="31"/>
    </row>
    <row r="586">
      <c r="A586" s="41"/>
      <c r="B586" s="41"/>
      <c r="C586" s="42"/>
      <c r="D586" s="31"/>
      <c r="E586" s="31"/>
    </row>
    <row r="587">
      <c r="A587" s="41"/>
      <c r="B587" s="41"/>
      <c r="C587" s="42"/>
      <c r="D587" s="31"/>
      <c r="E587" s="31"/>
    </row>
    <row r="588">
      <c r="A588" s="41"/>
      <c r="B588" s="41"/>
      <c r="C588" s="42"/>
      <c r="D588" s="31"/>
      <c r="E588" s="31"/>
    </row>
    <row r="589">
      <c r="A589" s="41"/>
      <c r="B589" s="41"/>
      <c r="C589" s="42"/>
      <c r="D589" s="31"/>
      <c r="E589" s="31"/>
    </row>
    <row r="590">
      <c r="A590" s="41"/>
      <c r="B590" s="41"/>
      <c r="C590" s="42"/>
      <c r="D590" s="31"/>
      <c r="E590" s="31"/>
    </row>
    <row r="591">
      <c r="A591" s="41"/>
      <c r="B591" s="41"/>
      <c r="C591" s="42"/>
      <c r="D591" s="31"/>
      <c r="E591" s="31"/>
    </row>
    <row r="592">
      <c r="A592" s="41"/>
      <c r="B592" s="41"/>
      <c r="C592" s="42"/>
      <c r="D592" s="31"/>
      <c r="E592" s="31"/>
    </row>
    <row r="593">
      <c r="A593" s="41"/>
      <c r="B593" s="41"/>
      <c r="C593" s="42"/>
      <c r="D593" s="31"/>
      <c r="E593" s="31"/>
    </row>
    <row r="594">
      <c r="A594" s="41"/>
      <c r="B594" s="41"/>
      <c r="C594" s="42"/>
      <c r="D594" s="31"/>
      <c r="E594" s="31"/>
    </row>
    <row r="595">
      <c r="A595" s="41"/>
      <c r="B595" s="41"/>
      <c r="C595" s="42"/>
      <c r="D595" s="31"/>
      <c r="E595" s="31"/>
    </row>
    <row r="596">
      <c r="A596" s="41"/>
      <c r="B596" s="41"/>
      <c r="C596" s="42"/>
      <c r="D596" s="31"/>
      <c r="E596" s="31"/>
    </row>
    <row r="597">
      <c r="A597" s="41"/>
      <c r="B597" s="41"/>
      <c r="C597" s="42"/>
      <c r="D597" s="31"/>
      <c r="E597" s="31"/>
    </row>
    <row r="598">
      <c r="A598" s="41"/>
      <c r="B598" s="41"/>
      <c r="C598" s="42"/>
      <c r="D598" s="31"/>
      <c r="E598" s="31"/>
    </row>
    <row r="599">
      <c r="A599" s="41"/>
      <c r="B599" s="41"/>
      <c r="C599" s="42"/>
      <c r="D599" s="31"/>
      <c r="E599" s="31"/>
    </row>
    <row r="600">
      <c r="A600" s="41"/>
      <c r="B600" s="41"/>
      <c r="C600" s="42"/>
      <c r="D600" s="31"/>
      <c r="E600" s="31"/>
    </row>
    <row r="601">
      <c r="A601" s="41"/>
      <c r="B601" s="41"/>
      <c r="C601" s="42"/>
      <c r="D601" s="31"/>
      <c r="E601" s="31"/>
    </row>
    <row r="602">
      <c r="A602" s="41"/>
      <c r="B602" s="41"/>
      <c r="C602" s="42"/>
      <c r="D602" s="31"/>
      <c r="E602" s="31"/>
    </row>
    <row r="603">
      <c r="A603" s="41"/>
      <c r="B603" s="41"/>
      <c r="C603" s="42"/>
      <c r="D603" s="31"/>
      <c r="E603" s="31"/>
    </row>
    <row r="604">
      <c r="A604" s="41"/>
      <c r="B604" s="41"/>
      <c r="C604" s="42"/>
      <c r="D604" s="31"/>
      <c r="E604" s="31"/>
    </row>
    <row r="605">
      <c r="A605" s="41"/>
      <c r="B605" s="41"/>
      <c r="C605" s="42"/>
      <c r="D605" s="31"/>
      <c r="E605" s="31"/>
    </row>
    <row r="606">
      <c r="A606" s="41"/>
      <c r="B606" s="41"/>
      <c r="C606" s="42"/>
      <c r="D606" s="31"/>
      <c r="E606" s="31"/>
    </row>
    <row r="607">
      <c r="A607" s="41"/>
      <c r="B607" s="41"/>
      <c r="C607" s="42"/>
      <c r="D607" s="31"/>
      <c r="E607" s="31"/>
    </row>
    <row r="608">
      <c r="A608" s="41"/>
      <c r="B608" s="41"/>
      <c r="C608" s="42"/>
      <c r="D608" s="31"/>
      <c r="E608" s="31"/>
    </row>
    <row r="609">
      <c r="A609" s="41"/>
      <c r="B609" s="41"/>
      <c r="C609" s="42"/>
      <c r="D609" s="31"/>
      <c r="E609" s="31"/>
    </row>
    <row r="610">
      <c r="A610" s="41"/>
      <c r="B610" s="41"/>
      <c r="C610" s="42"/>
      <c r="D610" s="31"/>
      <c r="E610" s="31"/>
    </row>
    <row r="611">
      <c r="A611" s="41"/>
      <c r="B611" s="41"/>
      <c r="C611" s="42"/>
      <c r="D611" s="31"/>
      <c r="E611" s="31"/>
    </row>
    <row r="612">
      <c r="A612" s="41"/>
      <c r="B612" s="41"/>
      <c r="C612" s="42"/>
      <c r="D612" s="31"/>
      <c r="E612" s="31"/>
    </row>
    <row r="613">
      <c r="A613" s="41"/>
      <c r="B613" s="41"/>
      <c r="C613" s="42"/>
      <c r="D613" s="31"/>
      <c r="E613" s="31"/>
    </row>
    <row r="614">
      <c r="A614" s="41"/>
      <c r="B614" s="41"/>
      <c r="C614" s="42"/>
      <c r="D614" s="31"/>
      <c r="E614" s="31"/>
    </row>
    <row r="615">
      <c r="A615" s="41"/>
      <c r="B615" s="41"/>
      <c r="C615" s="42"/>
      <c r="D615" s="31"/>
      <c r="E615" s="31"/>
    </row>
    <row r="616">
      <c r="A616" s="41"/>
      <c r="B616" s="41"/>
      <c r="C616" s="42"/>
      <c r="D616" s="31"/>
      <c r="E616" s="31"/>
    </row>
    <row r="617">
      <c r="A617" s="41"/>
      <c r="B617" s="41"/>
      <c r="C617" s="42"/>
      <c r="D617" s="31"/>
      <c r="E617" s="31"/>
    </row>
    <row r="618">
      <c r="A618" s="41"/>
      <c r="B618" s="41"/>
      <c r="C618" s="42"/>
      <c r="D618" s="31"/>
      <c r="E618" s="31"/>
    </row>
    <row r="619">
      <c r="A619" s="41"/>
      <c r="B619" s="41"/>
      <c r="C619" s="42"/>
      <c r="D619" s="31"/>
      <c r="E619" s="31"/>
    </row>
    <row r="620">
      <c r="A620" s="41"/>
      <c r="B620" s="41"/>
      <c r="C620" s="42"/>
      <c r="D620" s="31"/>
      <c r="E620" s="31"/>
    </row>
    <row r="621">
      <c r="A621" s="41"/>
      <c r="B621" s="41"/>
      <c r="C621" s="42"/>
      <c r="D621" s="31"/>
      <c r="E621" s="31"/>
    </row>
    <row r="622">
      <c r="A622" s="41"/>
      <c r="B622" s="41"/>
      <c r="C622" s="42"/>
      <c r="D622" s="31"/>
      <c r="E622" s="31"/>
    </row>
    <row r="623">
      <c r="A623" s="41"/>
      <c r="B623" s="41"/>
      <c r="C623" s="42"/>
      <c r="D623" s="31"/>
      <c r="E623" s="31"/>
    </row>
    <row r="624">
      <c r="A624" s="41"/>
      <c r="B624" s="41"/>
      <c r="C624" s="42"/>
      <c r="D624" s="31"/>
      <c r="E624" s="31"/>
    </row>
    <row r="625">
      <c r="A625" s="41"/>
      <c r="B625" s="41"/>
      <c r="C625" s="42"/>
      <c r="D625" s="31"/>
      <c r="E625" s="31"/>
    </row>
    <row r="626">
      <c r="A626" s="41"/>
      <c r="B626" s="41"/>
      <c r="C626" s="42"/>
      <c r="D626" s="31"/>
      <c r="E626" s="31"/>
    </row>
    <row r="627">
      <c r="A627" s="41"/>
      <c r="B627" s="41"/>
      <c r="C627" s="42"/>
      <c r="D627" s="31"/>
      <c r="E627" s="31"/>
    </row>
    <row r="628">
      <c r="A628" s="41"/>
      <c r="B628" s="41"/>
      <c r="C628" s="42"/>
      <c r="D628" s="31"/>
      <c r="E628" s="31"/>
    </row>
    <row r="629">
      <c r="A629" s="41"/>
      <c r="B629" s="41"/>
      <c r="C629" s="42"/>
      <c r="D629" s="31"/>
      <c r="E629" s="31"/>
    </row>
    <row r="630">
      <c r="A630" s="41"/>
      <c r="B630" s="41"/>
      <c r="C630" s="42"/>
      <c r="D630" s="31"/>
      <c r="E630" s="31"/>
    </row>
    <row r="631">
      <c r="A631" s="41"/>
      <c r="B631" s="41"/>
      <c r="C631" s="42"/>
      <c r="D631" s="31"/>
      <c r="E631" s="31"/>
    </row>
    <row r="632">
      <c r="A632" s="41"/>
      <c r="B632" s="41"/>
      <c r="C632" s="42"/>
      <c r="D632" s="31"/>
      <c r="E632" s="31"/>
    </row>
    <row r="633">
      <c r="A633" s="41"/>
      <c r="B633" s="41"/>
      <c r="C633" s="42"/>
      <c r="D633" s="31"/>
      <c r="E633" s="31"/>
    </row>
    <row r="634">
      <c r="A634" s="41"/>
      <c r="B634" s="41"/>
      <c r="C634" s="42"/>
      <c r="D634" s="31"/>
      <c r="E634" s="31"/>
    </row>
    <row r="635">
      <c r="A635" s="41"/>
      <c r="B635" s="41"/>
      <c r="C635" s="42"/>
      <c r="D635" s="31"/>
      <c r="E635" s="31"/>
    </row>
    <row r="636">
      <c r="A636" s="41"/>
      <c r="B636" s="41"/>
      <c r="C636" s="42"/>
      <c r="D636" s="31"/>
      <c r="E636" s="31"/>
    </row>
    <row r="637">
      <c r="A637" s="41"/>
      <c r="B637" s="41"/>
      <c r="C637" s="42"/>
      <c r="D637" s="31"/>
      <c r="E637" s="31"/>
    </row>
    <row r="638">
      <c r="A638" s="41"/>
      <c r="B638" s="41"/>
      <c r="C638" s="42"/>
      <c r="D638" s="31"/>
      <c r="E638" s="31"/>
    </row>
    <row r="639">
      <c r="A639" s="41"/>
      <c r="B639" s="41"/>
      <c r="C639" s="42"/>
      <c r="D639" s="31"/>
      <c r="E639" s="31"/>
    </row>
    <row r="640">
      <c r="A640" s="41"/>
      <c r="B640" s="41"/>
      <c r="C640" s="42"/>
      <c r="D640" s="31"/>
      <c r="E640" s="31"/>
    </row>
    <row r="641">
      <c r="A641" s="41"/>
      <c r="B641" s="41"/>
      <c r="C641" s="42"/>
      <c r="D641" s="31"/>
      <c r="E641" s="31"/>
    </row>
    <row r="642">
      <c r="A642" s="41"/>
      <c r="B642" s="41"/>
      <c r="C642" s="42"/>
      <c r="D642" s="31"/>
      <c r="E642" s="31"/>
    </row>
    <row r="643">
      <c r="A643" s="41"/>
      <c r="B643" s="41"/>
      <c r="C643" s="42"/>
      <c r="D643" s="31"/>
      <c r="E643" s="31"/>
    </row>
    <row r="644">
      <c r="A644" s="41"/>
      <c r="B644" s="41"/>
      <c r="C644" s="42"/>
      <c r="D644" s="31"/>
      <c r="E644" s="31"/>
    </row>
    <row r="645">
      <c r="A645" s="41"/>
      <c r="B645" s="41"/>
      <c r="C645" s="42"/>
      <c r="D645" s="31"/>
      <c r="E645" s="31"/>
    </row>
    <row r="646">
      <c r="A646" s="41"/>
      <c r="B646" s="41"/>
      <c r="C646" s="42"/>
      <c r="D646" s="31"/>
      <c r="E646" s="31"/>
    </row>
    <row r="647">
      <c r="A647" s="41"/>
      <c r="B647" s="41"/>
      <c r="C647" s="42"/>
      <c r="D647" s="31"/>
      <c r="E647" s="31"/>
    </row>
    <row r="648">
      <c r="A648" s="41"/>
      <c r="B648" s="41"/>
      <c r="C648" s="42"/>
      <c r="D648" s="31"/>
      <c r="E648" s="31"/>
    </row>
    <row r="649">
      <c r="A649" s="41"/>
      <c r="B649" s="41"/>
      <c r="C649" s="42"/>
      <c r="D649" s="31"/>
      <c r="E649" s="31"/>
    </row>
    <row r="650">
      <c r="A650" s="41"/>
      <c r="B650" s="41"/>
      <c r="C650" s="42"/>
      <c r="D650" s="31"/>
      <c r="E650" s="31"/>
    </row>
    <row r="651">
      <c r="A651" s="41"/>
      <c r="B651" s="41"/>
      <c r="C651" s="42"/>
      <c r="D651" s="31"/>
      <c r="E651" s="31"/>
    </row>
    <row r="652">
      <c r="A652" s="41"/>
      <c r="B652" s="41"/>
      <c r="C652" s="42"/>
      <c r="D652" s="31"/>
      <c r="E652" s="31"/>
    </row>
    <row r="653">
      <c r="A653" s="41"/>
      <c r="B653" s="41"/>
      <c r="C653" s="42"/>
      <c r="D653" s="31"/>
      <c r="E653" s="31"/>
    </row>
    <row r="654">
      <c r="A654" s="41"/>
      <c r="B654" s="41"/>
      <c r="C654" s="42"/>
      <c r="D654" s="31"/>
      <c r="E654" s="31"/>
    </row>
    <row r="655">
      <c r="A655" s="41"/>
      <c r="B655" s="41"/>
      <c r="C655" s="42"/>
      <c r="D655" s="31"/>
      <c r="E655" s="31"/>
    </row>
    <row r="656">
      <c r="A656" s="41"/>
      <c r="B656" s="41"/>
      <c r="C656" s="42"/>
      <c r="D656" s="31"/>
      <c r="E656" s="31"/>
    </row>
    <row r="657">
      <c r="A657" s="41"/>
      <c r="B657" s="41"/>
      <c r="C657" s="42"/>
      <c r="D657" s="31"/>
      <c r="E657" s="31"/>
    </row>
    <row r="658">
      <c r="A658" s="41"/>
      <c r="B658" s="41"/>
      <c r="C658" s="42"/>
      <c r="D658" s="31"/>
      <c r="E658" s="31"/>
    </row>
    <row r="659">
      <c r="A659" s="41"/>
      <c r="B659" s="41"/>
      <c r="C659" s="42"/>
      <c r="D659" s="31"/>
      <c r="E659" s="31"/>
    </row>
    <row r="660">
      <c r="A660" s="41"/>
      <c r="B660" s="41"/>
      <c r="C660" s="42"/>
      <c r="D660" s="31"/>
      <c r="E660" s="31"/>
    </row>
    <row r="661">
      <c r="A661" s="41"/>
      <c r="B661" s="41"/>
      <c r="C661" s="42"/>
      <c r="D661" s="31"/>
      <c r="E661" s="31"/>
    </row>
    <row r="662">
      <c r="A662" s="41"/>
      <c r="B662" s="41"/>
      <c r="C662" s="42"/>
      <c r="D662" s="31"/>
      <c r="E662" s="31"/>
    </row>
    <row r="663">
      <c r="A663" s="41"/>
      <c r="B663" s="41"/>
      <c r="C663" s="42"/>
      <c r="D663" s="31"/>
      <c r="E663" s="31"/>
    </row>
    <row r="664">
      <c r="A664" s="41"/>
      <c r="B664" s="41"/>
      <c r="C664" s="42"/>
      <c r="D664" s="31"/>
      <c r="E664" s="31"/>
    </row>
    <row r="665">
      <c r="A665" s="41"/>
      <c r="B665" s="41"/>
      <c r="C665" s="42"/>
      <c r="D665" s="31"/>
      <c r="E665" s="31"/>
    </row>
    <row r="666">
      <c r="A666" s="41"/>
      <c r="B666" s="41"/>
      <c r="C666" s="42"/>
      <c r="D666" s="31"/>
      <c r="E666" s="31"/>
    </row>
    <row r="667">
      <c r="A667" s="41"/>
      <c r="B667" s="41"/>
      <c r="C667" s="42"/>
      <c r="D667" s="31"/>
      <c r="E667" s="31"/>
    </row>
    <row r="668">
      <c r="A668" s="41"/>
      <c r="B668" s="41"/>
      <c r="C668" s="42"/>
      <c r="D668" s="31"/>
      <c r="E668" s="31"/>
    </row>
    <row r="669">
      <c r="A669" s="41"/>
      <c r="B669" s="41"/>
      <c r="C669" s="42"/>
      <c r="D669" s="31"/>
      <c r="E669" s="31"/>
    </row>
    <row r="670">
      <c r="A670" s="41"/>
      <c r="B670" s="41"/>
      <c r="C670" s="42"/>
      <c r="D670" s="31"/>
      <c r="E670" s="31"/>
    </row>
    <row r="671">
      <c r="A671" s="41"/>
      <c r="B671" s="41"/>
      <c r="C671" s="42"/>
      <c r="D671" s="31"/>
      <c r="E671" s="31"/>
    </row>
    <row r="672">
      <c r="A672" s="41"/>
      <c r="B672" s="41"/>
      <c r="C672" s="42"/>
      <c r="D672" s="31"/>
      <c r="E672" s="31"/>
    </row>
    <row r="673">
      <c r="A673" s="41"/>
      <c r="B673" s="41"/>
      <c r="C673" s="42"/>
      <c r="D673" s="31"/>
      <c r="E673" s="31"/>
    </row>
    <row r="674">
      <c r="A674" s="41"/>
      <c r="B674" s="41"/>
      <c r="C674" s="42"/>
      <c r="D674" s="31"/>
      <c r="E674" s="31"/>
    </row>
    <row r="675">
      <c r="A675" s="41"/>
      <c r="B675" s="41"/>
      <c r="C675" s="42"/>
      <c r="D675" s="31"/>
      <c r="E675" s="31"/>
    </row>
    <row r="676">
      <c r="A676" s="41"/>
      <c r="B676" s="41"/>
      <c r="C676" s="42"/>
      <c r="D676" s="31"/>
      <c r="E676" s="31"/>
    </row>
    <row r="677">
      <c r="A677" s="41"/>
      <c r="B677" s="41"/>
      <c r="C677" s="42"/>
      <c r="D677" s="31"/>
      <c r="E677" s="31"/>
    </row>
    <row r="678">
      <c r="A678" s="41"/>
      <c r="B678" s="41"/>
      <c r="C678" s="42"/>
      <c r="D678" s="31"/>
      <c r="E678" s="31"/>
    </row>
    <row r="679">
      <c r="A679" s="41"/>
      <c r="B679" s="41"/>
      <c r="C679" s="42"/>
      <c r="D679" s="31"/>
      <c r="E679" s="31"/>
    </row>
    <row r="680">
      <c r="A680" s="41"/>
      <c r="B680" s="41"/>
      <c r="C680" s="42"/>
      <c r="D680" s="31"/>
      <c r="E680" s="31"/>
    </row>
    <row r="681">
      <c r="A681" s="41"/>
      <c r="B681" s="41"/>
      <c r="C681" s="42"/>
      <c r="D681" s="31"/>
      <c r="E681" s="31"/>
    </row>
    <row r="682">
      <c r="A682" s="41"/>
      <c r="B682" s="41"/>
      <c r="C682" s="42"/>
      <c r="D682" s="31"/>
      <c r="E682" s="31"/>
    </row>
    <row r="683">
      <c r="A683" s="41"/>
      <c r="B683" s="41"/>
      <c r="C683" s="42"/>
      <c r="D683" s="31"/>
      <c r="E683" s="31"/>
    </row>
    <row r="684">
      <c r="A684" s="41"/>
      <c r="B684" s="41"/>
      <c r="C684" s="42"/>
      <c r="D684" s="31"/>
      <c r="E684" s="31"/>
    </row>
    <row r="685">
      <c r="A685" s="41"/>
      <c r="B685" s="41"/>
      <c r="C685" s="42"/>
      <c r="D685" s="31"/>
      <c r="E685" s="31"/>
    </row>
    <row r="686">
      <c r="A686" s="41"/>
      <c r="B686" s="41"/>
      <c r="C686" s="42"/>
      <c r="D686" s="31"/>
      <c r="E686" s="31"/>
    </row>
    <row r="687">
      <c r="A687" s="41"/>
      <c r="B687" s="41"/>
      <c r="C687" s="42"/>
      <c r="D687" s="31"/>
      <c r="E687" s="31"/>
    </row>
    <row r="688">
      <c r="A688" s="41"/>
      <c r="B688" s="41"/>
      <c r="C688" s="42"/>
      <c r="D688" s="31"/>
      <c r="E688" s="31"/>
    </row>
    <row r="689">
      <c r="A689" s="41"/>
      <c r="B689" s="41"/>
      <c r="C689" s="42"/>
      <c r="D689" s="31"/>
      <c r="E689" s="31"/>
    </row>
    <row r="690">
      <c r="A690" s="41"/>
      <c r="B690" s="41"/>
      <c r="C690" s="42"/>
      <c r="D690" s="31"/>
      <c r="E690" s="31"/>
    </row>
    <row r="691">
      <c r="A691" s="41"/>
      <c r="B691" s="41"/>
      <c r="C691" s="42"/>
      <c r="D691" s="31"/>
      <c r="E691" s="31"/>
    </row>
    <row r="692">
      <c r="A692" s="41"/>
      <c r="B692" s="41"/>
      <c r="C692" s="42"/>
      <c r="D692" s="31"/>
      <c r="E692" s="31"/>
    </row>
    <row r="693">
      <c r="A693" s="41"/>
      <c r="B693" s="41"/>
      <c r="C693" s="42"/>
      <c r="D693" s="31"/>
      <c r="E693" s="31"/>
    </row>
    <row r="694">
      <c r="A694" s="41"/>
      <c r="B694" s="41"/>
      <c r="C694" s="42"/>
      <c r="D694" s="31"/>
      <c r="E694" s="31"/>
    </row>
    <row r="695">
      <c r="A695" s="41"/>
      <c r="B695" s="41"/>
      <c r="C695" s="42"/>
      <c r="D695" s="31"/>
      <c r="E695" s="31"/>
    </row>
    <row r="696">
      <c r="A696" s="41"/>
      <c r="B696" s="41"/>
      <c r="C696" s="42"/>
      <c r="D696" s="31"/>
      <c r="E696" s="31"/>
    </row>
    <row r="697">
      <c r="A697" s="41"/>
      <c r="B697" s="41"/>
      <c r="C697" s="42"/>
      <c r="D697" s="31"/>
      <c r="E697" s="31"/>
    </row>
    <row r="698">
      <c r="A698" s="41"/>
      <c r="B698" s="41"/>
      <c r="C698" s="42"/>
      <c r="D698" s="31"/>
      <c r="E698" s="31"/>
    </row>
    <row r="699">
      <c r="A699" s="41"/>
      <c r="B699" s="41"/>
      <c r="C699" s="42"/>
      <c r="D699" s="31"/>
      <c r="E699" s="31"/>
    </row>
    <row r="700">
      <c r="A700" s="41"/>
      <c r="B700" s="41"/>
      <c r="C700" s="42"/>
      <c r="D700" s="31"/>
      <c r="E700" s="31"/>
    </row>
    <row r="701">
      <c r="A701" s="41"/>
      <c r="B701" s="41"/>
      <c r="C701" s="42"/>
      <c r="D701" s="31"/>
      <c r="E701" s="31"/>
    </row>
    <row r="702">
      <c r="A702" s="41"/>
      <c r="B702" s="41"/>
      <c r="C702" s="42"/>
      <c r="D702" s="31"/>
      <c r="E702" s="31"/>
    </row>
    <row r="703">
      <c r="A703" s="41"/>
      <c r="B703" s="41"/>
      <c r="C703" s="42"/>
      <c r="D703" s="31"/>
      <c r="E703" s="31"/>
    </row>
    <row r="704">
      <c r="A704" s="41"/>
      <c r="B704" s="41"/>
      <c r="C704" s="42"/>
      <c r="D704" s="31"/>
      <c r="E704" s="31"/>
    </row>
    <row r="705">
      <c r="A705" s="41"/>
      <c r="B705" s="41"/>
      <c r="C705" s="42"/>
      <c r="D705" s="31"/>
      <c r="E705" s="31"/>
    </row>
    <row r="706">
      <c r="A706" s="41"/>
      <c r="B706" s="41"/>
      <c r="C706" s="42"/>
      <c r="D706" s="31"/>
      <c r="E706" s="31"/>
    </row>
    <row r="707">
      <c r="A707" s="41"/>
      <c r="B707" s="41"/>
      <c r="C707" s="42"/>
      <c r="D707" s="31"/>
      <c r="E707" s="31"/>
    </row>
    <row r="708">
      <c r="A708" s="41"/>
      <c r="B708" s="41"/>
      <c r="C708" s="42"/>
      <c r="D708" s="31"/>
      <c r="E708" s="31"/>
    </row>
    <row r="709">
      <c r="A709" s="41"/>
      <c r="B709" s="41"/>
      <c r="C709" s="42"/>
      <c r="D709" s="31"/>
      <c r="E709" s="31"/>
    </row>
    <row r="710">
      <c r="A710" s="41"/>
      <c r="B710" s="41"/>
      <c r="C710" s="42"/>
      <c r="D710" s="31"/>
      <c r="E710" s="31"/>
    </row>
    <row r="711">
      <c r="A711" s="41"/>
      <c r="B711" s="41"/>
      <c r="C711" s="42"/>
      <c r="D711" s="31"/>
      <c r="E711" s="31"/>
    </row>
    <row r="712">
      <c r="A712" s="41"/>
      <c r="B712" s="41"/>
      <c r="C712" s="42"/>
      <c r="D712" s="31"/>
      <c r="E712" s="31"/>
    </row>
    <row r="713">
      <c r="A713" s="41"/>
      <c r="B713" s="41"/>
      <c r="C713" s="42"/>
      <c r="D713" s="31"/>
      <c r="E713" s="31"/>
    </row>
    <row r="714">
      <c r="A714" s="41"/>
      <c r="B714" s="41"/>
      <c r="C714" s="42"/>
      <c r="D714" s="31"/>
      <c r="E714" s="31"/>
    </row>
    <row r="715">
      <c r="A715" s="41"/>
      <c r="B715" s="41"/>
      <c r="C715" s="42"/>
      <c r="D715" s="31"/>
      <c r="E715" s="31"/>
    </row>
    <row r="716">
      <c r="A716" s="41"/>
      <c r="B716" s="41"/>
      <c r="C716" s="42"/>
      <c r="D716" s="31"/>
      <c r="E716" s="31"/>
    </row>
    <row r="717">
      <c r="A717" s="41"/>
      <c r="B717" s="41"/>
      <c r="C717" s="42"/>
      <c r="D717" s="31"/>
      <c r="E717" s="31"/>
    </row>
    <row r="718">
      <c r="A718" s="41"/>
      <c r="B718" s="41"/>
      <c r="C718" s="42"/>
      <c r="D718" s="31"/>
      <c r="E718" s="31"/>
    </row>
    <row r="719">
      <c r="A719" s="41"/>
      <c r="B719" s="41"/>
      <c r="C719" s="42"/>
      <c r="D719" s="31"/>
      <c r="E719" s="31"/>
    </row>
    <row r="720">
      <c r="A720" s="41"/>
      <c r="B720" s="41"/>
      <c r="C720" s="42"/>
      <c r="D720" s="31"/>
      <c r="E720" s="31"/>
    </row>
    <row r="721">
      <c r="A721" s="41"/>
      <c r="B721" s="41"/>
      <c r="C721" s="42"/>
      <c r="D721" s="31"/>
      <c r="E721" s="31"/>
    </row>
    <row r="722">
      <c r="A722" s="41"/>
      <c r="B722" s="41"/>
      <c r="C722" s="42"/>
      <c r="D722" s="31"/>
      <c r="E722" s="31"/>
    </row>
    <row r="723">
      <c r="A723" s="41"/>
      <c r="B723" s="41"/>
      <c r="C723" s="42"/>
      <c r="D723" s="31"/>
      <c r="E723" s="31"/>
    </row>
    <row r="724">
      <c r="A724" s="41"/>
      <c r="B724" s="41"/>
      <c r="C724" s="42"/>
      <c r="D724" s="31"/>
      <c r="E724" s="31"/>
    </row>
    <row r="725">
      <c r="A725" s="41"/>
      <c r="B725" s="41"/>
      <c r="C725" s="42"/>
      <c r="D725" s="31"/>
      <c r="E725" s="31"/>
    </row>
    <row r="726">
      <c r="A726" s="41"/>
      <c r="B726" s="41"/>
      <c r="C726" s="42"/>
      <c r="D726" s="31"/>
      <c r="E726" s="31"/>
    </row>
    <row r="727">
      <c r="A727" s="41"/>
      <c r="B727" s="41"/>
      <c r="C727" s="42"/>
      <c r="D727" s="31"/>
      <c r="E727" s="31"/>
    </row>
    <row r="728">
      <c r="A728" s="41"/>
      <c r="B728" s="41"/>
      <c r="C728" s="42"/>
      <c r="D728" s="31"/>
      <c r="E728" s="31"/>
    </row>
    <row r="729">
      <c r="A729" s="41"/>
      <c r="B729" s="41"/>
      <c r="C729" s="42"/>
      <c r="D729" s="31"/>
      <c r="E729" s="31"/>
    </row>
    <row r="730">
      <c r="A730" s="41"/>
      <c r="B730" s="41"/>
      <c r="C730" s="42"/>
      <c r="D730" s="31"/>
      <c r="E730" s="31"/>
    </row>
    <row r="731">
      <c r="A731" s="41"/>
      <c r="B731" s="41"/>
      <c r="C731" s="42"/>
      <c r="D731" s="31"/>
      <c r="E731" s="31"/>
    </row>
    <row r="732">
      <c r="A732" s="41"/>
      <c r="B732" s="41"/>
      <c r="C732" s="42"/>
      <c r="D732" s="31"/>
      <c r="E732" s="31"/>
    </row>
    <row r="733">
      <c r="A733" s="41"/>
      <c r="B733" s="41"/>
      <c r="C733" s="42"/>
      <c r="D733" s="31"/>
      <c r="E733" s="31"/>
    </row>
    <row r="734">
      <c r="A734" s="41"/>
      <c r="B734" s="41"/>
      <c r="C734" s="42"/>
      <c r="D734" s="31"/>
      <c r="E734" s="31"/>
    </row>
    <row r="735">
      <c r="A735" s="41"/>
      <c r="B735" s="41"/>
      <c r="C735" s="42"/>
      <c r="D735" s="31"/>
      <c r="E735" s="31"/>
    </row>
    <row r="736">
      <c r="A736" s="41"/>
      <c r="B736" s="41"/>
      <c r="C736" s="42"/>
      <c r="D736" s="31"/>
      <c r="E736" s="31"/>
    </row>
    <row r="737">
      <c r="A737" s="41"/>
      <c r="B737" s="41"/>
      <c r="C737" s="42"/>
      <c r="D737" s="31"/>
      <c r="E737" s="31"/>
    </row>
    <row r="738">
      <c r="A738" s="41"/>
      <c r="B738" s="41"/>
      <c r="C738" s="42"/>
      <c r="D738" s="31"/>
      <c r="E738" s="31"/>
    </row>
    <row r="739">
      <c r="A739" s="41"/>
      <c r="B739" s="41"/>
      <c r="C739" s="42"/>
      <c r="D739" s="31"/>
      <c r="E739" s="31"/>
    </row>
    <row r="740">
      <c r="A740" s="41"/>
      <c r="B740" s="41"/>
      <c r="C740" s="42"/>
      <c r="D740" s="31"/>
      <c r="E740" s="31"/>
    </row>
    <row r="741">
      <c r="A741" s="41"/>
      <c r="B741" s="41"/>
      <c r="C741" s="42"/>
      <c r="D741" s="31"/>
      <c r="E741" s="31"/>
    </row>
    <row r="742">
      <c r="A742" s="41"/>
      <c r="B742" s="41"/>
      <c r="C742" s="42"/>
      <c r="D742" s="31"/>
      <c r="E742" s="31"/>
    </row>
    <row r="743">
      <c r="A743" s="41"/>
      <c r="B743" s="41"/>
      <c r="C743" s="42"/>
      <c r="D743" s="31"/>
      <c r="E743" s="31"/>
    </row>
    <row r="744">
      <c r="A744" s="41"/>
      <c r="B744" s="41"/>
      <c r="C744" s="42"/>
      <c r="D744" s="31"/>
      <c r="E744" s="31"/>
    </row>
    <row r="745">
      <c r="A745" s="41"/>
      <c r="B745" s="41"/>
      <c r="C745" s="42"/>
      <c r="D745" s="31"/>
      <c r="E745" s="31"/>
    </row>
    <row r="746">
      <c r="A746" s="41"/>
      <c r="B746" s="41"/>
      <c r="C746" s="42"/>
      <c r="D746" s="31"/>
      <c r="E746" s="31"/>
    </row>
    <row r="747">
      <c r="A747" s="41"/>
      <c r="B747" s="41"/>
      <c r="C747" s="42"/>
      <c r="D747" s="31"/>
      <c r="E747" s="31"/>
    </row>
    <row r="748">
      <c r="A748" s="41"/>
      <c r="B748" s="41"/>
      <c r="C748" s="42"/>
      <c r="D748" s="31"/>
      <c r="E748" s="31"/>
    </row>
    <row r="749">
      <c r="A749" s="41"/>
      <c r="B749" s="41"/>
      <c r="C749" s="42"/>
      <c r="D749" s="31"/>
      <c r="E749" s="31"/>
    </row>
    <row r="750">
      <c r="A750" s="41"/>
      <c r="B750" s="41"/>
      <c r="C750" s="42"/>
      <c r="D750" s="31"/>
      <c r="E750" s="31"/>
    </row>
    <row r="751">
      <c r="A751" s="41"/>
      <c r="B751" s="41"/>
      <c r="C751" s="42"/>
      <c r="D751" s="31"/>
      <c r="E751" s="31"/>
    </row>
    <row r="752">
      <c r="A752" s="41"/>
      <c r="B752" s="41"/>
      <c r="C752" s="42"/>
      <c r="D752" s="31"/>
      <c r="E752" s="31"/>
    </row>
    <row r="753">
      <c r="A753" s="41"/>
      <c r="B753" s="41"/>
      <c r="C753" s="42"/>
      <c r="D753" s="31"/>
      <c r="E753" s="31"/>
    </row>
    <row r="754">
      <c r="A754" s="41"/>
      <c r="B754" s="41"/>
      <c r="C754" s="42"/>
      <c r="D754" s="31"/>
      <c r="E754" s="31"/>
    </row>
    <row r="755">
      <c r="A755" s="41"/>
      <c r="B755" s="41"/>
      <c r="C755" s="42"/>
      <c r="D755" s="31"/>
      <c r="E755" s="31"/>
    </row>
    <row r="756">
      <c r="A756" s="41"/>
      <c r="B756" s="41"/>
      <c r="C756" s="42"/>
      <c r="D756" s="31"/>
      <c r="E756" s="31"/>
    </row>
    <row r="757">
      <c r="A757" s="41"/>
      <c r="B757" s="41"/>
      <c r="C757" s="42"/>
      <c r="D757" s="31"/>
      <c r="E757" s="31"/>
    </row>
    <row r="758">
      <c r="A758" s="41"/>
      <c r="B758" s="41"/>
      <c r="C758" s="42"/>
      <c r="D758" s="31"/>
      <c r="E758" s="31"/>
    </row>
    <row r="759">
      <c r="A759" s="41"/>
      <c r="B759" s="41"/>
      <c r="C759" s="42"/>
      <c r="D759" s="31"/>
      <c r="E759" s="31"/>
    </row>
    <row r="760">
      <c r="A760" s="41"/>
      <c r="B760" s="41"/>
      <c r="C760" s="42"/>
      <c r="D760" s="31"/>
      <c r="E760" s="31"/>
    </row>
    <row r="761">
      <c r="A761" s="41"/>
      <c r="B761" s="41"/>
      <c r="C761" s="42"/>
      <c r="D761" s="31"/>
      <c r="E761" s="31"/>
    </row>
    <row r="762">
      <c r="A762" s="41"/>
      <c r="B762" s="41"/>
      <c r="C762" s="42"/>
      <c r="D762" s="31"/>
      <c r="E762" s="31"/>
    </row>
    <row r="763">
      <c r="A763" s="41"/>
      <c r="B763" s="41"/>
      <c r="C763" s="42"/>
      <c r="D763" s="31"/>
      <c r="E763" s="31"/>
    </row>
    <row r="764">
      <c r="A764" s="41"/>
      <c r="B764" s="41"/>
      <c r="C764" s="42"/>
      <c r="D764" s="31"/>
      <c r="E764" s="31"/>
    </row>
    <row r="765">
      <c r="A765" s="41"/>
      <c r="B765" s="41"/>
      <c r="C765" s="42"/>
      <c r="D765" s="31"/>
      <c r="E765" s="31"/>
    </row>
    <row r="766">
      <c r="A766" s="41"/>
      <c r="B766" s="41"/>
      <c r="C766" s="42"/>
      <c r="D766" s="31"/>
      <c r="E766" s="31"/>
    </row>
    <row r="767">
      <c r="A767" s="41"/>
      <c r="B767" s="41"/>
      <c r="C767" s="42"/>
      <c r="D767" s="31"/>
      <c r="E767" s="31"/>
    </row>
    <row r="768">
      <c r="A768" s="41"/>
      <c r="B768" s="41"/>
      <c r="C768" s="42"/>
      <c r="D768" s="31"/>
      <c r="E768" s="31"/>
    </row>
    <row r="769">
      <c r="A769" s="41"/>
      <c r="B769" s="41"/>
      <c r="C769" s="42"/>
      <c r="D769" s="31"/>
      <c r="E769" s="31"/>
    </row>
    <row r="770">
      <c r="A770" s="41"/>
      <c r="B770" s="41"/>
      <c r="C770" s="42"/>
      <c r="D770" s="31"/>
      <c r="E770" s="31"/>
    </row>
    <row r="771">
      <c r="A771" s="41"/>
      <c r="B771" s="41"/>
      <c r="C771" s="42"/>
      <c r="D771" s="31"/>
      <c r="E771" s="31"/>
    </row>
    <row r="772">
      <c r="A772" s="41"/>
      <c r="B772" s="41"/>
      <c r="C772" s="42"/>
      <c r="D772" s="31"/>
      <c r="E772" s="31"/>
    </row>
    <row r="773">
      <c r="A773" s="41"/>
      <c r="B773" s="41"/>
      <c r="C773" s="42"/>
      <c r="D773" s="31"/>
      <c r="E773" s="31"/>
    </row>
    <row r="774">
      <c r="A774" s="41"/>
      <c r="B774" s="41"/>
      <c r="C774" s="42"/>
      <c r="D774" s="31"/>
      <c r="E774" s="31"/>
    </row>
    <row r="775">
      <c r="A775" s="41"/>
      <c r="B775" s="41"/>
      <c r="C775" s="42"/>
      <c r="D775" s="31"/>
      <c r="E775" s="31"/>
    </row>
    <row r="776">
      <c r="A776" s="41"/>
      <c r="B776" s="41"/>
      <c r="C776" s="42"/>
      <c r="D776" s="31"/>
      <c r="E776" s="31"/>
    </row>
    <row r="777">
      <c r="A777" s="41"/>
      <c r="B777" s="41"/>
      <c r="C777" s="42"/>
      <c r="D777" s="31"/>
      <c r="E777" s="31"/>
    </row>
    <row r="778">
      <c r="A778" s="41"/>
      <c r="B778" s="41"/>
      <c r="C778" s="42"/>
      <c r="D778" s="31"/>
      <c r="E778" s="31"/>
    </row>
    <row r="779">
      <c r="A779" s="41"/>
      <c r="B779" s="41"/>
      <c r="C779" s="42"/>
      <c r="D779" s="31"/>
      <c r="E779" s="31"/>
    </row>
    <row r="780">
      <c r="A780" s="41"/>
      <c r="B780" s="41"/>
      <c r="C780" s="42"/>
      <c r="D780" s="31"/>
      <c r="E780" s="31"/>
    </row>
    <row r="781">
      <c r="A781" s="41"/>
      <c r="B781" s="41"/>
      <c r="C781" s="42"/>
      <c r="D781" s="31"/>
      <c r="E781" s="31"/>
    </row>
    <row r="782">
      <c r="A782" s="41"/>
      <c r="B782" s="41"/>
      <c r="C782" s="42"/>
      <c r="D782" s="31"/>
      <c r="E782" s="31"/>
    </row>
    <row r="783">
      <c r="A783" s="41"/>
      <c r="B783" s="41"/>
      <c r="C783" s="42"/>
      <c r="D783" s="31"/>
      <c r="E783" s="31"/>
    </row>
    <row r="784">
      <c r="A784" s="41"/>
      <c r="B784" s="41"/>
      <c r="C784" s="42"/>
      <c r="D784" s="31"/>
      <c r="E784" s="31"/>
    </row>
    <row r="785">
      <c r="A785" s="41"/>
      <c r="B785" s="41"/>
      <c r="C785" s="42"/>
      <c r="D785" s="31"/>
      <c r="E785" s="31"/>
    </row>
    <row r="786">
      <c r="A786" s="41"/>
      <c r="B786" s="41"/>
      <c r="C786" s="42"/>
      <c r="D786" s="31"/>
      <c r="E786" s="31"/>
    </row>
    <row r="787">
      <c r="A787" s="41"/>
      <c r="B787" s="41"/>
      <c r="C787" s="42"/>
      <c r="D787" s="31"/>
      <c r="E787" s="31"/>
    </row>
    <row r="788">
      <c r="A788" s="41"/>
      <c r="B788" s="41"/>
      <c r="C788" s="42"/>
      <c r="D788" s="31"/>
      <c r="E788" s="31"/>
    </row>
    <row r="789">
      <c r="A789" s="41"/>
      <c r="B789" s="41"/>
      <c r="C789" s="42"/>
      <c r="D789" s="31"/>
      <c r="E789" s="31"/>
    </row>
    <row r="790">
      <c r="A790" s="41"/>
      <c r="B790" s="41"/>
      <c r="C790" s="42"/>
      <c r="D790" s="31"/>
      <c r="E790" s="31"/>
    </row>
    <row r="791">
      <c r="A791" s="41"/>
      <c r="B791" s="41"/>
      <c r="C791" s="42"/>
      <c r="D791" s="31"/>
      <c r="E791" s="31"/>
    </row>
    <row r="792">
      <c r="A792" s="41"/>
      <c r="B792" s="41"/>
      <c r="C792" s="42"/>
      <c r="D792" s="31"/>
      <c r="E792" s="31"/>
    </row>
    <row r="793">
      <c r="A793" s="41"/>
      <c r="B793" s="41"/>
      <c r="C793" s="42"/>
      <c r="D793" s="31"/>
      <c r="E793" s="31"/>
    </row>
    <row r="794">
      <c r="A794" s="41"/>
      <c r="B794" s="41"/>
      <c r="C794" s="42"/>
      <c r="D794" s="31"/>
      <c r="E794" s="31"/>
    </row>
    <row r="795">
      <c r="A795" s="41"/>
      <c r="B795" s="41"/>
      <c r="C795" s="42"/>
      <c r="D795" s="31"/>
      <c r="E795" s="31"/>
    </row>
    <row r="796">
      <c r="A796" s="41"/>
      <c r="B796" s="41"/>
      <c r="C796" s="42"/>
      <c r="D796" s="31"/>
      <c r="E796" s="31"/>
    </row>
    <row r="797">
      <c r="A797" s="41"/>
      <c r="B797" s="41"/>
      <c r="C797" s="42"/>
      <c r="D797" s="31"/>
      <c r="E797" s="31"/>
    </row>
    <row r="798">
      <c r="A798" s="41"/>
      <c r="B798" s="41"/>
      <c r="C798" s="42"/>
      <c r="D798" s="31"/>
      <c r="E798" s="31"/>
    </row>
    <row r="799">
      <c r="A799" s="41"/>
      <c r="B799" s="41"/>
      <c r="C799" s="42"/>
      <c r="D799" s="31"/>
      <c r="E799" s="31"/>
    </row>
    <row r="800">
      <c r="A800" s="41"/>
      <c r="B800" s="41"/>
      <c r="C800" s="42"/>
      <c r="D800" s="31"/>
      <c r="E800" s="31"/>
    </row>
    <row r="801">
      <c r="A801" s="41"/>
      <c r="B801" s="41"/>
      <c r="C801" s="42"/>
      <c r="D801" s="31"/>
      <c r="E801" s="31"/>
    </row>
    <row r="802">
      <c r="A802" s="41"/>
      <c r="B802" s="41"/>
      <c r="C802" s="42"/>
      <c r="D802" s="31"/>
      <c r="E802" s="31"/>
    </row>
    <row r="803">
      <c r="A803" s="41"/>
      <c r="B803" s="41"/>
      <c r="C803" s="42"/>
      <c r="D803" s="31"/>
      <c r="E803" s="31"/>
    </row>
    <row r="804">
      <c r="A804" s="41"/>
      <c r="B804" s="41"/>
      <c r="C804" s="42"/>
      <c r="D804" s="31"/>
      <c r="E804" s="31"/>
    </row>
    <row r="805">
      <c r="A805" s="41"/>
      <c r="B805" s="41"/>
      <c r="C805" s="42"/>
      <c r="D805" s="31"/>
      <c r="E805" s="31"/>
    </row>
    <row r="806">
      <c r="A806" s="41"/>
      <c r="B806" s="41"/>
      <c r="C806" s="42"/>
      <c r="D806" s="31"/>
      <c r="E806" s="31"/>
    </row>
    <row r="807">
      <c r="A807" s="41"/>
      <c r="B807" s="41"/>
      <c r="C807" s="42"/>
      <c r="D807" s="31"/>
      <c r="E807" s="31"/>
    </row>
    <row r="808">
      <c r="A808" s="41"/>
      <c r="B808" s="41"/>
      <c r="C808" s="42"/>
      <c r="D808" s="31"/>
      <c r="E808" s="31"/>
    </row>
    <row r="809">
      <c r="A809" s="41"/>
      <c r="B809" s="41"/>
      <c r="C809" s="42"/>
      <c r="D809" s="31"/>
      <c r="E809" s="31"/>
    </row>
    <row r="810">
      <c r="A810" s="41"/>
      <c r="B810" s="41"/>
      <c r="C810" s="42"/>
      <c r="D810" s="31"/>
      <c r="E810" s="31"/>
    </row>
    <row r="811">
      <c r="A811" s="41"/>
      <c r="B811" s="41"/>
      <c r="C811" s="42"/>
      <c r="D811" s="31"/>
      <c r="E811" s="31"/>
    </row>
    <row r="812">
      <c r="A812" s="41"/>
      <c r="B812" s="41"/>
      <c r="C812" s="42"/>
      <c r="D812" s="31"/>
      <c r="E812" s="31"/>
    </row>
    <row r="813">
      <c r="A813" s="41"/>
      <c r="B813" s="41"/>
      <c r="C813" s="42"/>
      <c r="D813" s="31"/>
      <c r="E813" s="31"/>
    </row>
    <row r="814">
      <c r="A814" s="41"/>
      <c r="B814" s="41"/>
      <c r="C814" s="42"/>
      <c r="D814" s="31"/>
      <c r="E814" s="31"/>
    </row>
    <row r="815">
      <c r="A815" s="41"/>
      <c r="B815" s="41"/>
      <c r="C815" s="42"/>
      <c r="D815" s="31"/>
      <c r="E815" s="31"/>
    </row>
    <row r="816">
      <c r="A816" s="41"/>
      <c r="B816" s="41"/>
      <c r="C816" s="42"/>
      <c r="D816" s="31"/>
      <c r="E816" s="31"/>
    </row>
    <row r="817">
      <c r="A817" s="41"/>
      <c r="B817" s="41"/>
      <c r="C817" s="42"/>
      <c r="D817" s="31"/>
      <c r="E817" s="31"/>
    </row>
    <row r="818">
      <c r="A818" s="41"/>
      <c r="B818" s="41"/>
      <c r="C818" s="42"/>
      <c r="D818" s="31"/>
      <c r="E818" s="31"/>
    </row>
    <row r="819">
      <c r="A819" s="41"/>
      <c r="B819" s="41"/>
      <c r="C819" s="42"/>
      <c r="D819" s="31"/>
      <c r="E819" s="31"/>
    </row>
    <row r="820">
      <c r="A820" s="41"/>
      <c r="B820" s="41"/>
      <c r="C820" s="42"/>
      <c r="D820" s="31"/>
      <c r="E820" s="31"/>
    </row>
    <row r="821">
      <c r="A821" s="41"/>
      <c r="B821" s="41"/>
      <c r="C821" s="42"/>
      <c r="D821" s="31"/>
      <c r="E821" s="31"/>
    </row>
    <row r="822">
      <c r="A822" s="41"/>
      <c r="B822" s="41"/>
      <c r="C822" s="42"/>
      <c r="D822" s="31"/>
      <c r="E822" s="31"/>
    </row>
    <row r="823">
      <c r="A823" s="41"/>
      <c r="B823" s="41"/>
      <c r="C823" s="42"/>
      <c r="D823" s="31"/>
      <c r="E823" s="31"/>
    </row>
    <row r="824">
      <c r="A824" s="41"/>
      <c r="B824" s="41"/>
      <c r="C824" s="42"/>
      <c r="D824" s="31"/>
      <c r="E824" s="31"/>
    </row>
    <row r="825">
      <c r="A825" s="41"/>
      <c r="B825" s="41"/>
      <c r="C825" s="42"/>
      <c r="D825" s="31"/>
      <c r="E825" s="31"/>
    </row>
    <row r="826">
      <c r="A826" s="41"/>
      <c r="B826" s="41"/>
      <c r="C826" s="42"/>
      <c r="D826" s="31"/>
      <c r="E826" s="31"/>
    </row>
    <row r="827">
      <c r="A827" s="41"/>
      <c r="B827" s="41"/>
      <c r="C827" s="42"/>
      <c r="D827" s="31"/>
      <c r="E827" s="31"/>
    </row>
    <row r="828">
      <c r="A828" s="41"/>
      <c r="B828" s="41"/>
      <c r="C828" s="42"/>
      <c r="D828" s="31"/>
      <c r="E828" s="31"/>
    </row>
    <row r="829">
      <c r="A829" s="41"/>
      <c r="B829" s="41"/>
      <c r="C829" s="42"/>
      <c r="D829" s="31"/>
      <c r="E829" s="31"/>
    </row>
    <row r="830">
      <c r="A830" s="41"/>
      <c r="B830" s="41"/>
      <c r="C830" s="42"/>
      <c r="D830" s="31"/>
      <c r="E830" s="31"/>
    </row>
    <row r="831">
      <c r="A831" s="41"/>
      <c r="B831" s="41"/>
      <c r="C831" s="42"/>
      <c r="D831" s="31"/>
      <c r="E831" s="31"/>
    </row>
    <row r="832">
      <c r="A832" s="41"/>
      <c r="B832" s="41"/>
      <c r="C832" s="42"/>
      <c r="D832" s="31"/>
      <c r="E832" s="31"/>
    </row>
    <row r="833">
      <c r="A833" s="41"/>
      <c r="B833" s="41"/>
      <c r="C833" s="42"/>
      <c r="D833" s="31"/>
      <c r="E833" s="31"/>
    </row>
    <row r="834">
      <c r="A834" s="41"/>
      <c r="B834" s="41"/>
      <c r="C834" s="42"/>
      <c r="D834" s="31"/>
      <c r="E834" s="31"/>
    </row>
    <row r="835">
      <c r="A835" s="41"/>
      <c r="B835" s="41"/>
      <c r="C835" s="42"/>
      <c r="D835" s="31"/>
      <c r="E835" s="31"/>
    </row>
    <row r="836">
      <c r="A836" s="41"/>
      <c r="B836" s="41"/>
      <c r="C836" s="42"/>
      <c r="D836" s="31"/>
      <c r="E836" s="31"/>
    </row>
    <row r="837">
      <c r="A837" s="41"/>
      <c r="B837" s="41"/>
      <c r="C837" s="42"/>
      <c r="D837" s="31"/>
      <c r="E837" s="31"/>
    </row>
    <row r="838">
      <c r="A838" s="41"/>
      <c r="B838" s="41"/>
      <c r="C838" s="42"/>
      <c r="D838" s="31"/>
      <c r="E838" s="31"/>
    </row>
    <row r="839">
      <c r="A839" s="41"/>
      <c r="B839" s="41"/>
      <c r="C839" s="42"/>
      <c r="D839" s="31"/>
      <c r="E839" s="31"/>
    </row>
    <row r="840">
      <c r="A840" s="41"/>
      <c r="B840" s="41"/>
      <c r="C840" s="42"/>
      <c r="D840" s="31"/>
      <c r="E840" s="31"/>
    </row>
    <row r="841">
      <c r="A841" s="41"/>
      <c r="B841" s="41"/>
      <c r="C841" s="42"/>
      <c r="D841" s="31"/>
      <c r="E841" s="31"/>
    </row>
    <row r="842">
      <c r="A842" s="41"/>
      <c r="B842" s="41"/>
      <c r="C842" s="42"/>
      <c r="D842" s="31"/>
      <c r="E842" s="31"/>
    </row>
    <row r="843">
      <c r="A843" s="41"/>
      <c r="B843" s="41"/>
      <c r="C843" s="42"/>
      <c r="D843" s="31"/>
      <c r="E843" s="31"/>
    </row>
    <row r="844">
      <c r="A844" s="41"/>
      <c r="B844" s="41"/>
      <c r="C844" s="42"/>
      <c r="D844" s="31"/>
      <c r="E844" s="31"/>
    </row>
    <row r="845">
      <c r="A845" s="41"/>
      <c r="B845" s="41"/>
      <c r="C845" s="42"/>
      <c r="D845" s="31"/>
      <c r="E845" s="31"/>
    </row>
    <row r="846">
      <c r="A846" s="41"/>
      <c r="B846" s="41"/>
      <c r="C846" s="42"/>
      <c r="D846" s="31"/>
      <c r="E846" s="31"/>
    </row>
    <row r="847">
      <c r="A847" s="41"/>
      <c r="B847" s="41"/>
      <c r="C847" s="42"/>
      <c r="D847" s="31"/>
      <c r="E847" s="31"/>
    </row>
    <row r="848">
      <c r="A848" s="41"/>
      <c r="B848" s="41"/>
      <c r="C848" s="42"/>
      <c r="D848" s="31"/>
      <c r="E848" s="31"/>
    </row>
    <row r="849">
      <c r="A849" s="41"/>
      <c r="B849" s="41"/>
      <c r="C849" s="42"/>
      <c r="D849" s="31"/>
      <c r="E849" s="31"/>
    </row>
    <row r="850">
      <c r="A850" s="41"/>
      <c r="B850" s="41"/>
      <c r="C850" s="42"/>
      <c r="D850" s="31"/>
      <c r="E850" s="31"/>
    </row>
    <row r="851">
      <c r="A851" s="41"/>
      <c r="B851" s="41"/>
      <c r="C851" s="42"/>
      <c r="D851" s="31"/>
      <c r="E851" s="31"/>
    </row>
    <row r="852">
      <c r="A852" s="41"/>
      <c r="B852" s="41"/>
      <c r="C852" s="42"/>
      <c r="D852" s="31"/>
      <c r="E852" s="31"/>
    </row>
    <row r="853">
      <c r="A853" s="41"/>
      <c r="B853" s="41"/>
      <c r="C853" s="42"/>
      <c r="D853" s="31"/>
      <c r="E853" s="31"/>
    </row>
    <row r="854">
      <c r="A854" s="41"/>
      <c r="B854" s="41"/>
      <c r="C854" s="42"/>
      <c r="D854" s="31"/>
      <c r="E854" s="31"/>
    </row>
    <row r="855">
      <c r="A855" s="41"/>
      <c r="B855" s="41"/>
      <c r="C855" s="42"/>
      <c r="D855" s="31"/>
      <c r="E855" s="31"/>
    </row>
    <row r="856">
      <c r="A856" s="41"/>
      <c r="B856" s="41"/>
      <c r="C856" s="42"/>
      <c r="D856" s="31"/>
      <c r="E856" s="31"/>
    </row>
    <row r="857">
      <c r="A857" s="41"/>
      <c r="B857" s="41"/>
      <c r="C857" s="42"/>
      <c r="D857" s="31"/>
      <c r="E857" s="31"/>
    </row>
    <row r="858">
      <c r="A858" s="41"/>
      <c r="B858" s="41"/>
      <c r="C858" s="42"/>
      <c r="D858" s="31"/>
      <c r="E858" s="31"/>
    </row>
    <row r="859">
      <c r="A859" s="41"/>
      <c r="B859" s="41"/>
      <c r="C859" s="42"/>
      <c r="D859" s="31"/>
      <c r="E859" s="31"/>
    </row>
    <row r="860">
      <c r="A860" s="41"/>
      <c r="B860" s="41"/>
      <c r="C860" s="42"/>
      <c r="D860" s="31"/>
      <c r="E860" s="31"/>
    </row>
    <row r="861">
      <c r="A861" s="41"/>
      <c r="B861" s="41"/>
      <c r="C861" s="42"/>
      <c r="D861" s="31"/>
      <c r="E861" s="31"/>
    </row>
    <row r="862">
      <c r="A862" s="41"/>
      <c r="B862" s="41"/>
      <c r="C862" s="42"/>
      <c r="D862" s="31"/>
      <c r="E862" s="31"/>
    </row>
    <row r="863">
      <c r="A863" s="41"/>
      <c r="B863" s="41"/>
      <c r="C863" s="42"/>
      <c r="D863" s="31"/>
      <c r="E863" s="31"/>
    </row>
    <row r="864">
      <c r="A864" s="41"/>
      <c r="B864" s="41"/>
      <c r="C864" s="42"/>
      <c r="D864" s="31"/>
      <c r="E864" s="31"/>
    </row>
    <row r="865">
      <c r="A865" s="41"/>
      <c r="B865" s="41"/>
      <c r="C865" s="42"/>
      <c r="D865" s="31"/>
      <c r="E865" s="31"/>
    </row>
    <row r="866">
      <c r="A866" s="41"/>
      <c r="B866" s="41"/>
      <c r="C866" s="42"/>
      <c r="D866" s="31"/>
      <c r="E866" s="31"/>
    </row>
    <row r="867">
      <c r="A867" s="41"/>
      <c r="B867" s="41"/>
      <c r="C867" s="42"/>
      <c r="D867" s="31"/>
      <c r="E867" s="31"/>
    </row>
    <row r="868">
      <c r="A868" s="41"/>
      <c r="B868" s="41"/>
      <c r="C868" s="42"/>
      <c r="D868" s="31"/>
      <c r="E868" s="31"/>
    </row>
    <row r="869">
      <c r="A869" s="41"/>
      <c r="B869" s="41"/>
      <c r="C869" s="42"/>
      <c r="D869" s="31"/>
      <c r="E869" s="31"/>
    </row>
    <row r="870">
      <c r="A870" s="41"/>
      <c r="B870" s="41"/>
      <c r="C870" s="42"/>
      <c r="D870" s="31"/>
      <c r="E870" s="31"/>
    </row>
    <row r="871">
      <c r="A871" s="41"/>
      <c r="B871" s="41"/>
      <c r="C871" s="42"/>
      <c r="D871" s="31"/>
      <c r="E871" s="31"/>
    </row>
    <row r="872">
      <c r="A872" s="41"/>
      <c r="B872" s="41"/>
      <c r="C872" s="42"/>
      <c r="D872" s="31"/>
      <c r="E872" s="31"/>
    </row>
    <row r="873">
      <c r="A873" s="41"/>
      <c r="B873" s="41"/>
      <c r="C873" s="42"/>
      <c r="D873" s="31"/>
      <c r="E873" s="31"/>
    </row>
    <row r="874">
      <c r="A874" s="41"/>
      <c r="B874" s="41"/>
      <c r="C874" s="42"/>
      <c r="D874" s="31"/>
      <c r="E874" s="31"/>
    </row>
    <row r="875">
      <c r="A875" s="41"/>
      <c r="B875" s="41"/>
      <c r="C875" s="42"/>
      <c r="D875" s="31"/>
      <c r="E875" s="31"/>
    </row>
    <row r="876">
      <c r="A876" s="41"/>
      <c r="B876" s="41"/>
      <c r="C876" s="42"/>
      <c r="D876" s="31"/>
      <c r="E876" s="31"/>
    </row>
    <row r="877">
      <c r="A877" s="41"/>
      <c r="B877" s="41"/>
      <c r="C877" s="42"/>
      <c r="D877" s="31"/>
      <c r="E877" s="31"/>
    </row>
    <row r="878">
      <c r="A878" s="41"/>
      <c r="B878" s="41"/>
      <c r="C878" s="42"/>
      <c r="D878" s="31"/>
      <c r="E878" s="31"/>
    </row>
    <row r="879">
      <c r="A879" s="41"/>
      <c r="B879" s="41"/>
      <c r="C879" s="42"/>
      <c r="D879" s="31"/>
      <c r="E879" s="31"/>
    </row>
    <row r="880">
      <c r="A880" s="41"/>
      <c r="B880" s="41"/>
      <c r="C880" s="42"/>
      <c r="D880" s="31"/>
      <c r="E880" s="31"/>
    </row>
    <row r="881">
      <c r="A881" s="41"/>
      <c r="B881" s="41"/>
      <c r="C881" s="42"/>
      <c r="D881" s="31"/>
      <c r="E881" s="31"/>
    </row>
    <row r="882">
      <c r="A882" s="41"/>
      <c r="B882" s="41"/>
      <c r="C882" s="42"/>
      <c r="D882" s="31"/>
      <c r="E882" s="31"/>
    </row>
    <row r="883">
      <c r="A883" s="41"/>
      <c r="B883" s="41"/>
      <c r="C883" s="42"/>
      <c r="D883" s="31"/>
      <c r="E883" s="31"/>
    </row>
    <row r="884">
      <c r="A884" s="41"/>
      <c r="B884" s="41"/>
      <c r="C884" s="42"/>
      <c r="D884" s="31"/>
      <c r="E884" s="31"/>
    </row>
    <row r="885">
      <c r="A885" s="41"/>
      <c r="B885" s="41"/>
      <c r="C885" s="42"/>
      <c r="D885" s="31"/>
      <c r="E885" s="31"/>
    </row>
    <row r="886">
      <c r="A886" s="41"/>
      <c r="B886" s="41"/>
      <c r="C886" s="42"/>
      <c r="D886" s="31"/>
      <c r="E886" s="31"/>
    </row>
    <row r="887">
      <c r="A887" s="41"/>
      <c r="B887" s="41"/>
      <c r="C887" s="42"/>
      <c r="D887" s="31"/>
      <c r="E887" s="31"/>
    </row>
    <row r="888">
      <c r="A888" s="41"/>
      <c r="B888" s="41"/>
      <c r="C888" s="42"/>
      <c r="D888" s="31"/>
      <c r="E888" s="31"/>
    </row>
    <row r="889">
      <c r="A889" s="41"/>
      <c r="B889" s="41"/>
      <c r="C889" s="42"/>
      <c r="D889" s="31"/>
      <c r="E889" s="31"/>
    </row>
    <row r="890">
      <c r="A890" s="41"/>
      <c r="B890" s="41"/>
      <c r="C890" s="42"/>
      <c r="D890" s="31"/>
      <c r="E890" s="31"/>
    </row>
    <row r="891">
      <c r="A891" s="41"/>
      <c r="B891" s="41"/>
      <c r="C891" s="42"/>
      <c r="D891" s="31"/>
      <c r="E891" s="31"/>
    </row>
    <row r="892">
      <c r="A892" s="41"/>
      <c r="B892" s="41"/>
      <c r="C892" s="42"/>
      <c r="D892" s="31"/>
      <c r="E892" s="31"/>
    </row>
    <row r="893">
      <c r="A893" s="41"/>
      <c r="B893" s="41"/>
      <c r="C893" s="42"/>
      <c r="D893" s="31"/>
      <c r="E893" s="31"/>
    </row>
    <row r="894">
      <c r="A894" s="41"/>
      <c r="B894" s="41"/>
      <c r="C894" s="42"/>
      <c r="D894" s="31"/>
      <c r="E894" s="31"/>
    </row>
    <row r="895">
      <c r="A895" s="41"/>
      <c r="B895" s="41"/>
      <c r="C895" s="42"/>
      <c r="D895" s="31"/>
      <c r="E895" s="31"/>
    </row>
    <row r="896">
      <c r="A896" s="41"/>
      <c r="B896" s="41"/>
      <c r="C896" s="42"/>
      <c r="D896" s="31"/>
      <c r="E896" s="31"/>
    </row>
    <row r="897">
      <c r="A897" s="41"/>
      <c r="B897" s="41"/>
      <c r="C897" s="42"/>
      <c r="D897" s="31"/>
      <c r="E897" s="31"/>
    </row>
    <row r="898">
      <c r="A898" s="41"/>
      <c r="B898" s="41"/>
      <c r="C898" s="42"/>
      <c r="D898" s="31"/>
      <c r="E898" s="31"/>
    </row>
    <row r="899">
      <c r="A899" s="41"/>
      <c r="B899" s="41"/>
      <c r="C899" s="42"/>
      <c r="D899" s="31"/>
      <c r="E899" s="31"/>
    </row>
    <row r="900">
      <c r="A900" s="41"/>
      <c r="B900" s="41"/>
      <c r="C900" s="42"/>
      <c r="D900" s="31"/>
      <c r="E900" s="31"/>
    </row>
    <row r="901">
      <c r="A901" s="41"/>
      <c r="B901" s="41"/>
      <c r="C901" s="42"/>
      <c r="D901" s="31"/>
      <c r="E901" s="31"/>
    </row>
    <row r="902">
      <c r="A902" s="41"/>
      <c r="B902" s="41"/>
      <c r="C902" s="42"/>
      <c r="D902" s="31"/>
      <c r="E902" s="31"/>
    </row>
    <row r="903">
      <c r="A903" s="41"/>
      <c r="B903" s="41"/>
      <c r="C903" s="42"/>
      <c r="D903" s="31"/>
      <c r="E903" s="31"/>
    </row>
    <row r="904">
      <c r="A904" s="41"/>
      <c r="B904" s="41"/>
      <c r="C904" s="42"/>
      <c r="D904" s="31"/>
      <c r="E904" s="31"/>
    </row>
    <row r="905">
      <c r="A905" s="41"/>
      <c r="B905" s="41"/>
      <c r="C905" s="42"/>
      <c r="D905" s="31"/>
      <c r="E905" s="31"/>
    </row>
    <row r="906">
      <c r="A906" s="41"/>
      <c r="B906" s="41"/>
      <c r="C906" s="42"/>
      <c r="D906" s="31"/>
      <c r="E906" s="31"/>
    </row>
    <row r="907">
      <c r="A907" s="41"/>
      <c r="B907" s="41"/>
      <c r="C907" s="42"/>
      <c r="D907" s="31"/>
      <c r="E907" s="31"/>
    </row>
    <row r="908">
      <c r="A908" s="41"/>
      <c r="B908" s="41"/>
      <c r="C908" s="42"/>
      <c r="D908" s="31"/>
      <c r="E908" s="31"/>
    </row>
    <row r="909">
      <c r="A909" s="41"/>
      <c r="B909" s="41"/>
      <c r="C909" s="42"/>
      <c r="D909" s="31"/>
      <c r="E909" s="31"/>
    </row>
    <row r="910">
      <c r="A910" s="41"/>
      <c r="B910" s="41"/>
      <c r="C910" s="42"/>
      <c r="D910" s="31"/>
      <c r="E910" s="31"/>
    </row>
    <row r="911">
      <c r="A911" s="41"/>
      <c r="B911" s="41"/>
      <c r="C911" s="42"/>
      <c r="D911" s="31"/>
      <c r="E911" s="31"/>
    </row>
    <row r="912">
      <c r="A912" s="41"/>
      <c r="B912" s="41"/>
      <c r="C912" s="42"/>
      <c r="D912" s="31"/>
      <c r="E912" s="31"/>
    </row>
    <row r="913">
      <c r="A913" s="41"/>
      <c r="B913" s="41"/>
      <c r="C913" s="42"/>
      <c r="D913" s="31"/>
      <c r="E913" s="31"/>
    </row>
    <row r="914">
      <c r="A914" s="41"/>
      <c r="B914" s="41"/>
      <c r="C914" s="42"/>
      <c r="D914" s="31"/>
      <c r="E914" s="31"/>
    </row>
    <row r="915">
      <c r="A915" s="41"/>
      <c r="B915" s="41"/>
      <c r="C915" s="42"/>
      <c r="D915" s="31"/>
      <c r="E915" s="31"/>
    </row>
    <row r="916">
      <c r="A916" s="41"/>
      <c r="B916" s="41"/>
      <c r="C916" s="42"/>
      <c r="D916" s="31"/>
      <c r="E916" s="31"/>
    </row>
    <row r="917">
      <c r="A917" s="41"/>
      <c r="B917" s="41"/>
      <c r="C917" s="42"/>
      <c r="D917" s="31"/>
      <c r="E917" s="31"/>
    </row>
    <row r="918">
      <c r="A918" s="41"/>
      <c r="B918" s="41"/>
      <c r="C918" s="42"/>
      <c r="D918" s="31"/>
      <c r="E918" s="31"/>
    </row>
    <row r="919">
      <c r="A919" s="41"/>
      <c r="B919" s="41"/>
      <c r="C919" s="42"/>
      <c r="D919" s="31"/>
      <c r="E919" s="31"/>
    </row>
    <row r="920">
      <c r="A920" s="41"/>
      <c r="B920" s="41"/>
      <c r="C920" s="42"/>
      <c r="D920" s="31"/>
      <c r="E920" s="31"/>
    </row>
    <row r="921">
      <c r="A921" s="41"/>
      <c r="B921" s="41"/>
      <c r="C921" s="42"/>
      <c r="D921" s="31"/>
      <c r="E921" s="31"/>
    </row>
    <row r="922">
      <c r="A922" s="41"/>
      <c r="B922" s="41"/>
      <c r="C922" s="42"/>
      <c r="D922" s="31"/>
      <c r="E922" s="31"/>
    </row>
    <row r="923">
      <c r="A923" s="41"/>
      <c r="B923" s="41"/>
      <c r="C923" s="42"/>
      <c r="D923" s="31"/>
      <c r="E923" s="31"/>
    </row>
    <row r="924">
      <c r="A924" s="41"/>
      <c r="B924" s="41"/>
      <c r="C924" s="42"/>
      <c r="D924" s="31"/>
      <c r="E924" s="31"/>
    </row>
    <row r="925">
      <c r="A925" s="41"/>
      <c r="B925" s="41"/>
      <c r="C925" s="42"/>
      <c r="D925" s="31"/>
      <c r="E925" s="31"/>
    </row>
    <row r="926">
      <c r="A926" s="41"/>
      <c r="B926" s="41"/>
      <c r="C926" s="42"/>
      <c r="D926" s="31"/>
      <c r="E926" s="31"/>
    </row>
    <row r="927">
      <c r="A927" s="41"/>
      <c r="B927" s="41"/>
      <c r="C927" s="42"/>
      <c r="D927" s="31"/>
      <c r="E927" s="31"/>
    </row>
    <row r="928">
      <c r="A928" s="41"/>
      <c r="B928" s="41"/>
      <c r="C928" s="42"/>
      <c r="D928" s="31"/>
      <c r="E928" s="31"/>
    </row>
    <row r="929">
      <c r="A929" s="41"/>
      <c r="B929" s="41"/>
      <c r="C929" s="42"/>
      <c r="D929" s="31"/>
      <c r="E929" s="31"/>
    </row>
    <row r="930">
      <c r="A930" s="41"/>
      <c r="B930" s="41"/>
      <c r="C930" s="42"/>
      <c r="D930" s="31"/>
      <c r="E930" s="31"/>
    </row>
    <row r="931">
      <c r="A931" s="41"/>
      <c r="B931" s="41"/>
      <c r="C931" s="42"/>
      <c r="D931" s="31"/>
      <c r="E931" s="31"/>
    </row>
    <row r="932">
      <c r="A932" s="41"/>
      <c r="B932" s="41"/>
      <c r="C932" s="42"/>
      <c r="D932" s="31"/>
      <c r="E932" s="31"/>
    </row>
    <row r="933">
      <c r="A933" s="41"/>
      <c r="B933" s="41"/>
      <c r="C933" s="42"/>
      <c r="D933" s="31"/>
      <c r="E933" s="31"/>
    </row>
    <row r="934">
      <c r="A934" s="41"/>
      <c r="B934" s="41"/>
      <c r="C934" s="42"/>
      <c r="D934" s="31"/>
      <c r="E934" s="31"/>
    </row>
    <row r="935">
      <c r="A935" s="41"/>
      <c r="B935" s="41"/>
      <c r="C935" s="42"/>
      <c r="D935" s="31"/>
      <c r="E935" s="31"/>
    </row>
    <row r="936">
      <c r="A936" s="41"/>
      <c r="B936" s="41"/>
      <c r="C936" s="42"/>
      <c r="D936" s="31"/>
      <c r="E936" s="31"/>
    </row>
    <row r="937">
      <c r="A937" s="41"/>
      <c r="B937" s="41"/>
      <c r="C937" s="42"/>
      <c r="D937" s="31"/>
      <c r="E937" s="31"/>
    </row>
    <row r="938">
      <c r="A938" s="41"/>
      <c r="B938" s="41"/>
      <c r="C938" s="42"/>
      <c r="D938" s="31"/>
      <c r="E938" s="31"/>
    </row>
    <row r="939">
      <c r="A939" s="41"/>
      <c r="B939" s="41"/>
      <c r="C939" s="42"/>
      <c r="D939" s="31"/>
      <c r="E939" s="31"/>
    </row>
    <row r="940">
      <c r="A940" s="41"/>
      <c r="B940" s="41"/>
      <c r="C940" s="42"/>
      <c r="D940" s="31"/>
      <c r="E940" s="31"/>
    </row>
    <row r="941">
      <c r="A941" s="41"/>
      <c r="B941" s="41"/>
      <c r="C941" s="42"/>
      <c r="D941" s="31"/>
      <c r="E941" s="31"/>
    </row>
    <row r="942">
      <c r="A942" s="41"/>
      <c r="B942" s="41"/>
      <c r="C942" s="42"/>
      <c r="D942" s="31"/>
      <c r="E942" s="31"/>
    </row>
    <row r="943">
      <c r="A943" s="41"/>
      <c r="B943" s="41"/>
      <c r="C943" s="42"/>
      <c r="D943" s="31"/>
      <c r="E943" s="31"/>
    </row>
    <row r="944">
      <c r="A944" s="41"/>
      <c r="B944" s="41"/>
      <c r="C944" s="42"/>
      <c r="D944" s="31"/>
      <c r="E944" s="31"/>
    </row>
  </sheetData>
  <autoFilter ref="$A$2:$C$63">
    <sortState ref="A2:C63">
      <sortCondition ref="B2:B63"/>
    </sortState>
  </autoFilter>
  <mergeCells count="1">
    <mergeCell ref="A1:C1"/>
  </mergeCells>
  <dataValidations>
    <dataValidation type="list" allowBlank="1" showErrorMessage="1" sqref="B110:B944">
      <formula1>CLIENTES!$B$2:$B$862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4.5"/>
  </cols>
  <sheetData>
    <row r="1">
      <c r="A1" s="43" t="s">
        <v>662</v>
      </c>
      <c r="B1" s="6"/>
      <c r="C1" s="7"/>
      <c r="D1" s="31"/>
      <c r="E1" s="31"/>
    </row>
    <row r="2">
      <c r="A2" s="44" t="s">
        <v>608</v>
      </c>
      <c r="B2" s="28" t="s">
        <v>609</v>
      </c>
      <c r="C2" s="45" t="s">
        <v>610</v>
      </c>
      <c r="D2" s="30" t="s">
        <v>611</v>
      </c>
      <c r="E2" s="30" t="s">
        <v>612</v>
      </c>
    </row>
    <row r="3">
      <c r="A3" s="33">
        <v>46142.0</v>
      </c>
      <c r="B3" s="34" t="s">
        <v>663</v>
      </c>
      <c r="C3" s="46">
        <v>-49127.0</v>
      </c>
      <c r="D3" s="36"/>
      <c r="E3" s="36"/>
    </row>
    <row r="4">
      <c r="A4" s="47">
        <v>46347.0</v>
      </c>
      <c r="B4" s="34" t="s">
        <v>664</v>
      </c>
      <c r="C4" s="35">
        <v>-8858.0</v>
      </c>
      <c r="D4" s="36"/>
      <c r="E4" s="36"/>
    </row>
    <row r="5">
      <c r="A5" s="33">
        <v>46178.0</v>
      </c>
      <c r="B5" s="34" t="s">
        <v>665</v>
      </c>
      <c r="C5" s="35">
        <v>676408.0</v>
      </c>
      <c r="D5" s="30"/>
      <c r="E5" s="36"/>
    </row>
    <row r="6">
      <c r="A6" s="33">
        <v>46186.0</v>
      </c>
      <c r="B6" s="34" t="s">
        <v>666</v>
      </c>
      <c r="C6" s="35">
        <v>155447.0</v>
      </c>
      <c r="D6" s="36"/>
      <c r="E6" s="36"/>
    </row>
    <row r="7">
      <c r="A7" s="33">
        <v>46189.0</v>
      </c>
      <c r="B7" s="34" t="s">
        <v>667</v>
      </c>
      <c r="C7" s="35">
        <f>106295-55000</f>
        <v>51295</v>
      </c>
      <c r="D7" s="36"/>
      <c r="E7" s="36"/>
    </row>
    <row r="8">
      <c r="A8" s="47">
        <v>46189.0</v>
      </c>
      <c r="B8" s="34" t="s">
        <v>668</v>
      </c>
      <c r="C8" s="35">
        <v>640801.0</v>
      </c>
      <c r="D8" s="36"/>
      <c r="E8" s="36"/>
    </row>
    <row r="9">
      <c r="A9" s="33">
        <v>46191.0</v>
      </c>
      <c r="B9" s="34" t="s">
        <v>669</v>
      </c>
      <c r="C9" s="35">
        <f>2788056-1294382-29261</f>
        <v>1464413</v>
      </c>
      <c r="D9" s="36"/>
      <c r="E9" s="36"/>
    </row>
    <row r="10">
      <c r="A10" s="33">
        <v>46191.0</v>
      </c>
      <c r="B10" s="34" t="s">
        <v>670</v>
      </c>
      <c r="C10" s="35">
        <v>2326347.0</v>
      </c>
      <c r="D10" s="36"/>
      <c r="E10" s="36"/>
    </row>
    <row r="11">
      <c r="A11" s="33">
        <v>46191.0</v>
      </c>
      <c r="B11" s="34" t="s">
        <v>671</v>
      </c>
      <c r="C11" s="35">
        <f>994837-17556</f>
        <v>977281</v>
      </c>
      <c r="D11" s="36"/>
      <c r="E11" s="36"/>
      <c r="G11" s="48"/>
    </row>
    <row r="12">
      <c r="A12" s="33">
        <v>46191.0</v>
      </c>
      <c r="B12" s="34" t="s">
        <v>672</v>
      </c>
      <c r="C12" s="35">
        <v>853982.0</v>
      </c>
      <c r="D12" s="36"/>
      <c r="E12" s="36"/>
      <c r="G12" s="30"/>
    </row>
    <row r="13">
      <c r="A13" s="33">
        <v>46192.0</v>
      </c>
      <c r="B13" s="34" t="s">
        <v>673</v>
      </c>
      <c r="C13" s="35">
        <v>1036537.0</v>
      </c>
      <c r="D13" s="36"/>
      <c r="E13" s="36"/>
    </row>
    <row r="14">
      <c r="A14" s="33">
        <v>46192.0</v>
      </c>
      <c r="B14" s="34" t="s">
        <v>674</v>
      </c>
      <c r="C14" s="35">
        <v>667228.0</v>
      </c>
      <c r="D14" s="36"/>
      <c r="E14" s="36"/>
    </row>
    <row r="15">
      <c r="A15" s="33">
        <v>46192.0</v>
      </c>
      <c r="B15" s="34" t="s">
        <v>675</v>
      </c>
      <c r="C15" s="35">
        <v>426370.0</v>
      </c>
      <c r="D15" s="36"/>
      <c r="E15" s="36"/>
    </row>
    <row r="16">
      <c r="A16" s="33">
        <v>46192.0</v>
      </c>
      <c r="B16" s="34" t="s">
        <v>676</v>
      </c>
      <c r="C16" s="35">
        <v>460926.0</v>
      </c>
      <c r="D16" s="36"/>
      <c r="E16" s="36"/>
    </row>
    <row r="17">
      <c r="A17" s="33">
        <v>46192.0</v>
      </c>
      <c r="B17" s="34" t="s">
        <v>677</v>
      </c>
      <c r="C17" s="35">
        <v>1429293.0</v>
      </c>
      <c r="D17" s="36"/>
      <c r="E17" s="36"/>
      <c r="G17" s="49"/>
    </row>
    <row r="18">
      <c r="A18" s="33">
        <v>46192.0</v>
      </c>
      <c r="B18" s="34" t="s">
        <v>678</v>
      </c>
      <c r="C18" s="35">
        <v>1786964.0</v>
      </c>
      <c r="D18" s="36"/>
      <c r="E18" s="36"/>
    </row>
    <row r="19">
      <c r="A19" s="33">
        <v>46192.0</v>
      </c>
      <c r="B19" s="34" t="s">
        <v>678</v>
      </c>
      <c r="C19" s="35">
        <v>46875.0</v>
      </c>
      <c r="D19" s="36"/>
      <c r="E19" s="36"/>
    </row>
    <row r="20">
      <c r="A20" s="33">
        <v>46192.0</v>
      </c>
      <c r="B20" s="34" t="s">
        <v>679</v>
      </c>
      <c r="C20" s="35">
        <v>106869.0</v>
      </c>
      <c r="D20" s="36"/>
      <c r="E20" s="36"/>
    </row>
    <row r="21">
      <c r="A21" s="33">
        <v>46195.0</v>
      </c>
      <c r="B21" s="34" t="s">
        <v>680</v>
      </c>
      <c r="C21" s="35">
        <v>1290378.0</v>
      </c>
      <c r="D21" s="36"/>
      <c r="E21" s="36"/>
    </row>
    <row r="22">
      <c r="A22" s="33">
        <v>46195.0</v>
      </c>
      <c r="B22" s="34" t="s">
        <v>681</v>
      </c>
      <c r="C22" s="35">
        <v>610670.0</v>
      </c>
      <c r="D22" s="36"/>
      <c r="E22" s="36"/>
    </row>
    <row r="23">
      <c r="A23" s="33">
        <v>46195.0</v>
      </c>
      <c r="B23" s="34" t="s">
        <v>682</v>
      </c>
      <c r="C23" s="35">
        <v>791640.0</v>
      </c>
      <c r="D23" s="36"/>
      <c r="E23" s="36"/>
    </row>
    <row r="24">
      <c r="A24" s="33">
        <v>46195.0</v>
      </c>
      <c r="B24" s="34" t="s">
        <v>683</v>
      </c>
      <c r="C24" s="35">
        <v>328546.0</v>
      </c>
      <c r="D24" s="36"/>
      <c r="E24" s="36"/>
    </row>
    <row r="25">
      <c r="A25" s="33">
        <v>46195.0</v>
      </c>
      <c r="B25" s="34" t="s">
        <v>684</v>
      </c>
      <c r="C25" s="35">
        <v>1358486.0</v>
      </c>
      <c r="D25" s="36"/>
      <c r="E25" s="36"/>
    </row>
    <row r="26">
      <c r="A26" s="33">
        <v>46195.0</v>
      </c>
      <c r="B26" s="34" t="s">
        <v>685</v>
      </c>
      <c r="C26" s="35">
        <v>99965.0</v>
      </c>
      <c r="D26" s="36"/>
      <c r="E26" s="36"/>
    </row>
    <row r="27">
      <c r="A27" s="33">
        <v>46195.0</v>
      </c>
      <c r="B27" s="34" t="s">
        <v>686</v>
      </c>
      <c r="C27" s="35">
        <v>116548.0</v>
      </c>
      <c r="D27" s="36"/>
      <c r="E27" s="36"/>
    </row>
    <row r="28">
      <c r="A28" s="33">
        <v>46195.0</v>
      </c>
      <c r="B28" s="34" t="s">
        <v>687</v>
      </c>
      <c r="C28" s="35">
        <v>384932.0</v>
      </c>
      <c r="D28" s="36"/>
      <c r="E28" s="36"/>
    </row>
    <row r="29">
      <c r="A29" s="33">
        <v>46195.0</v>
      </c>
      <c r="B29" s="34" t="s">
        <v>688</v>
      </c>
      <c r="C29" s="35">
        <v>137059.0</v>
      </c>
      <c r="D29" s="36"/>
      <c r="E29" s="36"/>
    </row>
    <row r="30">
      <c r="A30" s="33">
        <v>46198.0</v>
      </c>
      <c r="B30" s="34" t="s">
        <v>676</v>
      </c>
      <c r="C30" s="35">
        <v>785803.0</v>
      </c>
      <c r="D30" s="36"/>
      <c r="E30" s="36"/>
    </row>
    <row r="31">
      <c r="A31" s="33">
        <v>46198.0</v>
      </c>
      <c r="B31" s="34" t="s">
        <v>689</v>
      </c>
      <c r="C31" s="35">
        <v>559130.0</v>
      </c>
      <c r="D31" s="36"/>
      <c r="E31" s="36"/>
    </row>
    <row r="32">
      <c r="A32" s="47">
        <v>46198.0</v>
      </c>
      <c r="B32" s="34" t="s">
        <v>690</v>
      </c>
      <c r="C32" s="35">
        <v>2204099.0</v>
      </c>
      <c r="D32" s="36"/>
      <c r="E32" s="36"/>
    </row>
    <row r="33">
      <c r="A33" s="33">
        <v>46198.0</v>
      </c>
      <c r="B33" s="34" t="s">
        <v>691</v>
      </c>
      <c r="C33" s="35">
        <v>555236.0</v>
      </c>
      <c r="D33" s="36"/>
      <c r="E33" s="36"/>
    </row>
    <row r="34">
      <c r="A34" s="33">
        <v>46198.0</v>
      </c>
      <c r="B34" s="34" t="s">
        <v>692</v>
      </c>
      <c r="C34" s="35">
        <f>396427-250000</f>
        <v>146427</v>
      </c>
      <c r="D34" s="36"/>
      <c r="E34" s="36"/>
    </row>
    <row r="35">
      <c r="A35" s="33">
        <v>46198.0</v>
      </c>
      <c r="B35" s="34" t="s">
        <v>693</v>
      </c>
      <c r="C35" s="35">
        <v>320226.0</v>
      </c>
      <c r="D35" s="36"/>
      <c r="E35" s="36"/>
    </row>
    <row r="36">
      <c r="A36" s="33">
        <v>46198.0</v>
      </c>
      <c r="B36" s="34" t="s">
        <v>694</v>
      </c>
      <c r="C36" s="35">
        <v>3392609.0</v>
      </c>
      <c r="D36" s="36"/>
      <c r="E36" s="36"/>
    </row>
    <row r="37">
      <c r="A37" s="33">
        <v>46198.0</v>
      </c>
      <c r="B37" s="34" t="s">
        <v>695</v>
      </c>
      <c r="C37" s="35">
        <v>158025.0</v>
      </c>
      <c r="D37" s="36"/>
      <c r="E37" s="36"/>
    </row>
    <row r="38">
      <c r="A38" s="33">
        <v>46198.0</v>
      </c>
      <c r="B38" s="34" t="s">
        <v>696</v>
      </c>
      <c r="C38" s="35">
        <v>912533.0</v>
      </c>
      <c r="D38" s="36"/>
      <c r="E38" s="36"/>
    </row>
    <row r="39">
      <c r="A39" s="33">
        <v>46198.0</v>
      </c>
      <c r="B39" s="34" t="s">
        <v>697</v>
      </c>
      <c r="C39" s="35">
        <v>262745.0</v>
      </c>
      <c r="D39" s="36"/>
      <c r="E39" s="36"/>
    </row>
    <row r="40">
      <c r="A40" s="33">
        <v>46199.0</v>
      </c>
      <c r="B40" s="34" t="s">
        <v>698</v>
      </c>
      <c r="C40" s="35">
        <v>259433.0</v>
      </c>
      <c r="D40" s="36"/>
      <c r="E40" s="36"/>
    </row>
    <row r="41">
      <c r="A41" s="33">
        <v>46199.0</v>
      </c>
      <c r="B41" s="34" t="s">
        <v>699</v>
      </c>
      <c r="C41" s="35">
        <v>236994.0</v>
      </c>
      <c r="D41" s="30"/>
      <c r="E41" s="36"/>
    </row>
    <row r="42">
      <c r="A42" s="33">
        <v>46199.0</v>
      </c>
      <c r="B42" s="34" t="s">
        <v>700</v>
      </c>
      <c r="C42" s="35">
        <v>949130.0</v>
      </c>
      <c r="D42" s="36"/>
      <c r="E42" s="36"/>
    </row>
    <row r="43">
      <c r="A43" s="33">
        <v>46196.0</v>
      </c>
      <c r="B43" s="34" t="s">
        <v>665</v>
      </c>
      <c r="C43" s="35">
        <v>67640.0</v>
      </c>
      <c r="D43" s="36"/>
      <c r="E43" s="36"/>
    </row>
    <row r="44">
      <c r="A44" s="33">
        <v>46199.0</v>
      </c>
      <c r="B44" s="34" t="s">
        <v>701</v>
      </c>
      <c r="C44" s="35">
        <v>664151.0</v>
      </c>
      <c r="D44" s="36"/>
      <c r="E44" s="36"/>
    </row>
    <row r="45">
      <c r="A45" s="33">
        <v>46199.0</v>
      </c>
      <c r="B45" s="34" t="s">
        <v>702</v>
      </c>
      <c r="C45" s="35">
        <v>125275.0</v>
      </c>
      <c r="D45" s="36"/>
      <c r="E45" s="36"/>
    </row>
    <row r="46">
      <c r="A46" s="33">
        <v>46199.0</v>
      </c>
      <c r="B46" s="34" t="s">
        <v>676</v>
      </c>
      <c r="C46" s="35">
        <v>148500.0</v>
      </c>
      <c r="D46" s="36"/>
      <c r="E46" s="36"/>
    </row>
    <row r="47">
      <c r="A47" s="33">
        <v>46199.0</v>
      </c>
      <c r="B47" s="34" t="s">
        <v>703</v>
      </c>
      <c r="C47" s="35">
        <v>431598.0</v>
      </c>
      <c r="D47" s="36"/>
      <c r="E47" s="36"/>
    </row>
    <row r="48">
      <c r="A48" s="33">
        <v>46200.0</v>
      </c>
      <c r="B48" s="34" t="s">
        <v>704</v>
      </c>
      <c r="C48" s="35">
        <f>3216965-2500000</f>
        <v>716965</v>
      </c>
      <c r="D48" s="36"/>
      <c r="E48" s="36"/>
    </row>
    <row r="49">
      <c r="A49" s="33">
        <v>46200.0</v>
      </c>
      <c r="B49" s="34" t="s">
        <v>666</v>
      </c>
      <c r="C49" s="35">
        <v>15544.0</v>
      </c>
      <c r="D49" s="36"/>
      <c r="E49" s="36"/>
    </row>
    <row r="50">
      <c r="A50" s="33">
        <v>46202.0</v>
      </c>
      <c r="B50" s="34" t="s">
        <v>705</v>
      </c>
      <c r="C50" s="35">
        <v>92969.0</v>
      </c>
      <c r="D50" s="36"/>
      <c r="E50" s="36"/>
    </row>
    <row r="51">
      <c r="A51" s="33">
        <v>46202.0</v>
      </c>
      <c r="B51" s="34" t="s">
        <v>706</v>
      </c>
      <c r="C51" s="35">
        <f>338061-60000</f>
        <v>278061</v>
      </c>
      <c r="D51" s="36"/>
      <c r="E51" s="36"/>
    </row>
    <row r="52">
      <c r="A52" s="33">
        <v>46202.0</v>
      </c>
      <c r="B52" s="34" t="s">
        <v>707</v>
      </c>
      <c r="C52" s="35">
        <f>735338-57249</f>
        <v>678089</v>
      </c>
      <c r="D52" s="36"/>
      <c r="E52" s="36"/>
    </row>
    <row r="53">
      <c r="A53" s="33">
        <v>46202.0</v>
      </c>
      <c r="B53" s="34" t="s">
        <v>708</v>
      </c>
      <c r="C53" s="35">
        <f>516408-4240</f>
        <v>512168</v>
      </c>
      <c r="D53" s="36"/>
      <c r="E53" s="36"/>
    </row>
    <row r="54">
      <c r="A54" s="33">
        <v>46202.0</v>
      </c>
      <c r="B54" s="34" t="s">
        <v>709</v>
      </c>
      <c r="C54" s="35">
        <f>213600-90000</f>
        <v>123600</v>
      </c>
      <c r="D54" s="36"/>
      <c r="E54" s="36"/>
    </row>
    <row r="55">
      <c r="A55" s="33"/>
      <c r="B55" s="34"/>
      <c r="C55" s="35"/>
      <c r="D55" s="36"/>
      <c r="E55" s="36"/>
    </row>
    <row r="56">
      <c r="A56" s="33"/>
      <c r="B56" s="34"/>
      <c r="C56" s="35"/>
      <c r="D56" s="36"/>
      <c r="E56" s="36"/>
    </row>
    <row r="57">
      <c r="A57" s="33"/>
      <c r="B57" s="34"/>
      <c r="C57" s="35"/>
      <c r="D57" s="36"/>
      <c r="E57" s="36"/>
    </row>
    <row r="58">
      <c r="A58" s="33"/>
      <c r="B58" s="34"/>
      <c r="C58" s="35"/>
      <c r="D58" s="36"/>
      <c r="E58" s="36"/>
    </row>
    <row r="59">
      <c r="A59" s="50"/>
      <c r="B59" s="34"/>
      <c r="C59" s="51"/>
      <c r="D59" s="31"/>
      <c r="E59" s="31"/>
    </row>
    <row r="60">
      <c r="A60" s="50"/>
      <c r="B60" s="34"/>
      <c r="C60" s="51"/>
      <c r="D60" s="31"/>
      <c r="E60" s="31"/>
    </row>
    <row r="61">
      <c r="A61" s="52"/>
      <c r="B61" s="34"/>
      <c r="C61" s="53"/>
      <c r="D61" s="54"/>
      <c r="E61" s="54"/>
    </row>
    <row r="62">
      <c r="A62" s="55"/>
      <c r="B62" s="34"/>
      <c r="C62" s="53"/>
      <c r="D62" s="54"/>
      <c r="E62" s="54"/>
    </row>
    <row r="63">
      <c r="A63" s="52"/>
      <c r="B63" s="34"/>
      <c r="C63" s="53"/>
      <c r="D63" s="54"/>
      <c r="E63" s="54"/>
    </row>
    <row r="64">
      <c r="A64" s="52"/>
      <c r="B64" s="34"/>
      <c r="C64" s="53"/>
      <c r="D64" s="54"/>
      <c r="E64" s="54"/>
    </row>
    <row r="65">
      <c r="A65" s="52"/>
      <c r="B65" s="34"/>
      <c r="C65" s="53"/>
      <c r="D65" s="54"/>
      <c r="E65" s="54"/>
    </row>
    <row r="66">
      <c r="A66" s="50"/>
      <c r="B66" s="34"/>
      <c r="C66" s="51"/>
      <c r="D66" s="31"/>
      <c r="E66" s="31"/>
    </row>
    <row r="67">
      <c r="A67" s="50"/>
      <c r="B67" s="34"/>
      <c r="C67" s="51"/>
      <c r="D67" s="31"/>
      <c r="E67" s="31"/>
    </row>
    <row r="68">
      <c r="A68" s="50"/>
      <c r="B68" s="34"/>
      <c r="C68" s="51"/>
      <c r="D68" s="31"/>
      <c r="E68" s="31"/>
    </row>
    <row r="69">
      <c r="A69" s="50"/>
      <c r="B69" s="34"/>
      <c r="C69" s="51"/>
      <c r="D69" s="31"/>
      <c r="E69" s="31"/>
    </row>
    <row r="70">
      <c r="A70" s="50"/>
      <c r="B70" s="34"/>
      <c r="C70" s="51"/>
      <c r="D70" s="31"/>
      <c r="E70" s="31"/>
    </row>
    <row r="71">
      <c r="A71" s="52"/>
      <c r="B71" s="34"/>
      <c r="C71" s="53"/>
      <c r="D71" s="54"/>
      <c r="E71" s="54"/>
    </row>
    <row r="72">
      <c r="A72" s="52"/>
      <c r="B72" s="34"/>
      <c r="C72" s="53"/>
      <c r="D72" s="54"/>
      <c r="E72" s="54"/>
    </row>
    <row r="73">
      <c r="A73" s="50"/>
      <c r="B73" s="34"/>
      <c r="C73" s="51"/>
      <c r="D73" s="31"/>
      <c r="E73" s="31"/>
    </row>
    <row r="74">
      <c r="A74" s="50"/>
      <c r="B74" s="34"/>
      <c r="C74" s="51"/>
      <c r="D74" s="31"/>
      <c r="E74" s="31"/>
    </row>
    <row r="75">
      <c r="A75" s="56"/>
      <c r="B75" s="34"/>
      <c r="C75" s="56"/>
    </row>
    <row r="76">
      <c r="A76" s="56"/>
      <c r="B76" s="34"/>
      <c r="C76" s="56"/>
    </row>
    <row r="77">
      <c r="A77" s="56"/>
      <c r="B77" s="34"/>
      <c r="C77" s="56"/>
    </row>
    <row r="78">
      <c r="A78" s="56"/>
      <c r="B78" s="34"/>
      <c r="C78" s="56"/>
    </row>
    <row r="79">
      <c r="A79" s="56"/>
      <c r="B79" s="34"/>
      <c r="C79" s="56"/>
    </row>
    <row r="80">
      <c r="A80" s="56"/>
      <c r="B80" s="34"/>
      <c r="C80" s="56"/>
    </row>
    <row r="81">
      <c r="A81" s="56"/>
      <c r="B81" s="34"/>
      <c r="C81" s="56"/>
    </row>
    <row r="82">
      <c r="A82" s="56"/>
      <c r="B82" s="34"/>
      <c r="C82" s="56"/>
    </row>
    <row r="83">
      <c r="A83" s="56"/>
      <c r="B83" s="34"/>
      <c r="C83" s="56"/>
    </row>
    <row r="84">
      <c r="A84" s="56"/>
      <c r="B84" s="34"/>
      <c r="C84" s="56"/>
    </row>
    <row r="85">
      <c r="A85" s="56"/>
      <c r="B85" s="34"/>
      <c r="C85" s="56"/>
    </row>
    <row r="86">
      <c r="A86" s="56"/>
      <c r="B86" s="34"/>
      <c r="C86" s="56"/>
    </row>
    <row r="87">
      <c r="A87" s="56"/>
      <c r="B87" s="34"/>
      <c r="C87" s="56"/>
    </row>
    <row r="88">
      <c r="A88" s="56"/>
      <c r="B88" s="34"/>
      <c r="C88" s="56"/>
    </row>
    <row r="89">
      <c r="A89" s="56"/>
      <c r="B89" s="34"/>
      <c r="C89" s="56"/>
    </row>
    <row r="90">
      <c r="A90" s="56"/>
      <c r="B90" s="34"/>
      <c r="C90" s="56"/>
    </row>
    <row r="91">
      <c r="A91" s="56"/>
      <c r="B91" s="34"/>
      <c r="C91" s="56"/>
    </row>
    <row r="92">
      <c r="A92" s="56"/>
      <c r="B92" s="34"/>
      <c r="C92" s="56"/>
    </row>
    <row r="93">
      <c r="A93" s="56"/>
      <c r="B93" s="34"/>
      <c r="C93" s="56"/>
    </row>
    <row r="94">
      <c r="A94" s="56"/>
      <c r="B94" s="34"/>
      <c r="C94" s="56"/>
    </row>
    <row r="95">
      <c r="A95" s="56"/>
      <c r="B95" s="34"/>
      <c r="C95" s="56"/>
    </row>
    <row r="96">
      <c r="A96" s="56"/>
      <c r="B96" s="34"/>
      <c r="C96" s="56"/>
    </row>
    <row r="97">
      <c r="A97" s="56"/>
      <c r="B97" s="34"/>
      <c r="C97" s="56"/>
    </row>
    <row r="98">
      <c r="A98" s="56"/>
      <c r="B98" s="34"/>
      <c r="C98" s="56"/>
    </row>
    <row r="99">
      <c r="A99" s="56"/>
      <c r="B99" s="34"/>
      <c r="C99" s="56"/>
    </row>
    <row r="100">
      <c r="A100" s="56"/>
      <c r="B100" s="34"/>
      <c r="C100" s="56"/>
    </row>
    <row r="101">
      <c r="A101" s="56"/>
      <c r="B101" s="34"/>
      <c r="C101" s="56"/>
    </row>
    <row r="102">
      <c r="A102" s="56"/>
      <c r="B102" s="34"/>
      <c r="C102" s="56"/>
    </row>
    <row r="103">
      <c r="A103" s="56"/>
      <c r="B103" s="34"/>
      <c r="C103" s="56"/>
    </row>
    <row r="104">
      <c r="A104" s="56"/>
      <c r="B104" s="34"/>
      <c r="C104" s="56"/>
    </row>
    <row r="105">
      <c r="A105" s="56"/>
      <c r="B105" s="34"/>
      <c r="C105" s="56"/>
    </row>
    <row r="106">
      <c r="A106" s="56"/>
      <c r="B106" s="34"/>
      <c r="C106" s="56"/>
    </row>
    <row r="107">
      <c r="A107" s="56"/>
      <c r="B107" s="34"/>
      <c r="C107" s="56"/>
    </row>
    <row r="108">
      <c r="A108" s="56"/>
      <c r="B108" s="34"/>
      <c r="C108" s="56"/>
    </row>
    <row r="109">
      <c r="A109" s="56"/>
      <c r="B109" s="34"/>
      <c r="C109" s="56"/>
    </row>
    <row r="110">
      <c r="A110" s="56"/>
      <c r="B110" s="34"/>
      <c r="C110" s="56"/>
    </row>
    <row r="111">
      <c r="A111" s="56"/>
      <c r="B111" s="34"/>
      <c r="C111" s="56"/>
    </row>
    <row r="112">
      <c r="A112" s="56"/>
      <c r="B112" s="34"/>
      <c r="C112" s="56"/>
    </row>
    <row r="113">
      <c r="A113" s="56"/>
      <c r="B113" s="34"/>
      <c r="C113" s="56"/>
    </row>
    <row r="114">
      <c r="A114" s="56"/>
      <c r="B114" s="34"/>
      <c r="C114" s="56"/>
    </row>
    <row r="115">
      <c r="A115" s="56"/>
      <c r="B115" s="34"/>
      <c r="C115" s="56"/>
    </row>
    <row r="116">
      <c r="A116" s="56"/>
      <c r="B116" s="34"/>
      <c r="C116" s="56"/>
    </row>
    <row r="117">
      <c r="A117" s="56"/>
      <c r="B117" s="56"/>
      <c r="C117" s="56"/>
    </row>
    <row r="118">
      <c r="A118" s="56"/>
      <c r="B118" s="56"/>
      <c r="C118" s="56"/>
    </row>
    <row r="119">
      <c r="A119" s="56"/>
      <c r="B119" s="56"/>
      <c r="C119" s="56"/>
    </row>
    <row r="120">
      <c r="A120" s="56"/>
      <c r="B120" s="56"/>
      <c r="C120" s="56"/>
    </row>
    <row r="121">
      <c r="A121" s="56"/>
      <c r="B121" s="56"/>
      <c r="C121" s="56"/>
    </row>
    <row r="122">
      <c r="A122" s="56"/>
      <c r="B122" s="56"/>
      <c r="C122" s="56"/>
    </row>
    <row r="123">
      <c r="A123" s="56"/>
      <c r="B123" s="56"/>
      <c r="C123" s="56"/>
    </row>
    <row r="124">
      <c r="A124" s="56"/>
      <c r="B124" s="56"/>
      <c r="C124" s="56"/>
    </row>
    <row r="125">
      <c r="A125" s="56"/>
      <c r="B125" s="56"/>
      <c r="C125" s="56"/>
    </row>
    <row r="126">
      <c r="A126" s="56"/>
      <c r="B126" s="56"/>
      <c r="C126" s="56"/>
    </row>
    <row r="127">
      <c r="A127" s="56"/>
      <c r="B127" s="56"/>
      <c r="C127" s="56"/>
    </row>
    <row r="128">
      <c r="A128" s="56"/>
      <c r="B128" s="56"/>
      <c r="C128" s="56"/>
    </row>
    <row r="129">
      <c r="A129" s="56"/>
      <c r="B129" s="56"/>
      <c r="C129" s="56"/>
    </row>
    <row r="130">
      <c r="A130" s="56"/>
      <c r="B130" s="56"/>
      <c r="C130" s="56"/>
    </row>
    <row r="131">
      <c r="A131" s="56"/>
      <c r="B131" s="56"/>
      <c r="C131" s="56"/>
    </row>
    <row r="132">
      <c r="A132" s="56"/>
      <c r="B132" s="56"/>
      <c r="C132" s="56"/>
    </row>
    <row r="133">
      <c r="A133" s="56"/>
      <c r="B133" s="56"/>
      <c r="C133" s="56"/>
    </row>
    <row r="134">
      <c r="A134" s="56"/>
      <c r="B134" s="56"/>
      <c r="C134" s="56"/>
    </row>
    <row r="135">
      <c r="A135" s="56"/>
      <c r="B135" s="56"/>
      <c r="C135" s="56"/>
    </row>
    <row r="136">
      <c r="A136" s="56"/>
      <c r="B136" s="56"/>
      <c r="C136" s="56"/>
    </row>
    <row r="137">
      <c r="A137" s="56"/>
      <c r="B137" s="56"/>
      <c r="C137" s="56"/>
    </row>
    <row r="138">
      <c r="A138" s="56"/>
      <c r="B138" s="56"/>
      <c r="C138" s="56"/>
    </row>
    <row r="139">
      <c r="A139" s="56"/>
      <c r="B139" s="56"/>
      <c r="C139" s="56"/>
    </row>
    <row r="140">
      <c r="A140" s="56"/>
      <c r="B140" s="56"/>
      <c r="C140" s="56"/>
    </row>
    <row r="141">
      <c r="A141" s="56"/>
      <c r="B141" s="56"/>
      <c r="C141" s="56"/>
    </row>
    <row r="142">
      <c r="A142" s="56"/>
      <c r="B142" s="56"/>
      <c r="C142" s="56"/>
    </row>
    <row r="143">
      <c r="A143" s="56"/>
      <c r="B143" s="56"/>
      <c r="C143" s="56"/>
    </row>
    <row r="144">
      <c r="A144" s="56"/>
      <c r="B144" s="56"/>
      <c r="C144" s="56"/>
    </row>
    <row r="145">
      <c r="A145" s="56"/>
      <c r="B145" s="56"/>
      <c r="C145" s="56"/>
    </row>
    <row r="146">
      <c r="A146" s="56"/>
      <c r="B146" s="56"/>
      <c r="C146" s="56"/>
    </row>
    <row r="147">
      <c r="A147" s="56"/>
      <c r="B147" s="56"/>
      <c r="C147" s="56"/>
    </row>
    <row r="148">
      <c r="A148" s="56"/>
      <c r="B148" s="56"/>
      <c r="C148" s="56"/>
    </row>
    <row r="149">
      <c r="A149" s="56"/>
      <c r="B149" s="56"/>
      <c r="C149" s="56"/>
    </row>
    <row r="150">
      <c r="A150" s="56"/>
      <c r="B150" s="56"/>
      <c r="C150" s="56"/>
    </row>
    <row r="151">
      <c r="A151" s="56"/>
      <c r="B151" s="56"/>
      <c r="C151" s="56"/>
    </row>
    <row r="152">
      <c r="A152" s="56"/>
      <c r="B152" s="56"/>
      <c r="C152" s="56"/>
    </row>
    <row r="153">
      <c r="A153" s="56"/>
      <c r="B153" s="56"/>
      <c r="C153" s="56"/>
    </row>
    <row r="154">
      <c r="A154" s="56"/>
      <c r="B154" s="56"/>
      <c r="C154" s="56"/>
    </row>
    <row r="155">
      <c r="A155" s="56"/>
      <c r="B155" s="56"/>
      <c r="C155" s="56"/>
    </row>
    <row r="156">
      <c r="A156" s="56"/>
      <c r="B156" s="56"/>
      <c r="C156" s="56"/>
    </row>
    <row r="157">
      <c r="A157" s="56"/>
      <c r="B157" s="56"/>
      <c r="C157" s="56"/>
    </row>
    <row r="158">
      <c r="A158" s="56"/>
      <c r="B158" s="56"/>
      <c r="C158" s="56"/>
    </row>
    <row r="159">
      <c r="A159" s="56"/>
      <c r="B159" s="56"/>
      <c r="C159" s="56"/>
    </row>
    <row r="160">
      <c r="A160" s="56"/>
      <c r="B160" s="56"/>
      <c r="C160" s="56"/>
    </row>
    <row r="161">
      <c r="A161" s="56"/>
      <c r="B161" s="56"/>
      <c r="C161" s="56"/>
    </row>
    <row r="162">
      <c r="A162" s="56"/>
      <c r="B162" s="56"/>
      <c r="C162" s="56"/>
    </row>
    <row r="163">
      <c r="A163" s="56"/>
      <c r="B163" s="56"/>
      <c r="C163" s="56"/>
    </row>
    <row r="164">
      <c r="A164" s="56"/>
      <c r="B164" s="56"/>
      <c r="C164" s="56"/>
    </row>
    <row r="165">
      <c r="A165" s="56"/>
      <c r="B165" s="56"/>
      <c r="C165" s="56"/>
    </row>
    <row r="166">
      <c r="A166" s="56"/>
      <c r="B166" s="56"/>
      <c r="C166" s="56"/>
    </row>
    <row r="167">
      <c r="A167" s="56"/>
      <c r="B167" s="56"/>
      <c r="C167" s="56"/>
    </row>
    <row r="168">
      <c r="A168" s="56"/>
      <c r="B168" s="56"/>
      <c r="C168" s="56"/>
    </row>
    <row r="169">
      <c r="A169" s="56"/>
      <c r="B169" s="56"/>
      <c r="C169" s="56"/>
    </row>
    <row r="170">
      <c r="A170" s="56"/>
      <c r="B170" s="56"/>
      <c r="C170" s="56"/>
    </row>
    <row r="171">
      <c r="A171" s="56"/>
      <c r="B171" s="56"/>
      <c r="C171" s="56"/>
    </row>
    <row r="172">
      <c r="A172" s="56"/>
      <c r="B172" s="56"/>
      <c r="C172" s="56"/>
    </row>
    <row r="173">
      <c r="A173" s="56"/>
      <c r="B173" s="56"/>
      <c r="C173" s="56"/>
    </row>
    <row r="174">
      <c r="A174" s="56"/>
      <c r="B174" s="56"/>
      <c r="C174" s="56"/>
    </row>
    <row r="175">
      <c r="A175" s="56"/>
      <c r="B175" s="56"/>
      <c r="C175" s="56"/>
    </row>
    <row r="176">
      <c r="A176" s="56"/>
      <c r="B176" s="56"/>
      <c r="C176" s="56"/>
    </row>
    <row r="177">
      <c r="A177" s="56"/>
      <c r="B177" s="56"/>
      <c r="C177" s="56"/>
    </row>
    <row r="178">
      <c r="A178" s="56"/>
      <c r="B178" s="56"/>
      <c r="C178" s="56"/>
    </row>
    <row r="179">
      <c r="A179" s="56"/>
      <c r="B179" s="56"/>
      <c r="C179" s="56"/>
    </row>
    <row r="180">
      <c r="A180" s="56"/>
      <c r="B180" s="56"/>
      <c r="C180" s="56"/>
    </row>
    <row r="181">
      <c r="A181" s="56"/>
      <c r="B181" s="56"/>
      <c r="C181" s="56"/>
    </row>
    <row r="182">
      <c r="A182" s="56"/>
      <c r="B182" s="56"/>
      <c r="C182" s="56"/>
    </row>
    <row r="183">
      <c r="A183" s="56"/>
      <c r="B183" s="56"/>
      <c r="C183" s="56"/>
    </row>
    <row r="184">
      <c r="A184" s="56"/>
      <c r="B184" s="56"/>
      <c r="C184" s="56"/>
    </row>
    <row r="185">
      <c r="A185" s="56"/>
      <c r="B185" s="56"/>
      <c r="C185" s="56"/>
    </row>
    <row r="186">
      <c r="A186" s="56"/>
      <c r="B186" s="56"/>
      <c r="C186" s="56"/>
    </row>
    <row r="187">
      <c r="A187" s="56"/>
      <c r="B187" s="56"/>
      <c r="C187" s="56"/>
    </row>
    <row r="188">
      <c r="A188" s="56"/>
      <c r="B188" s="56"/>
      <c r="C188" s="56"/>
    </row>
    <row r="189">
      <c r="A189" s="56"/>
      <c r="B189" s="56"/>
      <c r="C189" s="56"/>
    </row>
    <row r="190">
      <c r="A190" s="56"/>
      <c r="B190" s="56"/>
      <c r="C190" s="56"/>
    </row>
    <row r="191">
      <c r="A191" s="56"/>
      <c r="B191" s="56"/>
      <c r="C191" s="56"/>
    </row>
    <row r="192">
      <c r="A192" s="56"/>
      <c r="B192" s="56"/>
      <c r="C192" s="56"/>
    </row>
    <row r="193">
      <c r="A193" s="56"/>
      <c r="B193" s="56"/>
      <c r="C193" s="56"/>
    </row>
    <row r="194">
      <c r="A194" s="56"/>
      <c r="B194" s="56"/>
      <c r="C194" s="56"/>
    </row>
    <row r="195">
      <c r="A195" s="56"/>
      <c r="B195" s="56"/>
      <c r="C195" s="56"/>
    </row>
    <row r="196">
      <c r="A196" s="56"/>
      <c r="B196" s="56"/>
      <c r="C196" s="56"/>
    </row>
    <row r="197">
      <c r="A197" s="56"/>
      <c r="B197" s="56"/>
      <c r="C197" s="56"/>
    </row>
    <row r="198">
      <c r="A198" s="56"/>
      <c r="B198" s="56"/>
      <c r="C198" s="56"/>
    </row>
    <row r="199">
      <c r="A199" s="56"/>
      <c r="B199" s="56"/>
      <c r="C199" s="56"/>
    </row>
    <row r="200">
      <c r="A200" s="56"/>
      <c r="B200" s="56"/>
      <c r="C200" s="56"/>
    </row>
    <row r="201">
      <c r="A201" s="56"/>
      <c r="B201" s="56"/>
      <c r="C201" s="56"/>
    </row>
    <row r="202">
      <c r="A202" s="56"/>
      <c r="B202" s="56"/>
      <c r="C202" s="56"/>
    </row>
    <row r="203">
      <c r="A203" s="56"/>
      <c r="B203" s="56"/>
      <c r="C203" s="56"/>
    </row>
    <row r="204">
      <c r="A204" s="56"/>
      <c r="B204" s="56"/>
      <c r="C204" s="56"/>
    </row>
    <row r="205">
      <c r="A205" s="56"/>
      <c r="B205" s="56"/>
      <c r="C205" s="56"/>
    </row>
    <row r="206">
      <c r="A206" s="56"/>
      <c r="B206" s="56"/>
      <c r="C206" s="56"/>
    </row>
    <row r="207">
      <c r="A207" s="56"/>
      <c r="B207" s="56"/>
      <c r="C207" s="56"/>
    </row>
    <row r="208">
      <c r="A208" s="56"/>
      <c r="B208" s="56"/>
      <c r="C208" s="56"/>
    </row>
    <row r="209">
      <c r="A209" s="56"/>
      <c r="B209" s="56"/>
      <c r="C209" s="56"/>
    </row>
    <row r="210">
      <c r="A210" s="56"/>
      <c r="B210" s="56"/>
      <c r="C210" s="56"/>
    </row>
    <row r="211">
      <c r="A211" s="56"/>
      <c r="B211" s="56"/>
      <c r="C211" s="56"/>
    </row>
    <row r="212">
      <c r="A212" s="56"/>
      <c r="B212" s="56"/>
      <c r="C212" s="56"/>
    </row>
    <row r="213">
      <c r="A213" s="56"/>
      <c r="B213" s="56"/>
      <c r="C213" s="56"/>
    </row>
    <row r="214">
      <c r="A214" s="56"/>
      <c r="B214" s="56"/>
      <c r="C214" s="56"/>
    </row>
    <row r="215">
      <c r="A215" s="56"/>
      <c r="B215" s="56"/>
      <c r="C215" s="56"/>
    </row>
    <row r="216">
      <c r="A216" s="56"/>
      <c r="B216" s="56"/>
      <c r="C216" s="56"/>
    </row>
    <row r="217">
      <c r="A217" s="56"/>
      <c r="B217" s="56"/>
      <c r="C217" s="56"/>
    </row>
    <row r="218">
      <c r="A218" s="56"/>
      <c r="B218" s="56"/>
      <c r="C218" s="56"/>
    </row>
    <row r="219">
      <c r="A219" s="56"/>
      <c r="B219" s="56"/>
      <c r="C219" s="56"/>
    </row>
    <row r="220">
      <c r="A220" s="56"/>
      <c r="B220" s="56"/>
      <c r="C220" s="56"/>
    </row>
    <row r="221">
      <c r="A221" s="56"/>
      <c r="B221" s="56"/>
      <c r="C221" s="56"/>
    </row>
    <row r="222">
      <c r="A222" s="56"/>
      <c r="B222" s="56"/>
      <c r="C222" s="56"/>
    </row>
    <row r="223">
      <c r="A223" s="56"/>
      <c r="B223" s="56"/>
      <c r="C223" s="56"/>
    </row>
    <row r="224">
      <c r="A224" s="56"/>
      <c r="B224" s="56"/>
      <c r="C224" s="56"/>
    </row>
    <row r="225">
      <c r="A225" s="56"/>
      <c r="B225" s="56"/>
      <c r="C225" s="56"/>
    </row>
    <row r="226">
      <c r="A226" s="56"/>
      <c r="B226" s="56"/>
      <c r="C226" s="56"/>
    </row>
    <row r="227">
      <c r="A227" s="56"/>
      <c r="B227" s="56"/>
      <c r="C227" s="56"/>
    </row>
    <row r="228">
      <c r="A228" s="56"/>
      <c r="B228" s="56"/>
      <c r="C228" s="56"/>
    </row>
    <row r="229">
      <c r="A229" s="56"/>
      <c r="B229" s="56"/>
      <c r="C229" s="56"/>
    </row>
    <row r="230">
      <c r="A230" s="56"/>
      <c r="B230" s="56"/>
      <c r="C230" s="56"/>
    </row>
    <row r="231">
      <c r="A231" s="56"/>
      <c r="B231" s="56"/>
      <c r="C231" s="56"/>
    </row>
    <row r="232">
      <c r="A232" s="56"/>
      <c r="B232" s="56"/>
      <c r="C232" s="56"/>
    </row>
    <row r="233">
      <c r="A233" s="56"/>
      <c r="B233" s="56"/>
      <c r="C233" s="56"/>
    </row>
    <row r="234">
      <c r="A234" s="56"/>
      <c r="B234" s="56"/>
      <c r="C234" s="56"/>
    </row>
    <row r="235">
      <c r="A235" s="56"/>
      <c r="B235" s="56"/>
      <c r="C235" s="56"/>
    </row>
    <row r="236">
      <c r="A236" s="56"/>
      <c r="B236" s="56"/>
      <c r="C236" s="56"/>
    </row>
    <row r="237">
      <c r="A237" s="56"/>
      <c r="B237" s="56"/>
      <c r="C237" s="56"/>
    </row>
    <row r="238">
      <c r="A238" s="56"/>
      <c r="B238" s="56"/>
      <c r="C238" s="56"/>
    </row>
    <row r="239">
      <c r="A239" s="56"/>
      <c r="B239" s="56"/>
      <c r="C239" s="56"/>
    </row>
    <row r="240">
      <c r="A240" s="56"/>
      <c r="B240" s="56"/>
      <c r="C240" s="56"/>
    </row>
    <row r="241">
      <c r="A241" s="56"/>
      <c r="B241" s="56"/>
      <c r="C241" s="56"/>
    </row>
    <row r="242">
      <c r="A242" s="56"/>
      <c r="B242" s="56"/>
      <c r="C242" s="56"/>
    </row>
    <row r="243">
      <c r="A243" s="56"/>
      <c r="B243" s="56"/>
      <c r="C243" s="56"/>
    </row>
    <row r="244">
      <c r="A244" s="56"/>
      <c r="B244" s="56"/>
      <c r="C244" s="56"/>
    </row>
    <row r="245">
      <c r="A245" s="56"/>
      <c r="B245" s="56"/>
      <c r="C245" s="56"/>
    </row>
    <row r="246">
      <c r="A246" s="56"/>
      <c r="B246" s="56"/>
      <c r="C246" s="56"/>
    </row>
    <row r="247">
      <c r="A247" s="56"/>
      <c r="B247" s="56"/>
      <c r="C247" s="56"/>
    </row>
    <row r="248">
      <c r="A248" s="56"/>
      <c r="B248" s="56"/>
      <c r="C248" s="56"/>
    </row>
    <row r="249">
      <c r="A249" s="56"/>
      <c r="B249" s="56"/>
      <c r="C249" s="56"/>
    </row>
    <row r="250">
      <c r="A250" s="56"/>
      <c r="B250" s="56"/>
      <c r="C250" s="56"/>
    </row>
    <row r="251">
      <c r="A251" s="56"/>
      <c r="B251" s="56"/>
      <c r="C251" s="56"/>
    </row>
    <row r="252">
      <c r="A252" s="56"/>
      <c r="B252" s="56"/>
      <c r="C252" s="56"/>
    </row>
    <row r="253">
      <c r="A253" s="56"/>
      <c r="B253" s="56"/>
      <c r="C253" s="56"/>
    </row>
    <row r="254">
      <c r="A254" s="56"/>
      <c r="B254" s="56"/>
      <c r="C254" s="56"/>
    </row>
    <row r="255">
      <c r="A255" s="56"/>
      <c r="B255" s="56"/>
      <c r="C255" s="56"/>
    </row>
    <row r="256">
      <c r="A256" s="56"/>
      <c r="B256" s="56"/>
      <c r="C256" s="56"/>
    </row>
    <row r="257">
      <c r="A257" s="56"/>
      <c r="B257" s="56"/>
      <c r="C257" s="56"/>
    </row>
    <row r="258">
      <c r="A258" s="56"/>
      <c r="B258" s="56"/>
      <c r="C258" s="56"/>
    </row>
    <row r="259">
      <c r="A259" s="56"/>
      <c r="B259" s="56"/>
      <c r="C259" s="56"/>
    </row>
    <row r="260">
      <c r="A260" s="56"/>
      <c r="B260" s="56"/>
      <c r="C260" s="56"/>
    </row>
    <row r="261">
      <c r="A261" s="56"/>
      <c r="B261" s="56"/>
      <c r="C261" s="56"/>
    </row>
    <row r="262">
      <c r="A262" s="56"/>
      <c r="B262" s="56"/>
      <c r="C262" s="56"/>
    </row>
    <row r="263">
      <c r="A263" s="56"/>
      <c r="B263" s="56"/>
      <c r="C263" s="56"/>
    </row>
    <row r="264">
      <c r="A264" s="56"/>
      <c r="B264" s="56"/>
      <c r="C264" s="56"/>
    </row>
    <row r="265">
      <c r="A265" s="56"/>
      <c r="B265" s="56"/>
      <c r="C265" s="56"/>
    </row>
    <row r="266">
      <c r="A266" s="56"/>
      <c r="B266" s="56"/>
      <c r="C266" s="56"/>
    </row>
    <row r="267">
      <c r="A267" s="56"/>
      <c r="B267" s="56"/>
      <c r="C267" s="56"/>
    </row>
    <row r="268">
      <c r="A268" s="56"/>
      <c r="B268" s="56"/>
      <c r="C268" s="56"/>
    </row>
    <row r="269">
      <c r="A269" s="56"/>
      <c r="B269" s="56"/>
      <c r="C269" s="56"/>
    </row>
    <row r="270">
      <c r="A270" s="56"/>
      <c r="B270" s="56"/>
      <c r="C270" s="56"/>
    </row>
    <row r="271">
      <c r="A271" s="56"/>
      <c r="B271" s="56"/>
      <c r="C271" s="56"/>
    </row>
    <row r="272">
      <c r="A272" s="56"/>
      <c r="B272" s="56"/>
      <c r="C272" s="56"/>
    </row>
    <row r="273">
      <c r="A273" s="56"/>
      <c r="B273" s="56"/>
      <c r="C273" s="56"/>
    </row>
    <row r="274">
      <c r="A274" s="56"/>
      <c r="B274" s="56"/>
      <c r="C274" s="56"/>
    </row>
    <row r="275">
      <c r="A275" s="56"/>
      <c r="B275" s="56"/>
      <c r="C275" s="56"/>
    </row>
    <row r="276">
      <c r="A276" s="56"/>
      <c r="B276" s="56"/>
      <c r="C276" s="56"/>
    </row>
    <row r="277">
      <c r="A277" s="56"/>
      <c r="B277" s="56"/>
      <c r="C277" s="56"/>
    </row>
    <row r="278">
      <c r="A278" s="56"/>
      <c r="B278" s="56"/>
      <c r="C278" s="56"/>
    </row>
    <row r="279">
      <c r="A279" s="56"/>
      <c r="B279" s="56"/>
      <c r="C279" s="56"/>
    </row>
    <row r="280">
      <c r="A280" s="56"/>
      <c r="B280" s="56"/>
      <c r="C280" s="56"/>
    </row>
    <row r="281">
      <c r="A281" s="56"/>
      <c r="B281" s="56"/>
      <c r="C281" s="56"/>
    </row>
    <row r="282">
      <c r="A282" s="56"/>
      <c r="B282" s="56"/>
      <c r="C282" s="56"/>
    </row>
    <row r="283">
      <c r="A283" s="56"/>
      <c r="B283" s="56"/>
      <c r="C283" s="56"/>
    </row>
    <row r="284">
      <c r="A284" s="56"/>
      <c r="B284" s="56"/>
      <c r="C284" s="56"/>
    </row>
    <row r="285">
      <c r="A285" s="56"/>
      <c r="B285" s="56"/>
      <c r="C285" s="56"/>
    </row>
    <row r="286">
      <c r="A286" s="56"/>
      <c r="B286" s="56"/>
      <c r="C286" s="56"/>
    </row>
    <row r="287">
      <c r="A287" s="56"/>
      <c r="B287" s="56"/>
      <c r="C287" s="56"/>
    </row>
    <row r="288">
      <c r="A288" s="56"/>
      <c r="B288" s="56"/>
      <c r="C288" s="56"/>
    </row>
    <row r="289">
      <c r="A289" s="56"/>
      <c r="B289" s="56"/>
      <c r="C289" s="56"/>
    </row>
    <row r="290">
      <c r="A290" s="56"/>
      <c r="B290" s="56"/>
      <c r="C290" s="56"/>
    </row>
    <row r="291">
      <c r="A291" s="56"/>
      <c r="B291" s="56"/>
      <c r="C291" s="56"/>
    </row>
    <row r="292">
      <c r="A292" s="56"/>
      <c r="B292" s="56"/>
      <c r="C292" s="56"/>
    </row>
    <row r="293">
      <c r="A293" s="56"/>
      <c r="B293" s="56"/>
      <c r="C293" s="56"/>
    </row>
    <row r="294">
      <c r="A294" s="56"/>
      <c r="B294" s="56"/>
      <c r="C294" s="56"/>
    </row>
    <row r="295">
      <c r="A295" s="56"/>
      <c r="B295" s="56"/>
      <c r="C295" s="56"/>
    </row>
    <row r="296">
      <c r="A296" s="56"/>
      <c r="B296" s="56"/>
      <c r="C296" s="56"/>
    </row>
    <row r="297">
      <c r="A297" s="56"/>
      <c r="B297" s="56"/>
      <c r="C297" s="56"/>
    </row>
    <row r="298">
      <c r="A298" s="56"/>
      <c r="B298" s="56"/>
      <c r="C298" s="56"/>
    </row>
    <row r="299">
      <c r="A299" s="56"/>
      <c r="B299" s="56"/>
      <c r="C299" s="56"/>
    </row>
    <row r="300">
      <c r="A300" s="56"/>
      <c r="B300" s="56"/>
      <c r="C300" s="56"/>
    </row>
    <row r="301">
      <c r="A301" s="56"/>
      <c r="B301" s="56"/>
      <c r="C301" s="56"/>
    </row>
    <row r="302">
      <c r="A302" s="56"/>
      <c r="B302" s="56"/>
      <c r="C302" s="56"/>
    </row>
    <row r="303">
      <c r="A303" s="56"/>
      <c r="B303" s="56"/>
      <c r="C303" s="56"/>
    </row>
    <row r="304">
      <c r="A304" s="56"/>
      <c r="B304" s="56"/>
      <c r="C304" s="56"/>
    </row>
    <row r="305">
      <c r="A305" s="56"/>
      <c r="B305" s="56"/>
      <c r="C305" s="56"/>
    </row>
    <row r="306">
      <c r="A306" s="56"/>
      <c r="B306" s="56"/>
      <c r="C306" s="56"/>
    </row>
    <row r="307">
      <c r="A307" s="56"/>
      <c r="B307" s="56"/>
      <c r="C307" s="56"/>
    </row>
    <row r="308">
      <c r="A308" s="56"/>
      <c r="B308" s="56"/>
      <c r="C308" s="56"/>
    </row>
    <row r="309">
      <c r="A309" s="56"/>
      <c r="B309" s="56"/>
      <c r="C309" s="56"/>
    </row>
    <row r="310">
      <c r="A310" s="56"/>
      <c r="B310" s="56"/>
      <c r="C310" s="56"/>
    </row>
    <row r="311">
      <c r="A311" s="56"/>
      <c r="B311" s="56"/>
      <c r="C311" s="56"/>
    </row>
    <row r="312">
      <c r="A312" s="56"/>
      <c r="B312" s="56"/>
      <c r="C312" s="56"/>
    </row>
    <row r="313">
      <c r="A313" s="56"/>
      <c r="B313" s="56"/>
      <c r="C313" s="56"/>
    </row>
    <row r="314">
      <c r="A314" s="56"/>
      <c r="B314" s="56"/>
      <c r="C314" s="56"/>
    </row>
    <row r="315">
      <c r="A315" s="56"/>
      <c r="B315" s="56"/>
      <c r="C315" s="56"/>
    </row>
    <row r="316">
      <c r="A316" s="56"/>
      <c r="B316" s="56"/>
      <c r="C316" s="56"/>
    </row>
    <row r="317">
      <c r="A317" s="56"/>
      <c r="B317" s="56"/>
      <c r="C317" s="56"/>
    </row>
    <row r="318">
      <c r="A318" s="56"/>
      <c r="B318" s="56"/>
      <c r="C318" s="56"/>
    </row>
    <row r="319">
      <c r="A319" s="56"/>
      <c r="B319" s="56"/>
      <c r="C319" s="56"/>
    </row>
    <row r="320">
      <c r="A320" s="56"/>
      <c r="B320" s="56"/>
      <c r="C320" s="56"/>
    </row>
    <row r="321">
      <c r="A321" s="56"/>
      <c r="B321" s="56"/>
      <c r="C321" s="56"/>
    </row>
    <row r="322">
      <c r="A322" s="56"/>
      <c r="B322" s="56"/>
      <c r="C322" s="56"/>
    </row>
    <row r="323">
      <c r="A323" s="56"/>
      <c r="B323" s="56"/>
      <c r="C323" s="56"/>
    </row>
    <row r="324">
      <c r="A324" s="56"/>
      <c r="B324" s="56"/>
      <c r="C324" s="56"/>
    </row>
    <row r="325">
      <c r="A325" s="56"/>
      <c r="B325" s="56"/>
      <c r="C325" s="56"/>
    </row>
    <row r="326">
      <c r="A326" s="56"/>
      <c r="B326" s="56"/>
      <c r="C326" s="56"/>
    </row>
    <row r="327">
      <c r="A327" s="56"/>
      <c r="B327" s="56"/>
      <c r="C327" s="56"/>
    </row>
    <row r="328">
      <c r="A328" s="56"/>
      <c r="B328" s="56"/>
      <c r="C328" s="56"/>
    </row>
    <row r="329">
      <c r="A329" s="56"/>
      <c r="B329" s="56"/>
      <c r="C329" s="56"/>
    </row>
    <row r="330">
      <c r="A330" s="56"/>
      <c r="B330" s="56"/>
      <c r="C330" s="56"/>
    </row>
    <row r="331">
      <c r="A331" s="56"/>
      <c r="B331" s="56"/>
      <c r="C331" s="56"/>
    </row>
    <row r="332">
      <c r="A332" s="56"/>
      <c r="B332" s="56"/>
      <c r="C332" s="56"/>
    </row>
    <row r="333">
      <c r="A333" s="56"/>
      <c r="B333" s="56"/>
      <c r="C333" s="56"/>
    </row>
    <row r="334">
      <c r="A334" s="56"/>
      <c r="B334" s="56"/>
      <c r="C334" s="56"/>
    </row>
    <row r="335">
      <c r="A335" s="56"/>
      <c r="B335" s="56"/>
      <c r="C335" s="56"/>
    </row>
    <row r="336">
      <c r="A336" s="56"/>
      <c r="B336" s="56"/>
      <c r="C336" s="56"/>
    </row>
    <row r="337">
      <c r="A337" s="56"/>
      <c r="B337" s="56"/>
      <c r="C337" s="56"/>
    </row>
    <row r="338">
      <c r="A338" s="56"/>
      <c r="B338" s="56"/>
      <c r="C338" s="56"/>
    </row>
    <row r="339">
      <c r="A339" s="56"/>
      <c r="B339" s="56"/>
      <c r="C339" s="56"/>
    </row>
    <row r="340">
      <c r="A340" s="56"/>
      <c r="B340" s="56"/>
      <c r="C340" s="56"/>
    </row>
    <row r="341">
      <c r="A341" s="56"/>
      <c r="B341" s="56"/>
      <c r="C341" s="56"/>
    </row>
    <row r="342">
      <c r="A342" s="56"/>
      <c r="B342" s="56"/>
      <c r="C342" s="56"/>
    </row>
    <row r="343">
      <c r="A343" s="56"/>
      <c r="B343" s="56"/>
      <c r="C343" s="56"/>
    </row>
    <row r="344">
      <c r="A344" s="56"/>
      <c r="B344" s="56"/>
      <c r="C344" s="56"/>
    </row>
    <row r="345">
      <c r="A345" s="56"/>
      <c r="B345" s="56"/>
      <c r="C345" s="56"/>
    </row>
    <row r="346">
      <c r="A346" s="56"/>
      <c r="B346" s="56"/>
      <c r="C346" s="56"/>
    </row>
    <row r="347">
      <c r="A347" s="56"/>
      <c r="B347" s="56"/>
      <c r="C347" s="56"/>
    </row>
    <row r="348">
      <c r="A348" s="56"/>
      <c r="B348" s="56"/>
      <c r="C348" s="56"/>
    </row>
    <row r="349">
      <c r="A349" s="56"/>
      <c r="B349" s="56"/>
      <c r="C349" s="56"/>
    </row>
    <row r="350">
      <c r="A350" s="56"/>
      <c r="B350" s="56"/>
      <c r="C350" s="56"/>
    </row>
    <row r="351">
      <c r="A351" s="56"/>
      <c r="B351" s="56"/>
      <c r="C351" s="56"/>
    </row>
    <row r="352">
      <c r="A352" s="56"/>
      <c r="B352" s="56"/>
      <c r="C352" s="56"/>
    </row>
    <row r="353">
      <c r="A353" s="56"/>
      <c r="B353" s="56"/>
      <c r="C353" s="56"/>
    </row>
    <row r="354">
      <c r="A354" s="56"/>
      <c r="B354" s="56"/>
      <c r="C354" s="56"/>
    </row>
    <row r="355">
      <c r="A355" s="56"/>
      <c r="B355" s="56"/>
      <c r="C355" s="56"/>
    </row>
    <row r="356">
      <c r="A356" s="56"/>
      <c r="B356" s="56"/>
      <c r="C356" s="56"/>
    </row>
    <row r="357">
      <c r="A357" s="56"/>
      <c r="B357" s="56"/>
      <c r="C357" s="56"/>
    </row>
    <row r="358">
      <c r="A358" s="56"/>
      <c r="B358" s="56"/>
      <c r="C358" s="56"/>
    </row>
    <row r="359">
      <c r="A359" s="56"/>
      <c r="B359" s="56"/>
      <c r="C359" s="56"/>
    </row>
    <row r="360">
      <c r="A360" s="56"/>
      <c r="B360" s="56"/>
      <c r="C360" s="56"/>
    </row>
    <row r="361">
      <c r="A361" s="56"/>
      <c r="B361" s="56"/>
      <c r="C361" s="56"/>
    </row>
    <row r="362">
      <c r="A362" s="56"/>
      <c r="B362" s="56"/>
      <c r="C362" s="56"/>
    </row>
    <row r="363">
      <c r="A363" s="56"/>
      <c r="B363" s="56"/>
      <c r="C363" s="56"/>
    </row>
    <row r="364">
      <c r="A364" s="56"/>
      <c r="B364" s="56"/>
      <c r="C364" s="56"/>
    </row>
    <row r="365">
      <c r="A365" s="56"/>
      <c r="B365" s="56"/>
      <c r="C365" s="56"/>
    </row>
    <row r="366">
      <c r="A366" s="56"/>
      <c r="B366" s="56"/>
      <c r="C366" s="56"/>
    </row>
    <row r="367">
      <c r="A367" s="56"/>
      <c r="B367" s="56"/>
      <c r="C367" s="56"/>
    </row>
    <row r="368">
      <c r="A368" s="56"/>
      <c r="B368" s="56"/>
      <c r="C368" s="56"/>
    </row>
    <row r="369">
      <c r="A369" s="56"/>
      <c r="B369" s="56"/>
      <c r="C369" s="56"/>
    </row>
    <row r="370">
      <c r="A370" s="56"/>
      <c r="B370" s="56"/>
      <c r="C370" s="56"/>
    </row>
    <row r="371">
      <c r="A371" s="56"/>
      <c r="B371" s="56"/>
      <c r="C371" s="56"/>
    </row>
    <row r="372">
      <c r="A372" s="56"/>
      <c r="B372" s="56"/>
      <c r="C372" s="56"/>
    </row>
    <row r="373">
      <c r="A373" s="56"/>
      <c r="B373" s="56"/>
      <c r="C373" s="56"/>
    </row>
    <row r="374">
      <c r="A374" s="56"/>
      <c r="B374" s="56"/>
      <c r="C374" s="56"/>
    </row>
    <row r="375">
      <c r="A375" s="56"/>
      <c r="B375" s="56"/>
      <c r="C375" s="56"/>
    </row>
    <row r="376">
      <c r="A376" s="56"/>
      <c r="B376" s="56"/>
      <c r="C376" s="56"/>
    </row>
    <row r="377">
      <c r="A377" s="56"/>
      <c r="B377" s="56"/>
      <c r="C377" s="56"/>
    </row>
    <row r="378">
      <c r="A378" s="56"/>
      <c r="B378" s="56"/>
      <c r="C378" s="56"/>
    </row>
    <row r="379">
      <c r="A379" s="56"/>
      <c r="B379" s="56"/>
      <c r="C379" s="56"/>
    </row>
    <row r="380">
      <c r="A380" s="56"/>
      <c r="B380" s="56"/>
      <c r="C380" s="56"/>
    </row>
    <row r="381">
      <c r="A381" s="56"/>
      <c r="B381" s="56"/>
      <c r="C381" s="56"/>
    </row>
    <row r="382">
      <c r="A382" s="56"/>
      <c r="B382" s="56"/>
      <c r="C382" s="56"/>
    </row>
    <row r="383">
      <c r="A383" s="56"/>
      <c r="B383" s="56"/>
      <c r="C383" s="56"/>
    </row>
    <row r="384">
      <c r="A384" s="56"/>
      <c r="B384" s="56"/>
      <c r="C384" s="56"/>
    </row>
    <row r="385">
      <c r="A385" s="56"/>
      <c r="B385" s="56"/>
      <c r="C385" s="56"/>
    </row>
    <row r="386">
      <c r="A386" s="56"/>
      <c r="B386" s="56"/>
      <c r="C386" s="56"/>
    </row>
    <row r="387">
      <c r="A387" s="56"/>
      <c r="B387" s="56"/>
      <c r="C387" s="56"/>
    </row>
    <row r="388">
      <c r="A388" s="56"/>
      <c r="B388" s="56"/>
      <c r="C388" s="56"/>
    </row>
    <row r="389">
      <c r="A389" s="56"/>
      <c r="B389" s="56"/>
      <c r="C389" s="56"/>
    </row>
    <row r="390">
      <c r="A390" s="56"/>
      <c r="B390" s="56"/>
      <c r="C390" s="56"/>
    </row>
    <row r="391">
      <c r="A391" s="56"/>
      <c r="B391" s="56"/>
      <c r="C391" s="56"/>
    </row>
    <row r="392">
      <c r="A392" s="56"/>
      <c r="B392" s="56"/>
      <c r="C392" s="56"/>
    </row>
    <row r="393">
      <c r="A393" s="56"/>
      <c r="B393" s="56"/>
      <c r="C393" s="56"/>
    </row>
    <row r="394">
      <c r="A394" s="56"/>
      <c r="B394" s="56"/>
      <c r="C394" s="56"/>
    </row>
    <row r="395">
      <c r="A395" s="56"/>
      <c r="B395" s="56"/>
      <c r="C395" s="56"/>
    </row>
    <row r="396">
      <c r="A396" s="56"/>
      <c r="B396" s="56"/>
      <c r="C396" s="56"/>
    </row>
    <row r="397">
      <c r="A397" s="56"/>
      <c r="B397" s="56"/>
      <c r="C397" s="56"/>
    </row>
    <row r="398">
      <c r="A398" s="56"/>
      <c r="B398" s="56"/>
      <c r="C398" s="56"/>
    </row>
    <row r="399">
      <c r="A399" s="56"/>
      <c r="B399" s="56"/>
      <c r="C399" s="56"/>
    </row>
    <row r="400">
      <c r="A400" s="56"/>
      <c r="B400" s="56"/>
      <c r="C400" s="56"/>
    </row>
    <row r="401">
      <c r="A401" s="56"/>
      <c r="B401" s="56"/>
      <c r="C401" s="56"/>
    </row>
    <row r="402">
      <c r="A402" s="56"/>
      <c r="B402" s="56"/>
      <c r="C402" s="56"/>
    </row>
    <row r="403">
      <c r="A403" s="56"/>
      <c r="B403" s="56"/>
      <c r="C403" s="56"/>
    </row>
    <row r="404">
      <c r="A404" s="56"/>
      <c r="B404" s="56"/>
      <c r="C404" s="56"/>
    </row>
    <row r="405">
      <c r="A405" s="56"/>
      <c r="B405" s="56"/>
      <c r="C405" s="56"/>
    </row>
    <row r="406">
      <c r="A406" s="56"/>
      <c r="B406" s="56"/>
      <c r="C406" s="56"/>
    </row>
    <row r="407">
      <c r="A407" s="56"/>
      <c r="B407" s="56"/>
      <c r="C407" s="56"/>
    </row>
    <row r="408">
      <c r="A408" s="56"/>
      <c r="B408" s="56"/>
      <c r="C408" s="56"/>
    </row>
    <row r="409">
      <c r="A409" s="56"/>
      <c r="B409" s="56"/>
      <c r="C409" s="56"/>
    </row>
    <row r="410">
      <c r="A410" s="56"/>
      <c r="B410" s="56"/>
      <c r="C410" s="56"/>
    </row>
    <row r="411">
      <c r="A411" s="56"/>
      <c r="B411" s="56"/>
      <c r="C411" s="56"/>
    </row>
    <row r="412">
      <c r="A412" s="56"/>
      <c r="B412" s="56"/>
      <c r="C412" s="56"/>
    </row>
    <row r="413">
      <c r="A413" s="56"/>
      <c r="B413" s="56"/>
      <c r="C413" s="56"/>
    </row>
    <row r="414">
      <c r="A414" s="56"/>
      <c r="B414" s="56"/>
      <c r="C414" s="56"/>
    </row>
    <row r="415">
      <c r="A415" s="56"/>
      <c r="B415" s="56"/>
      <c r="C415" s="56"/>
    </row>
    <row r="416">
      <c r="A416" s="56"/>
      <c r="B416" s="56"/>
      <c r="C416" s="56"/>
    </row>
    <row r="417">
      <c r="A417" s="56"/>
      <c r="B417" s="56"/>
      <c r="C417" s="56"/>
    </row>
    <row r="418">
      <c r="A418" s="56"/>
      <c r="B418" s="56"/>
      <c r="C418" s="56"/>
    </row>
    <row r="419">
      <c r="A419" s="56"/>
      <c r="B419" s="56"/>
      <c r="C419" s="56"/>
    </row>
    <row r="420">
      <c r="A420" s="56"/>
      <c r="B420" s="56"/>
      <c r="C420" s="56"/>
    </row>
    <row r="421">
      <c r="A421" s="56"/>
      <c r="B421" s="56"/>
      <c r="C421" s="56"/>
    </row>
    <row r="422">
      <c r="A422" s="56"/>
      <c r="B422" s="56"/>
      <c r="C422" s="56"/>
    </row>
    <row r="423">
      <c r="A423" s="56"/>
      <c r="B423" s="56"/>
      <c r="C423" s="56"/>
    </row>
    <row r="424">
      <c r="A424" s="56"/>
      <c r="B424" s="56"/>
      <c r="C424" s="56"/>
    </row>
    <row r="425">
      <c r="A425" s="56"/>
      <c r="B425" s="56"/>
      <c r="C425" s="56"/>
    </row>
    <row r="426">
      <c r="A426" s="56"/>
      <c r="B426" s="56"/>
      <c r="C426" s="56"/>
    </row>
    <row r="427">
      <c r="A427" s="56"/>
      <c r="B427" s="56"/>
      <c r="C427" s="56"/>
    </row>
    <row r="428">
      <c r="A428" s="56"/>
      <c r="B428" s="56"/>
      <c r="C428" s="56"/>
    </row>
    <row r="429">
      <c r="A429" s="56"/>
      <c r="B429" s="56"/>
      <c r="C429" s="56"/>
    </row>
    <row r="430">
      <c r="A430" s="56"/>
      <c r="B430" s="56"/>
      <c r="C430" s="56"/>
    </row>
    <row r="431">
      <c r="A431" s="56"/>
      <c r="B431" s="56"/>
      <c r="C431" s="56"/>
    </row>
    <row r="432">
      <c r="A432" s="56"/>
      <c r="B432" s="56"/>
      <c r="C432" s="56"/>
    </row>
    <row r="433">
      <c r="A433" s="56"/>
      <c r="B433" s="56"/>
      <c r="C433" s="56"/>
    </row>
    <row r="434">
      <c r="A434" s="56"/>
      <c r="B434" s="56"/>
      <c r="C434" s="56"/>
    </row>
    <row r="435">
      <c r="A435" s="56"/>
      <c r="B435" s="56"/>
      <c r="C435" s="56"/>
    </row>
    <row r="436">
      <c r="A436" s="56"/>
      <c r="B436" s="56"/>
      <c r="C436" s="56"/>
    </row>
    <row r="437">
      <c r="A437" s="56"/>
      <c r="B437" s="56"/>
      <c r="C437" s="56"/>
    </row>
    <row r="438">
      <c r="A438" s="56"/>
      <c r="B438" s="56"/>
      <c r="C438" s="56"/>
    </row>
    <row r="439">
      <c r="A439" s="56"/>
      <c r="B439" s="56"/>
      <c r="C439" s="56"/>
    </row>
    <row r="440">
      <c r="A440" s="56"/>
      <c r="B440" s="56"/>
      <c r="C440" s="56"/>
    </row>
    <row r="441">
      <c r="A441" s="56"/>
      <c r="B441" s="56"/>
      <c r="C441" s="56"/>
    </row>
    <row r="442">
      <c r="A442" s="56"/>
      <c r="B442" s="56"/>
      <c r="C442" s="56"/>
    </row>
    <row r="443">
      <c r="A443" s="56"/>
      <c r="B443" s="56"/>
      <c r="C443" s="56"/>
    </row>
    <row r="444">
      <c r="A444" s="56"/>
      <c r="B444" s="56"/>
      <c r="C444" s="56"/>
    </row>
    <row r="445">
      <c r="A445" s="56"/>
      <c r="B445" s="56"/>
      <c r="C445" s="56"/>
    </row>
    <row r="446">
      <c r="A446" s="56"/>
      <c r="B446" s="56"/>
      <c r="C446" s="56"/>
    </row>
    <row r="447">
      <c r="A447" s="56"/>
      <c r="B447" s="56"/>
      <c r="C447" s="56"/>
    </row>
    <row r="448">
      <c r="A448" s="56"/>
      <c r="B448" s="56"/>
      <c r="C448" s="56"/>
    </row>
    <row r="449">
      <c r="A449" s="56"/>
      <c r="B449" s="56"/>
      <c r="C449" s="56"/>
    </row>
    <row r="450">
      <c r="A450" s="56"/>
      <c r="B450" s="56"/>
      <c r="C450" s="56"/>
    </row>
    <row r="451">
      <c r="A451" s="56"/>
      <c r="B451" s="56"/>
      <c r="C451" s="56"/>
    </row>
    <row r="452">
      <c r="A452" s="56"/>
      <c r="B452" s="56"/>
      <c r="C452" s="56"/>
    </row>
    <row r="453">
      <c r="A453" s="56"/>
      <c r="B453" s="56"/>
      <c r="C453" s="56"/>
    </row>
    <row r="454">
      <c r="A454" s="56"/>
      <c r="B454" s="56"/>
      <c r="C454" s="56"/>
    </row>
    <row r="455">
      <c r="A455" s="56"/>
      <c r="B455" s="56"/>
      <c r="C455" s="56"/>
    </row>
    <row r="456">
      <c r="A456" s="56"/>
      <c r="B456" s="56"/>
      <c r="C456" s="56"/>
    </row>
    <row r="457">
      <c r="A457" s="56"/>
      <c r="B457" s="56"/>
      <c r="C457" s="56"/>
    </row>
    <row r="458">
      <c r="A458" s="56"/>
      <c r="B458" s="56"/>
      <c r="C458" s="56"/>
    </row>
    <row r="459">
      <c r="A459" s="56"/>
      <c r="B459" s="56"/>
      <c r="C459" s="56"/>
    </row>
    <row r="460">
      <c r="A460" s="56"/>
      <c r="B460" s="56"/>
      <c r="C460" s="56"/>
    </row>
    <row r="461">
      <c r="A461" s="56"/>
      <c r="B461" s="56"/>
      <c r="C461" s="56"/>
    </row>
    <row r="462">
      <c r="A462" s="56"/>
      <c r="B462" s="56"/>
      <c r="C462" s="56"/>
    </row>
    <row r="463">
      <c r="A463" s="56"/>
      <c r="B463" s="56"/>
      <c r="C463" s="56"/>
    </row>
    <row r="464">
      <c r="A464" s="56"/>
      <c r="B464" s="56"/>
      <c r="C464" s="56"/>
    </row>
    <row r="465">
      <c r="A465" s="56"/>
      <c r="B465" s="56"/>
      <c r="C465" s="56"/>
    </row>
    <row r="466">
      <c r="A466" s="56"/>
      <c r="B466" s="56"/>
      <c r="C466" s="56"/>
    </row>
    <row r="467">
      <c r="A467" s="56"/>
      <c r="B467" s="56"/>
      <c r="C467" s="56"/>
    </row>
    <row r="468">
      <c r="A468" s="56"/>
      <c r="B468" s="56"/>
      <c r="C468" s="56"/>
    </row>
    <row r="469">
      <c r="A469" s="56"/>
      <c r="B469" s="56"/>
      <c r="C469" s="56"/>
    </row>
    <row r="470">
      <c r="A470" s="56"/>
      <c r="B470" s="56"/>
      <c r="C470" s="56"/>
    </row>
    <row r="471">
      <c r="A471" s="56"/>
      <c r="B471" s="56"/>
      <c r="C471" s="56"/>
    </row>
    <row r="472">
      <c r="A472" s="56"/>
      <c r="B472" s="56"/>
      <c r="C472" s="56"/>
    </row>
    <row r="473">
      <c r="A473" s="56"/>
      <c r="B473" s="56"/>
      <c r="C473" s="56"/>
    </row>
    <row r="474">
      <c r="A474" s="56"/>
      <c r="B474" s="56"/>
      <c r="C474" s="56"/>
    </row>
    <row r="475">
      <c r="A475" s="56"/>
      <c r="B475" s="56"/>
      <c r="C475" s="56"/>
    </row>
    <row r="476">
      <c r="A476" s="56"/>
      <c r="B476" s="56"/>
      <c r="C476" s="56"/>
    </row>
    <row r="477">
      <c r="A477" s="56"/>
      <c r="B477" s="56"/>
      <c r="C477" s="56"/>
    </row>
    <row r="478">
      <c r="A478" s="56"/>
      <c r="B478" s="56"/>
      <c r="C478" s="56"/>
    </row>
    <row r="479">
      <c r="A479" s="56"/>
      <c r="B479" s="56"/>
      <c r="C479" s="56"/>
    </row>
    <row r="480">
      <c r="A480" s="56"/>
      <c r="B480" s="56"/>
      <c r="C480" s="56"/>
    </row>
    <row r="481">
      <c r="A481" s="56"/>
      <c r="B481" s="56"/>
      <c r="C481" s="56"/>
    </row>
    <row r="482">
      <c r="A482" s="56"/>
      <c r="B482" s="56"/>
      <c r="C482" s="56"/>
    </row>
    <row r="483">
      <c r="A483" s="56"/>
      <c r="B483" s="56"/>
      <c r="C483" s="56"/>
    </row>
    <row r="484">
      <c r="A484" s="56"/>
      <c r="B484" s="56"/>
      <c r="C484" s="56"/>
    </row>
    <row r="485">
      <c r="A485" s="56"/>
      <c r="B485" s="56"/>
      <c r="C485" s="56"/>
    </row>
    <row r="486">
      <c r="A486" s="56"/>
      <c r="B486" s="56"/>
      <c r="C486" s="56"/>
    </row>
    <row r="487">
      <c r="A487" s="56"/>
      <c r="B487" s="56"/>
      <c r="C487" s="56"/>
    </row>
    <row r="488">
      <c r="A488" s="56"/>
      <c r="B488" s="56"/>
      <c r="C488" s="56"/>
    </row>
    <row r="489">
      <c r="A489" s="56"/>
      <c r="B489" s="56"/>
      <c r="C489" s="56"/>
    </row>
    <row r="490">
      <c r="A490" s="56"/>
      <c r="B490" s="56"/>
      <c r="C490" s="56"/>
    </row>
    <row r="491">
      <c r="A491" s="56"/>
      <c r="B491" s="56"/>
      <c r="C491" s="56"/>
    </row>
    <row r="492">
      <c r="A492" s="56"/>
      <c r="B492" s="56"/>
      <c r="C492" s="56"/>
    </row>
    <row r="493">
      <c r="A493" s="56"/>
      <c r="B493" s="56"/>
      <c r="C493" s="56"/>
    </row>
    <row r="494">
      <c r="A494" s="56"/>
      <c r="B494" s="56"/>
      <c r="C494" s="56"/>
    </row>
    <row r="495">
      <c r="A495" s="56"/>
      <c r="B495" s="56"/>
      <c r="C495" s="56"/>
    </row>
    <row r="496">
      <c r="A496" s="56"/>
      <c r="B496" s="56"/>
      <c r="C496" s="56"/>
    </row>
    <row r="497">
      <c r="A497" s="56"/>
      <c r="B497" s="56"/>
      <c r="C497" s="56"/>
    </row>
    <row r="498">
      <c r="A498" s="56"/>
      <c r="B498" s="56"/>
      <c r="C498" s="56"/>
    </row>
    <row r="499">
      <c r="A499" s="56"/>
      <c r="B499" s="56"/>
      <c r="C499" s="56"/>
    </row>
    <row r="500">
      <c r="A500" s="56"/>
      <c r="B500" s="56"/>
      <c r="C500" s="56"/>
    </row>
    <row r="501">
      <c r="A501" s="56"/>
      <c r="B501" s="56"/>
      <c r="C501" s="56"/>
    </row>
    <row r="502">
      <c r="A502" s="56"/>
      <c r="B502" s="56"/>
      <c r="C502" s="56"/>
    </row>
    <row r="503">
      <c r="A503" s="56"/>
      <c r="B503" s="56"/>
      <c r="C503" s="56"/>
    </row>
    <row r="504">
      <c r="A504" s="56"/>
      <c r="B504" s="56"/>
      <c r="C504" s="56"/>
    </row>
    <row r="505">
      <c r="A505" s="56"/>
      <c r="B505" s="56"/>
      <c r="C505" s="56"/>
    </row>
    <row r="506">
      <c r="A506" s="56"/>
      <c r="B506" s="56"/>
      <c r="C506" s="56"/>
    </row>
    <row r="507">
      <c r="A507" s="56"/>
      <c r="B507" s="56"/>
      <c r="C507" s="56"/>
    </row>
    <row r="508">
      <c r="A508" s="56"/>
      <c r="B508" s="56"/>
      <c r="C508" s="56"/>
    </row>
    <row r="509">
      <c r="A509" s="56"/>
      <c r="B509" s="56"/>
      <c r="C509" s="56"/>
    </row>
    <row r="510">
      <c r="A510" s="56"/>
      <c r="B510" s="56"/>
      <c r="C510" s="56"/>
    </row>
    <row r="511">
      <c r="A511" s="56"/>
      <c r="B511" s="56"/>
      <c r="C511" s="56"/>
    </row>
    <row r="512">
      <c r="A512" s="56"/>
      <c r="B512" s="56"/>
      <c r="C512" s="56"/>
    </row>
    <row r="513">
      <c r="A513" s="56"/>
      <c r="B513" s="56"/>
      <c r="C513" s="56"/>
    </row>
    <row r="514">
      <c r="A514" s="56"/>
      <c r="B514" s="56"/>
      <c r="C514" s="56"/>
    </row>
    <row r="515">
      <c r="A515" s="56"/>
      <c r="B515" s="56"/>
      <c r="C515" s="56"/>
    </row>
    <row r="516">
      <c r="A516" s="56"/>
      <c r="B516" s="56"/>
      <c r="C516" s="56"/>
    </row>
    <row r="517">
      <c r="A517" s="56"/>
      <c r="B517" s="56"/>
      <c r="C517" s="56"/>
    </row>
    <row r="518">
      <c r="A518" s="56"/>
      <c r="B518" s="56"/>
      <c r="C518" s="56"/>
    </row>
    <row r="519">
      <c r="A519" s="56"/>
      <c r="B519" s="56"/>
      <c r="C519" s="56"/>
    </row>
    <row r="520">
      <c r="A520" s="56"/>
      <c r="B520" s="56"/>
      <c r="C520" s="56"/>
    </row>
    <row r="521">
      <c r="A521" s="56"/>
      <c r="B521" s="56"/>
      <c r="C521" s="56"/>
    </row>
    <row r="522">
      <c r="A522" s="56"/>
      <c r="B522" s="56"/>
      <c r="C522" s="56"/>
    </row>
    <row r="523">
      <c r="A523" s="56"/>
      <c r="B523" s="56"/>
      <c r="C523" s="56"/>
    </row>
    <row r="524">
      <c r="A524" s="56"/>
      <c r="B524" s="56"/>
      <c r="C524" s="56"/>
    </row>
    <row r="525">
      <c r="A525" s="56"/>
      <c r="B525" s="56"/>
      <c r="C525" s="56"/>
    </row>
    <row r="526">
      <c r="A526" s="56"/>
      <c r="B526" s="56"/>
      <c r="C526" s="56"/>
    </row>
    <row r="527">
      <c r="A527" s="56"/>
      <c r="B527" s="56"/>
      <c r="C527" s="56"/>
    </row>
    <row r="528">
      <c r="A528" s="56"/>
      <c r="B528" s="56"/>
      <c r="C528" s="56"/>
    </row>
    <row r="529">
      <c r="A529" s="56"/>
      <c r="B529" s="56"/>
      <c r="C529" s="56"/>
    </row>
    <row r="530">
      <c r="A530" s="56"/>
      <c r="B530" s="56"/>
      <c r="C530" s="56"/>
    </row>
    <row r="531">
      <c r="A531" s="56"/>
      <c r="B531" s="56"/>
      <c r="C531" s="56"/>
    </row>
    <row r="532">
      <c r="A532" s="56"/>
      <c r="B532" s="56"/>
      <c r="C532" s="56"/>
    </row>
    <row r="533">
      <c r="A533" s="56"/>
      <c r="B533" s="56"/>
      <c r="C533" s="56"/>
    </row>
    <row r="534">
      <c r="A534" s="56"/>
      <c r="B534" s="56"/>
      <c r="C534" s="56"/>
    </row>
    <row r="535">
      <c r="A535" s="56"/>
      <c r="B535" s="56"/>
      <c r="C535" s="56"/>
    </row>
    <row r="536">
      <c r="A536" s="56"/>
      <c r="B536" s="56"/>
      <c r="C536" s="56"/>
    </row>
    <row r="537">
      <c r="A537" s="56"/>
      <c r="B537" s="56"/>
      <c r="C537" s="56"/>
    </row>
    <row r="538">
      <c r="A538" s="56"/>
      <c r="B538" s="56"/>
      <c r="C538" s="56"/>
    </row>
    <row r="539">
      <c r="A539" s="56"/>
      <c r="B539" s="56"/>
      <c r="C539" s="56"/>
    </row>
    <row r="540">
      <c r="A540" s="56"/>
      <c r="B540" s="56"/>
      <c r="C540" s="56"/>
    </row>
    <row r="541">
      <c r="A541" s="56"/>
      <c r="B541" s="56"/>
      <c r="C541" s="56"/>
    </row>
    <row r="542">
      <c r="A542" s="56"/>
      <c r="B542" s="56"/>
      <c r="C542" s="56"/>
    </row>
    <row r="543">
      <c r="A543" s="56"/>
      <c r="B543" s="56"/>
      <c r="C543" s="56"/>
    </row>
    <row r="544">
      <c r="A544" s="56"/>
      <c r="B544" s="56"/>
      <c r="C544" s="56"/>
    </row>
    <row r="545">
      <c r="A545" s="56"/>
      <c r="B545" s="56"/>
      <c r="C545" s="56"/>
    </row>
    <row r="546">
      <c r="A546" s="56"/>
      <c r="B546" s="56"/>
      <c r="C546" s="56"/>
    </row>
    <row r="547">
      <c r="A547" s="56"/>
      <c r="B547" s="56"/>
      <c r="C547" s="56"/>
    </row>
    <row r="548">
      <c r="A548" s="56"/>
      <c r="B548" s="56"/>
      <c r="C548" s="56"/>
    </row>
    <row r="549">
      <c r="A549" s="56"/>
      <c r="B549" s="56"/>
      <c r="C549" s="56"/>
    </row>
    <row r="550">
      <c r="A550" s="56"/>
      <c r="B550" s="56"/>
      <c r="C550" s="56"/>
    </row>
    <row r="551">
      <c r="A551" s="56"/>
      <c r="B551" s="56"/>
      <c r="C551" s="56"/>
    </row>
    <row r="552">
      <c r="A552" s="56"/>
      <c r="B552" s="56"/>
      <c r="C552" s="56"/>
    </row>
    <row r="553">
      <c r="A553" s="56"/>
      <c r="B553" s="56"/>
      <c r="C553" s="56"/>
    </row>
    <row r="554">
      <c r="A554" s="56"/>
      <c r="B554" s="56"/>
      <c r="C554" s="56"/>
    </row>
    <row r="555">
      <c r="A555" s="56"/>
      <c r="B555" s="56"/>
      <c r="C555" s="56"/>
    </row>
    <row r="556">
      <c r="A556" s="56"/>
      <c r="B556" s="56"/>
      <c r="C556" s="56"/>
    </row>
    <row r="557">
      <c r="A557" s="56"/>
      <c r="B557" s="56"/>
      <c r="C557" s="56"/>
    </row>
    <row r="558">
      <c r="A558" s="56"/>
      <c r="B558" s="56"/>
      <c r="C558" s="56"/>
    </row>
    <row r="559">
      <c r="A559" s="56"/>
      <c r="B559" s="56"/>
      <c r="C559" s="56"/>
    </row>
    <row r="560">
      <c r="A560" s="56"/>
      <c r="B560" s="56"/>
      <c r="C560" s="56"/>
    </row>
    <row r="561">
      <c r="A561" s="56"/>
      <c r="B561" s="56"/>
      <c r="C561" s="56"/>
    </row>
    <row r="562">
      <c r="A562" s="56"/>
      <c r="B562" s="56"/>
      <c r="C562" s="56"/>
    </row>
    <row r="563">
      <c r="A563" s="56"/>
      <c r="B563" s="56"/>
      <c r="C563" s="56"/>
    </row>
    <row r="564">
      <c r="A564" s="56"/>
      <c r="B564" s="56"/>
      <c r="C564" s="56"/>
    </row>
    <row r="565">
      <c r="A565" s="56"/>
      <c r="B565" s="56"/>
      <c r="C565" s="56"/>
    </row>
    <row r="566">
      <c r="A566" s="56"/>
      <c r="B566" s="56"/>
      <c r="C566" s="56"/>
    </row>
    <row r="567">
      <c r="A567" s="56"/>
      <c r="B567" s="56"/>
      <c r="C567" s="56"/>
    </row>
    <row r="568">
      <c r="A568" s="56"/>
      <c r="B568" s="56"/>
      <c r="C568" s="56"/>
    </row>
    <row r="569">
      <c r="A569" s="56"/>
      <c r="B569" s="56"/>
      <c r="C569" s="56"/>
    </row>
    <row r="570">
      <c r="A570" s="56"/>
      <c r="B570" s="56"/>
      <c r="C570" s="56"/>
    </row>
    <row r="571">
      <c r="A571" s="56"/>
      <c r="B571" s="56"/>
      <c r="C571" s="56"/>
    </row>
    <row r="572">
      <c r="A572" s="56"/>
      <c r="B572" s="56"/>
      <c r="C572" s="56"/>
    </row>
    <row r="573">
      <c r="A573" s="56"/>
      <c r="B573" s="56"/>
      <c r="C573" s="56"/>
    </row>
    <row r="574">
      <c r="A574" s="56"/>
      <c r="B574" s="56"/>
      <c r="C574" s="56"/>
    </row>
    <row r="575">
      <c r="A575" s="56"/>
      <c r="B575" s="56"/>
      <c r="C575" s="56"/>
    </row>
    <row r="576">
      <c r="A576" s="56"/>
      <c r="B576" s="56"/>
      <c r="C576" s="56"/>
    </row>
    <row r="577">
      <c r="A577" s="56"/>
      <c r="B577" s="56"/>
      <c r="C577" s="56"/>
    </row>
    <row r="578">
      <c r="A578" s="56"/>
      <c r="B578" s="56"/>
      <c r="C578" s="56"/>
    </row>
    <row r="579">
      <c r="A579" s="56"/>
      <c r="B579" s="56"/>
      <c r="C579" s="56"/>
    </row>
    <row r="580">
      <c r="A580" s="56"/>
      <c r="B580" s="56"/>
      <c r="C580" s="56"/>
    </row>
    <row r="581">
      <c r="A581" s="56"/>
      <c r="B581" s="56"/>
      <c r="C581" s="56"/>
    </row>
    <row r="582">
      <c r="A582" s="56"/>
      <c r="B582" s="56"/>
      <c r="C582" s="56"/>
    </row>
    <row r="583">
      <c r="A583" s="56"/>
      <c r="B583" s="56"/>
      <c r="C583" s="56"/>
    </row>
    <row r="584">
      <c r="A584" s="56"/>
      <c r="B584" s="56"/>
      <c r="C584" s="56"/>
    </row>
    <row r="585">
      <c r="A585" s="56"/>
      <c r="B585" s="56"/>
      <c r="C585" s="56"/>
    </row>
    <row r="586">
      <c r="A586" s="56"/>
      <c r="B586" s="56"/>
      <c r="C586" s="56"/>
    </row>
    <row r="587">
      <c r="A587" s="56"/>
      <c r="B587" s="56"/>
      <c r="C587" s="56"/>
    </row>
    <row r="588">
      <c r="A588" s="56"/>
      <c r="B588" s="56"/>
      <c r="C588" s="56"/>
    </row>
    <row r="589">
      <c r="A589" s="56"/>
      <c r="B589" s="56"/>
      <c r="C589" s="56"/>
    </row>
    <row r="590">
      <c r="A590" s="56"/>
      <c r="B590" s="56"/>
      <c r="C590" s="56"/>
    </row>
    <row r="591">
      <c r="A591" s="56"/>
      <c r="B591" s="56"/>
      <c r="C591" s="56"/>
    </row>
    <row r="592">
      <c r="A592" s="56"/>
      <c r="B592" s="56"/>
      <c r="C592" s="56"/>
    </row>
    <row r="593">
      <c r="A593" s="56"/>
      <c r="B593" s="56"/>
      <c r="C593" s="56"/>
    </row>
    <row r="594">
      <c r="A594" s="56"/>
      <c r="B594" s="56"/>
      <c r="C594" s="56"/>
    </row>
    <row r="595">
      <c r="A595" s="56"/>
      <c r="B595" s="56"/>
      <c r="C595" s="56"/>
    </row>
    <row r="596">
      <c r="A596" s="56"/>
      <c r="B596" s="56"/>
      <c r="C596" s="56"/>
    </row>
    <row r="597">
      <c r="A597" s="56"/>
      <c r="B597" s="56"/>
      <c r="C597" s="56"/>
    </row>
    <row r="598">
      <c r="A598" s="56"/>
      <c r="B598" s="56"/>
      <c r="C598" s="56"/>
    </row>
    <row r="599">
      <c r="A599" s="56"/>
      <c r="B599" s="56"/>
      <c r="C599" s="56"/>
    </row>
    <row r="600">
      <c r="A600" s="56"/>
      <c r="B600" s="56"/>
      <c r="C600" s="56"/>
    </row>
    <row r="601">
      <c r="A601" s="56"/>
      <c r="B601" s="56"/>
      <c r="C601" s="56"/>
    </row>
    <row r="602">
      <c r="A602" s="56"/>
      <c r="B602" s="56"/>
      <c r="C602" s="56"/>
    </row>
    <row r="603">
      <c r="A603" s="56"/>
      <c r="B603" s="56"/>
      <c r="C603" s="56"/>
    </row>
    <row r="604">
      <c r="A604" s="56"/>
      <c r="B604" s="56"/>
      <c r="C604" s="56"/>
    </row>
    <row r="605">
      <c r="A605" s="56"/>
      <c r="B605" s="56"/>
      <c r="C605" s="56"/>
    </row>
    <row r="606">
      <c r="A606" s="56"/>
      <c r="B606" s="56"/>
      <c r="C606" s="56"/>
    </row>
    <row r="607">
      <c r="A607" s="56"/>
      <c r="B607" s="56"/>
      <c r="C607" s="56"/>
    </row>
    <row r="608">
      <c r="A608" s="56"/>
      <c r="B608" s="56"/>
      <c r="C608" s="56"/>
    </row>
    <row r="609">
      <c r="A609" s="56"/>
      <c r="B609" s="56"/>
      <c r="C609" s="56"/>
    </row>
    <row r="610">
      <c r="A610" s="56"/>
      <c r="B610" s="56"/>
      <c r="C610" s="56"/>
    </row>
    <row r="611">
      <c r="A611" s="56"/>
      <c r="B611" s="56"/>
      <c r="C611" s="56"/>
    </row>
    <row r="612">
      <c r="A612" s="56"/>
      <c r="B612" s="56"/>
      <c r="C612" s="56"/>
    </row>
    <row r="613">
      <c r="A613" s="56"/>
      <c r="B613" s="56"/>
      <c r="C613" s="56"/>
    </row>
    <row r="614">
      <c r="A614" s="56"/>
      <c r="B614" s="56"/>
      <c r="C614" s="56"/>
    </row>
    <row r="615">
      <c r="A615" s="56"/>
      <c r="B615" s="56"/>
      <c r="C615" s="56"/>
    </row>
    <row r="616">
      <c r="A616" s="56"/>
      <c r="B616" s="56"/>
      <c r="C616" s="56"/>
    </row>
    <row r="617">
      <c r="A617" s="56"/>
      <c r="B617" s="56"/>
      <c r="C617" s="56"/>
    </row>
    <row r="618">
      <c r="A618" s="56"/>
      <c r="B618" s="56"/>
      <c r="C618" s="56"/>
    </row>
    <row r="619">
      <c r="A619" s="56"/>
      <c r="B619" s="56"/>
      <c r="C619" s="56"/>
    </row>
    <row r="620">
      <c r="A620" s="56"/>
      <c r="B620" s="56"/>
      <c r="C620" s="56"/>
    </row>
    <row r="621">
      <c r="A621" s="56"/>
      <c r="B621" s="56"/>
      <c r="C621" s="56"/>
    </row>
    <row r="622">
      <c r="A622" s="56"/>
      <c r="B622" s="56"/>
      <c r="C622" s="56"/>
    </row>
    <row r="623">
      <c r="A623" s="56"/>
      <c r="B623" s="56"/>
      <c r="C623" s="56"/>
    </row>
    <row r="624">
      <c r="A624" s="56"/>
      <c r="B624" s="56"/>
      <c r="C624" s="56"/>
    </row>
    <row r="625">
      <c r="A625" s="56"/>
      <c r="B625" s="56"/>
      <c r="C625" s="56"/>
    </row>
    <row r="626">
      <c r="A626" s="56"/>
      <c r="B626" s="56"/>
      <c r="C626" s="56"/>
    </row>
    <row r="627">
      <c r="A627" s="56"/>
      <c r="B627" s="56"/>
      <c r="C627" s="56"/>
    </row>
    <row r="628">
      <c r="A628" s="56"/>
      <c r="B628" s="56"/>
      <c r="C628" s="56"/>
    </row>
    <row r="629">
      <c r="A629" s="56"/>
      <c r="B629" s="56"/>
      <c r="C629" s="56"/>
    </row>
    <row r="630">
      <c r="A630" s="56"/>
      <c r="B630" s="56"/>
      <c r="C630" s="56"/>
    </row>
    <row r="631">
      <c r="A631" s="56"/>
      <c r="B631" s="56"/>
      <c r="C631" s="56"/>
    </row>
    <row r="632">
      <c r="A632" s="56"/>
      <c r="B632" s="56"/>
      <c r="C632" s="56"/>
    </row>
    <row r="633">
      <c r="A633" s="56"/>
      <c r="B633" s="56"/>
      <c r="C633" s="56"/>
    </row>
    <row r="634">
      <c r="A634" s="56"/>
      <c r="B634" s="56"/>
      <c r="C634" s="56"/>
    </row>
    <row r="635">
      <c r="A635" s="56"/>
      <c r="B635" s="56"/>
      <c r="C635" s="56"/>
    </row>
    <row r="636">
      <c r="A636" s="56"/>
      <c r="B636" s="56"/>
      <c r="C636" s="56"/>
    </row>
    <row r="637">
      <c r="A637" s="56"/>
      <c r="B637" s="56"/>
      <c r="C637" s="56"/>
    </row>
    <row r="638">
      <c r="A638" s="56"/>
      <c r="B638" s="56"/>
      <c r="C638" s="56"/>
    </row>
    <row r="639">
      <c r="A639" s="56"/>
      <c r="B639" s="56"/>
      <c r="C639" s="56"/>
    </row>
    <row r="640">
      <c r="A640" s="56"/>
      <c r="B640" s="56"/>
      <c r="C640" s="56"/>
    </row>
    <row r="641">
      <c r="A641" s="56"/>
      <c r="B641" s="56"/>
      <c r="C641" s="56"/>
    </row>
    <row r="642">
      <c r="A642" s="56"/>
      <c r="B642" s="56"/>
      <c r="C642" s="56"/>
    </row>
    <row r="643">
      <c r="A643" s="56"/>
      <c r="B643" s="56"/>
      <c r="C643" s="56"/>
    </row>
    <row r="644">
      <c r="A644" s="56"/>
      <c r="B644" s="56"/>
      <c r="C644" s="56"/>
    </row>
    <row r="645">
      <c r="A645" s="56"/>
      <c r="B645" s="56"/>
      <c r="C645" s="56"/>
    </row>
    <row r="646">
      <c r="A646" s="56"/>
      <c r="B646" s="56"/>
      <c r="C646" s="56"/>
    </row>
    <row r="647">
      <c r="A647" s="56"/>
      <c r="B647" s="56"/>
      <c r="C647" s="56"/>
    </row>
    <row r="648">
      <c r="A648" s="56"/>
      <c r="B648" s="56"/>
      <c r="C648" s="56"/>
    </row>
    <row r="649">
      <c r="A649" s="56"/>
      <c r="B649" s="56"/>
      <c r="C649" s="56"/>
    </row>
    <row r="650">
      <c r="A650" s="56"/>
      <c r="B650" s="56"/>
      <c r="C650" s="56"/>
    </row>
    <row r="651">
      <c r="A651" s="56"/>
      <c r="B651" s="56"/>
      <c r="C651" s="56"/>
    </row>
    <row r="652">
      <c r="A652" s="56"/>
      <c r="B652" s="56"/>
      <c r="C652" s="56"/>
    </row>
    <row r="653">
      <c r="A653" s="56"/>
      <c r="B653" s="56"/>
      <c r="C653" s="56"/>
    </row>
    <row r="654">
      <c r="A654" s="56"/>
      <c r="B654" s="56"/>
      <c r="C654" s="56"/>
    </row>
    <row r="655">
      <c r="A655" s="56"/>
      <c r="B655" s="56"/>
      <c r="C655" s="56"/>
    </row>
    <row r="656">
      <c r="A656" s="56"/>
      <c r="B656" s="56"/>
      <c r="C656" s="56"/>
    </row>
    <row r="657">
      <c r="A657" s="56"/>
      <c r="B657" s="56"/>
      <c r="C657" s="56"/>
    </row>
    <row r="658">
      <c r="A658" s="56"/>
      <c r="B658" s="56"/>
      <c r="C658" s="56"/>
    </row>
    <row r="659">
      <c r="A659" s="56"/>
      <c r="B659" s="56"/>
      <c r="C659" s="56"/>
    </row>
    <row r="660">
      <c r="A660" s="56"/>
      <c r="B660" s="56"/>
      <c r="C660" s="56"/>
    </row>
    <row r="661">
      <c r="A661" s="56"/>
      <c r="B661" s="56"/>
      <c r="C661" s="56"/>
    </row>
    <row r="662">
      <c r="A662" s="56"/>
      <c r="B662" s="56"/>
      <c r="C662" s="56"/>
    </row>
    <row r="663">
      <c r="A663" s="56"/>
      <c r="B663" s="56"/>
      <c r="C663" s="56"/>
    </row>
    <row r="664">
      <c r="A664" s="56"/>
      <c r="B664" s="56"/>
      <c r="C664" s="56"/>
    </row>
    <row r="665">
      <c r="A665" s="56"/>
      <c r="B665" s="56"/>
      <c r="C665" s="56"/>
    </row>
    <row r="666">
      <c r="A666" s="56"/>
      <c r="B666" s="56"/>
      <c r="C666" s="56"/>
    </row>
    <row r="667">
      <c r="A667" s="56"/>
      <c r="B667" s="56"/>
      <c r="C667" s="56"/>
    </row>
    <row r="668">
      <c r="A668" s="56"/>
      <c r="B668" s="56"/>
      <c r="C668" s="56"/>
    </row>
    <row r="669">
      <c r="A669" s="56"/>
      <c r="B669" s="56"/>
      <c r="C669" s="56"/>
    </row>
    <row r="670">
      <c r="A670" s="56"/>
      <c r="B670" s="56"/>
      <c r="C670" s="56"/>
    </row>
    <row r="671">
      <c r="A671" s="56"/>
      <c r="B671" s="56"/>
      <c r="C671" s="56"/>
    </row>
    <row r="672">
      <c r="A672" s="56"/>
      <c r="B672" s="56"/>
      <c r="C672" s="56"/>
    </row>
    <row r="673">
      <c r="A673" s="56"/>
      <c r="B673" s="56"/>
      <c r="C673" s="56"/>
    </row>
    <row r="674">
      <c r="A674" s="56"/>
      <c r="B674" s="56"/>
      <c r="C674" s="56"/>
    </row>
    <row r="675">
      <c r="A675" s="56"/>
      <c r="B675" s="56"/>
      <c r="C675" s="56"/>
    </row>
    <row r="676">
      <c r="A676" s="56"/>
      <c r="B676" s="56"/>
      <c r="C676" s="56"/>
    </row>
    <row r="677">
      <c r="A677" s="56"/>
      <c r="B677" s="56"/>
      <c r="C677" s="56"/>
    </row>
    <row r="678">
      <c r="A678" s="56"/>
      <c r="B678" s="56"/>
      <c r="C678" s="56"/>
    </row>
    <row r="679">
      <c r="A679" s="56"/>
      <c r="B679" s="56"/>
      <c r="C679" s="56"/>
    </row>
    <row r="680">
      <c r="A680" s="56"/>
      <c r="B680" s="56"/>
      <c r="C680" s="56"/>
    </row>
    <row r="681">
      <c r="A681" s="56"/>
      <c r="B681" s="56"/>
      <c r="C681" s="56"/>
    </row>
    <row r="682">
      <c r="A682" s="56"/>
      <c r="B682" s="56"/>
      <c r="C682" s="56"/>
    </row>
    <row r="683">
      <c r="A683" s="56"/>
      <c r="B683" s="56"/>
      <c r="C683" s="56"/>
    </row>
    <row r="684">
      <c r="A684" s="56"/>
      <c r="B684" s="56"/>
      <c r="C684" s="56"/>
    </row>
    <row r="685">
      <c r="A685" s="56"/>
      <c r="B685" s="56"/>
      <c r="C685" s="56"/>
    </row>
    <row r="686">
      <c r="A686" s="56"/>
      <c r="B686" s="56"/>
      <c r="C686" s="56"/>
    </row>
    <row r="687">
      <c r="A687" s="56"/>
      <c r="B687" s="56"/>
      <c r="C687" s="56"/>
    </row>
    <row r="688">
      <c r="A688" s="56"/>
      <c r="B688" s="56"/>
      <c r="C688" s="56"/>
    </row>
    <row r="689">
      <c r="A689" s="56"/>
      <c r="B689" s="56"/>
      <c r="C689" s="56"/>
    </row>
    <row r="690">
      <c r="A690" s="56"/>
      <c r="B690" s="56"/>
      <c r="C690" s="56"/>
    </row>
    <row r="691">
      <c r="A691" s="56"/>
      <c r="B691" s="56"/>
      <c r="C691" s="56"/>
    </row>
    <row r="692">
      <c r="A692" s="56"/>
      <c r="B692" s="56"/>
      <c r="C692" s="56"/>
    </row>
    <row r="693">
      <c r="A693" s="56"/>
      <c r="B693" s="56"/>
      <c r="C693" s="56"/>
    </row>
    <row r="694">
      <c r="A694" s="56"/>
      <c r="B694" s="56"/>
      <c r="C694" s="56"/>
    </row>
    <row r="695">
      <c r="A695" s="56"/>
      <c r="B695" s="56"/>
      <c r="C695" s="56"/>
    </row>
    <row r="696">
      <c r="A696" s="56"/>
      <c r="B696" s="56"/>
      <c r="C696" s="56"/>
    </row>
    <row r="697">
      <c r="A697" s="56"/>
      <c r="B697" s="56"/>
      <c r="C697" s="56"/>
    </row>
    <row r="698">
      <c r="A698" s="56"/>
      <c r="B698" s="56"/>
      <c r="C698" s="56"/>
    </row>
    <row r="699">
      <c r="A699" s="56"/>
      <c r="B699" s="56"/>
      <c r="C699" s="56"/>
    </row>
    <row r="700">
      <c r="A700" s="56"/>
      <c r="B700" s="56"/>
      <c r="C700" s="56"/>
    </row>
    <row r="701">
      <c r="A701" s="56"/>
      <c r="B701" s="56"/>
      <c r="C701" s="56"/>
    </row>
    <row r="702">
      <c r="A702" s="56"/>
      <c r="B702" s="56"/>
      <c r="C702" s="56"/>
    </row>
    <row r="703">
      <c r="A703" s="56"/>
      <c r="B703" s="56"/>
      <c r="C703" s="56"/>
    </row>
    <row r="704">
      <c r="A704" s="56"/>
      <c r="B704" s="56"/>
      <c r="C704" s="56"/>
    </row>
    <row r="705">
      <c r="A705" s="56"/>
      <c r="B705" s="56"/>
      <c r="C705" s="56"/>
    </row>
    <row r="706">
      <c r="A706" s="56"/>
      <c r="B706" s="56"/>
      <c r="C706" s="56"/>
    </row>
    <row r="707">
      <c r="A707" s="56"/>
      <c r="B707" s="56"/>
      <c r="C707" s="56"/>
    </row>
    <row r="708">
      <c r="A708" s="56"/>
      <c r="B708" s="56"/>
      <c r="C708" s="56"/>
    </row>
    <row r="709">
      <c r="A709" s="56"/>
      <c r="B709" s="56"/>
      <c r="C709" s="56"/>
    </row>
    <row r="710">
      <c r="A710" s="56"/>
      <c r="B710" s="56"/>
      <c r="C710" s="56"/>
    </row>
    <row r="711">
      <c r="A711" s="56"/>
      <c r="B711" s="56"/>
      <c r="C711" s="56"/>
    </row>
    <row r="712">
      <c r="A712" s="56"/>
      <c r="B712" s="56"/>
      <c r="C712" s="56"/>
    </row>
    <row r="713">
      <c r="A713" s="56"/>
      <c r="B713" s="56"/>
      <c r="C713" s="56"/>
    </row>
    <row r="714">
      <c r="A714" s="56"/>
      <c r="B714" s="56"/>
      <c r="C714" s="56"/>
    </row>
    <row r="715">
      <c r="A715" s="56"/>
      <c r="B715" s="56"/>
      <c r="C715" s="56"/>
    </row>
    <row r="716">
      <c r="A716" s="56"/>
      <c r="B716" s="56"/>
      <c r="C716" s="56"/>
    </row>
    <row r="717">
      <c r="A717" s="56"/>
      <c r="B717" s="56"/>
      <c r="C717" s="56"/>
    </row>
    <row r="718">
      <c r="A718" s="56"/>
      <c r="B718" s="56"/>
      <c r="C718" s="56"/>
    </row>
    <row r="719">
      <c r="A719" s="56"/>
      <c r="B719" s="56"/>
      <c r="C719" s="56"/>
    </row>
    <row r="720">
      <c r="A720" s="56"/>
      <c r="B720" s="56"/>
      <c r="C720" s="56"/>
    </row>
    <row r="721">
      <c r="A721" s="56"/>
      <c r="B721" s="56"/>
      <c r="C721" s="56"/>
    </row>
    <row r="722">
      <c r="A722" s="56"/>
      <c r="B722" s="56"/>
      <c r="C722" s="56"/>
    </row>
    <row r="723">
      <c r="A723" s="56"/>
      <c r="B723" s="56"/>
      <c r="C723" s="56"/>
    </row>
    <row r="724">
      <c r="A724" s="56"/>
      <c r="B724" s="56"/>
      <c r="C724" s="56"/>
    </row>
    <row r="725">
      <c r="A725" s="56"/>
      <c r="B725" s="56"/>
      <c r="C725" s="56"/>
    </row>
    <row r="726">
      <c r="A726" s="56"/>
      <c r="B726" s="56"/>
      <c r="C726" s="56"/>
    </row>
    <row r="727">
      <c r="A727" s="56"/>
      <c r="B727" s="56"/>
      <c r="C727" s="56"/>
    </row>
    <row r="728">
      <c r="A728" s="56"/>
      <c r="B728" s="56"/>
      <c r="C728" s="56"/>
    </row>
    <row r="729">
      <c r="A729" s="56"/>
      <c r="B729" s="56"/>
      <c r="C729" s="56"/>
    </row>
    <row r="730">
      <c r="A730" s="56"/>
      <c r="B730" s="56"/>
      <c r="C730" s="56"/>
    </row>
    <row r="731">
      <c r="A731" s="56"/>
      <c r="B731" s="56"/>
      <c r="C731" s="56"/>
    </row>
    <row r="732">
      <c r="A732" s="56"/>
      <c r="B732" s="56"/>
      <c r="C732" s="56"/>
    </row>
    <row r="733">
      <c r="A733" s="56"/>
      <c r="B733" s="56"/>
      <c r="C733" s="56"/>
    </row>
    <row r="734">
      <c r="A734" s="56"/>
      <c r="B734" s="56"/>
      <c r="C734" s="56"/>
    </row>
    <row r="735">
      <c r="A735" s="56"/>
      <c r="B735" s="56"/>
      <c r="C735" s="56"/>
    </row>
    <row r="736">
      <c r="A736" s="56"/>
      <c r="B736" s="56"/>
      <c r="C736" s="56"/>
    </row>
    <row r="737">
      <c r="A737" s="56"/>
      <c r="B737" s="56"/>
      <c r="C737" s="56"/>
    </row>
    <row r="738">
      <c r="A738" s="56"/>
      <c r="B738" s="56"/>
      <c r="C738" s="56"/>
    </row>
    <row r="739">
      <c r="A739" s="56"/>
      <c r="B739" s="56"/>
      <c r="C739" s="56"/>
    </row>
    <row r="740">
      <c r="A740" s="56"/>
      <c r="B740" s="56"/>
      <c r="C740" s="56"/>
    </row>
    <row r="741">
      <c r="A741" s="56"/>
      <c r="B741" s="56"/>
      <c r="C741" s="56"/>
    </row>
    <row r="742">
      <c r="A742" s="56"/>
      <c r="B742" s="56"/>
      <c r="C742" s="56"/>
    </row>
    <row r="743">
      <c r="A743" s="56"/>
      <c r="B743" s="56"/>
      <c r="C743" s="56"/>
    </row>
    <row r="744">
      <c r="A744" s="56"/>
      <c r="B744" s="56"/>
      <c r="C744" s="56"/>
    </row>
    <row r="745">
      <c r="A745" s="56"/>
      <c r="B745" s="56"/>
      <c r="C745" s="56"/>
    </row>
    <row r="746">
      <c r="A746" s="56"/>
      <c r="B746" s="56"/>
      <c r="C746" s="56"/>
    </row>
    <row r="747">
      <c r="A747" s="56"/>
      <c r="B747" s="56"/>
      <c r="C747" s="56"/>
    </row>
    <row r="748">
      <c r="A748" s="56"/>
      <c r="B748" s="56"/>
      <c r="C748" s="56"/>
    </row>
    <row r="749">
      <c r="A749" s="56"/>
      <c r="B749" s="56"/>
      <c r="C749" s="56"/>
    </row>
    <row r="750">
      <c r="A750" s="56"/>
      <c r="B750" s="56"/>
      <c r="C750" s="56"/>
    </row>
    <row r="751">
      <c r="A751" s="56"/>
      <c r="B751" s="56"/>
      <c r="C751" s="56"/>
    </row>
    <row r="752">
      <c r="A752" s="56"/>
      <c r="B752" s="56"/>
      <c r="C752" s="56"/>
    </row>
    <row r="753">
      <c r="A753" s="56"/>
      <c r="B753" s="56"/>
      <c r="C753" s="56"/>
    </row>
    <row r="754">
      <c r="A754" s="56"/>
      <c r="B754" s="56"/>
      <c r="C754" s="56"/>
    </row>
    <row r="755">
      <c r="A755" s="56"/>
      <c r="B755" s="56"/>
      <c r="C755" s="56"/>
    </row>
    <row r="756">
      <c r="A756" s="56"/>
      <c r="B756" s="56"/>
      <c r="C756" s="56"/>
    </row>
    <row r="757">
      <c r="A757" s="56"/>
      <c r="B757" s="56"/>
      <c r="C757" s="56"/>
    </row>
    <row r="758">
      <c r="A758" s="56"/>
      <c r="B758" s="56"/>
      <c r="C758" s="56"/>
    </row>
    <row r="759">
      <c r="A759" s="56"/>
      <c r="B759" s="56"/>
      <c r="C759" s="56"/>
    </row>
    <row r="760">
      <c r="A760" s="56"/>
      <c r="B760" s="56"/>
      <c r="C760" s="56"/>
    </row>
    <row r="761">
      <c r="A761" s="56"/>
      <c r="B761" s="56"/>
      <c r="C761" s="56"/>
    </row>
    <row r="762">
      <c r="A762" s="56"/>
      <c r="B762" s="56"/>
      <c r="C762" s="56"/>
    </row>
    <row r="763">
      <c r="A763" s="56"/>
      <c r="B763" s="56"/>
      <c r="C763" s="56"/>
    </row>
    <row r="764">
      <c r="A764" s="56"/>
      <c r="B764" s="56"/>
      <c r="C764" s="56"/>
    </row>
    <row r="765">
      <c r="A765" s="56"/>
      <c r="B765" s="56"/>
      <c r="C765" s="56"/>
    </row>
    <row r="766">
      <c r="A766" s="56"/>
      <c r="B766" s="56"/>
      <c r="C766" s="56"/>
    </row>
    <row r="767">
      <c r="A767" s="56"/>
      <c r="B767" s="56"/>
      <c r="C767" s="56"/>
    </row>
    <row r="768">
      <c r="A768" s="56"/>
      <c r="B768" s="56"/>
      <c r="C768" s="56"/>
    </row>
    <row r="769">
      <c r="A769" s="56"/>
      <c r="B769" s="56"/>
      <c r="C769" s="56"/>
    </row>
    <row r="770">
      <c r="A770" s="56"/>
      <c r="B770" s="56"/>
      <c r="C770" s="56"/>
    </row>
    <row r="771">
      <c r="A771" s="56"/>
      <c r="B771" s="56"/>
      <c r="C771" s="56"/>
    </row>
    <row r="772">
      <c r="A772" s="56"/>
      <c r="B772" s="56"/>
      <c r="C772" s="56"/>
    </row>
    <row r="773">
      <c r="A773" s="56"/>
      <c r="B773" s="56"/>
      <c r="C773" s="56"/>
    </row>
    <row r="774">
      <c r="A774" s="56"/>
      <c r="B774" s="56"/>
      <c r="C774" s="56"/>
    </row>
    <row r="775">
      <c r="A775" s="56"/>
      <c r="B775" s="56"/>
      <c r="C775" s="56"/>
    </row>
    <row r="776">
      <c r="A776" s="56"/>
      <c r="B776" s="56"/>
      <c r="C776" s="56"/>
    </row>
    <row r="777">
      <c r="A777" s="56"/>
      <c r="B777" s="56"/>
      <c r="C777" s="56"/>
    </row>
    <row r="778">
      <c r="A778" s="56"/>
      <c r="B778" s="56"/>
      <c r="C778" s="56"/>
    </row>
    <row r="779">
      <c r="A779" s="56"/>
      <c r="B779" s="56"/>
      <c r="C779" s="56"/>
    </row>
    <row r="780">
      <c r="A780" s="56"/>
      <c r="B780" s="56"/>
      <c r="C780" s="56"/>
    </row>
    <row r="781">
      <c r="A781" s="56"/>
      <c r="B781" s="56"/>
      <c r="C781" s="56"/>
    </row>
    <row r="782">
      <c r="A782" s="56"/>
      <c r="B782" s="56"/>
      <c r="C782" s="56"/>
    </row>
    <row r="783">
      <c r="A783" s="56"/>
      <c r="B783" s="56"/>
      <c r="C783" s="56"/>
    </row>
    <row r="784">
      <c r="A784" s="56"/>
      <c r="B784" s="56"/>
      <c r="C784" s="56"/>
    </row>
    <row r="785">
      <c r="A785" s="56"/>
      <c r="B785" s="56"/>
      <c r="C785" s="56"/>
    </row>
    <row r="786">
      <c r="A786" s="56"/>
      <c r="B786" s="56"/>
      <c r="C786" s="56"/>
    </row>
    <row r="787">
      <c r="A787" s="56"/>
      <c r="B787" s="56"/>
      <c r="C787" s="56"/>
    </row>
    <row r="788">
      <c r="A788" s="56"/>
      <c r="B788" s="56"/>
      <c r="C788" s="56"/>
    </row>
    <row r="789">
      <c r="A789" s="56"/>
      <c r="B789" s="56"/>
      <c r="C789" s="56"/>
    </row>
    <row r="790">
      <c r="A790" s="56"/>
      <c r="B790" s="56"/>
      <c r="C790" s="56"/>
    </row>
    <row r="791">
      <c r="A791" s="56"/>
      <c r="B791" s="56"/>
      <c r="C791" s="56"/>
    </row>
    <row r="792">
      <c r="A792" s="56"/>
      <c r="B792" s="56"/>
      <c r="C792" s="56"/>
    </row>
    <row r="793">
      <c r="A793" s="56"/>
      <c r="B793" s="56"/>
      <c r="C793" s="56"/>
    </row>
    <row r="794">
      <c r="A794" s="56"/>
      <c r="B794" s="56"/>
      <c r="C794" s="56"/>
    </row>
    <row r="795">
      <c r="A795" s="56"/>
      <c r="B795" s="56"/>
      <c r="C795" s="56"/>
    </row>
    <row r="796">
      <c r="A796" s="56"/>
      <c r="B796" s="56"/>
      <c r="C796" s="56"/>
    </row>
    <row r="797">
      <c r="A797" s="56"/>
      <c r="B797" s="56"/>
      <c r="C797" s="56"/>
    </row>
    <row r="798">
      <c r="A798" s="56"/>
      <c r="B798" s="56"/>
      <c r="C798" s="56"/>
    </row>
    <row r="799">
      <c r="A799" s="56"/>
      <c r="B799" s="56"/>
      <c r="C799" s="56"/>
    </row>
    <row r="800">
      <c r="A800" s="56"/>
      <c r="B800" s="56"/>
      <c r="C800" s="56"/>
    </row>
    <row r="801">
      <c r="A801" s="56"/>
      <c r="B801" s="56"/>
      <c r="C801" s="56"/>
    </row>
    <row r="802">
      <c r="A802" s="56"/>
      <c r="B802" s="56"/>
      <c r="C802" s="56"/>
    </row>
    <row r="803">
      <c r="A803" s="56"/>
      <c r="B803" s="56"/>
      <c r="C803" s="56"/>
    </row>
    <row r="804">
      <c r="A804" s="56"/>
      <c r="B804" s="56"/>
      <c r="C804" s="56"/>
    </row>
    <row r="805">
      <c r="A805" s="56"/>
      <c r="B805" s="56"/>
      <c r="C805" s="56"/>
    </row>
    <row r="806">
      <c r="A806" s="56"/>
      <c r="B806" s="56"/>
      <c r="C806" s="56"/>
    </row>
    <row r="807">
      <c r="A807" s="56"/>
      <c r="B807" s="56"/>
      <c r="C807" s="56"/>
    </row>
    <row r="808">
      <c r="A808" s="56"/>
      <c r="B808" s="56"/>
      <c r="C808" s="56"/>
    </row>
    <row r="809">
      <c r="A809" s="56"/>
      <c r="B809" s="56"/>
      <c r="C809" s="56"/>
    </row>
    <row r="810">
      <c r="A810" s="56"/>
      <c r="B810" s="56"/>
      <c r="C810" s="56"/>
    </row>
    <row r="811">
      <c r="A811" s="56"/>
      <c r="B811" s="56"/>
      <c r="C811" s="56"/>
    </row>
    <row r="812">
      <c r="A812" s="56"/>
      <c r="B812" s="56"/>
      <c r="C812" s="56"/>
    </row>
    <row r="813">
      <c r="A813" s="56"/>
      <c r="B813" s="56"/>
      <c r="C813" s="56"/>
    </row>
    <row r="814">
      <c r="A814" s="56"/>
      <c r="B814" s="56"/>
      <c r="C814" s="56"/>
    </row>
    <row r="815">
      <c r="A815" s="56"/>
      <c r="B815" s="56"/>
      <c r="C815" s="56"/>
    </row>
    <row r="816">
      <c r="A816" s="56"/>
      <c r="B816" s="56"/>
      <c r="C816" s="56"/>
    </row>
    <row r="817">
      <c r="A817" s="56"/>
      <c r="B817" s="56"/>
      <c r="C817" s="56"/>
    </row>
    <row r="818">
      <c r="A818" s="56"/>
      <c r="B818" s="56"/>
      <c r="C818" s="56"/>
    </row>
    <row r="819">
      <c r="A819" s="56"/>
      <c r="B819" s="56"/>
      <c r="C819" s="56"/>
    </row>
    <row r="820">
      <c r="A820" s="56"/>
      <c r="B820" s="56"/>
      <c r="C820" s="56"/>
    </row>
    <row r="821">
      <c r="A821" s="56"/>
      <c r="B821" s="56"/>
      <c r="C821" s="56"/>
    </row>
    <row r="822">
      <c r="A822" s="56"/>
      <c r="B822" s="56"/>
      <c r="C822" s="56"/>
    </row>
    <row r="823">
      <c r="A823" s="56"/>
      <c r="B823" s="56"/>
      <c r="C823" s="56"/>
    </row>
    <row r="824">
      <c r="A824" s="56"/>
      <c r="B824" s="56"/>
      <c r="C824" s="56"/>
    </row>
    <row r="825">
      <c r="A825" s="56"/>
      <c r="B825" s="56"/>
      <c r="C825" s="56"/>
    </row>
    <row r="826">
      <c r="A826" s="56"/>
      <c r="B826" s="56"/>
      <c r="C826" s="56"/>
    </row>
    <row r="827">
      <c r="A827" s="56"/>
      <c r="B827" s="56"/>
      <c r="C827" s="56"/>
    </row>
    <row r="828">
      <c r="A828" s="56"/>
      <c r="B828" s="56"/>
      <c r="C828" s="56"/>
    </row>
    <row r="829">
      <c r="A829" s="56"/>
      <c r="B829" s="56"/>
      <c r="C829" s="56"/>
    </row>
    <row r="830">
      <c r="A830" s="56"/>
      <c r="B830" s="56"/>
      <c r="C830" s="56"/>
    </row>
    <row r="831">
      <c r="A831" s="56"/>
      <c r="B831" s="56"/>
      <c r="C831" s="56"/>
    </row>
    <row r="832">
      <c r="A832" s="56"/>
      <c r="B832" s="56"/>
      <c r="C832" s="56"/>
    </row>
    <row r="833">
      <c r="A833" s="56"/>
      <c r="B833" s="56"/>
      <c r="C833" s="56"/>
    </row>
    <row r="834">
      <c r="A834" s="56"/>
      <c r="B834" s="56"/>
      <c r="C834" s="56"/>
    </row>
    <row r="835">
      <c r="A835" s="56"/>
      <c r="B835" s="56"/>
      <c r="C835" s="56"/>
    </row>
    <row r="836">
      <c r="A836" s="56"/>
      <c r="B836" s="56"/>
      <c r="C836" s="56"/>
    </row>
    <row r="837">
      <c r="A837" s="56"/>
      <c r="B837" s="56"/>
      <c r="C837" s="56"/>
    </row>
    <row r="838">
      <c r="A838" s="56"/>
      <c r="B838" s="56"/>
      <c r="C838" s="56"/>
    </row>
    <row r="839">
      <c r="A839" s="56"/>
      <c r="B839" s="56"/>
      <c r="C839" s="56"/>
    </row>
    <row r="840">
      <c r="A840" s="56"/>
      <c r="B840" s="56"/>
      <c r="C840" s="56"/>
    </row>
    <row r="841">
      <c r="A841" s="56"/>
      <c r="B841" s="56"/>
      <c r="C841" s="56"/>
    </row>
    <row r="842">
      <c r="A842" s="56"/>
      <c r="B842" s="56"/>
      <c r="C842" s="56"/>
    </row>
    <row r="843">
      <c r="A843" s="56"/>
      <c r="B843" s="56"/>
      <c r="C843" s="56"/>
    </row>
    <row r="844">
      <c r="A844" s="56"/>
      <c r="B844" s="56"/>
      <c r="C844" s="56"/>
    </row>
    <row r="845">
      <c r="A845" s="56"/>
      <c r="B845" s="56"/>
      <c r="C845" s="56"/>
    </row>
    <row r="846">
      <c r="A846" s="56"/>
      <c r="B846" s="56"/>
      <c r="C846" s="56"/>
    </row>
    <row r="847">
      <c r="A847" s="56"/>
      <c r="B847" s="56"/>
      <c r="C847" s="56"/>
    </row>
    <row r="848">
      <c r="A848" s="56"/>
      <c r="B848" s="56"/>
      <c r="C848" s="56"/>
    </row>
    <row r="849">
      <c r="A849" s="56"/>
      <c r="B849" s="56"/>
      <c r="C849" s="56"/>
    </row>
    <row r="850">
      <c r="A850" s="56"/>
      <c r="B850" s="56"/>
      <c r="C850" s="56"/>
    </row>
    <row r="851">
      <c r="A851" s="56"/>
      <c r="B851" s="56"/>
      <c r="C851" s="56"/>
    </row>
    <row r="852">
      <c r="A852" s="56"/>
      <c r="B852" s="56"/>
      <c r="C852" s="56"/>
    </row>
    <row r="853">
      <c r="A853" s="56"/>
      <c r="B853" s="56"/>
      <c r="C853" s="56"/>
    </row>
    <row r="854">
      <c r="A854" s="56"/>
      <c r="B854" s="56"/>
      <c r="C854" s="56"/>
    </row>
    <row r="855">
      <c r="A855" s="56"/>
      <c r="B855" s="56"/>
      <c r="C855" s="56"/>
    </row>
    <row r="856">
      <c r="A856" s="56"/>
      <c r="B856" s="56"/>
      <c r="C856" s="56"/>
    </row>
    <row r="857">
      <c r="A857" s="56"/>
      <c r="B857" s="56"/>
      <c r="C857" s="56"/>
    </row>
    <row r="858">
      <c r="A858" s="56"/>
      <c r="B858" s="56"/>
      <c r="C858" s="56"/>
    </row>
    <row r="859">
      <c r="A859" s="56"/>
      <c r="B859" s="56"/>
      <c r="C859" s="56"/>
    </row>
    <row r="860">
      <c r="A860" s="56"/>
      <c r="B860" s="56"/>
      <c r="C860" s="56"/>
    </row>
    <row r="861">
      <c r="A861" s="56"/>
      <c r="B861" s="56"/>
      <c r="C861" s="56"/>
    </row>
    <row r="862">
      <c r="A862" s="56"/>
      <c r="B862" s="56"/>
      <c r="C862" s="56"/>
    </row>
    <row r="863">
      <c r="A863" s="56"/>
      <c r="B863" s="56"/>
      <c r="C863" s="56"/>
    </row>
    <row r="864">
      <c r="A864" s="56"/>
      <c r="B864" s="56"/>
      <c r="C864" s="56"/>
    </row>
    <row r="865">
      <c r="A865" s="56"/>
      <c r="B865" s="56"/>
      <c r="C865" s="56"/>
    </row>
    <row r="866">
      <c r="A866" s="56"/>
      <c r="B866" s="56"/>
      <c r="C866" s="56"/>
    </row>
    <row r="867">
      <c r="A867" s="56"/>
      <c r="B867" s="56"/>
      <c r="C867" s="56"/>
    </row>
    <row r="868">
      <c r="A868" s="56"/>
      <c r="B868" s="56"/>
      <c r="C868" s="56"/>
    </row>
    <row r="869">
      <c r="A869" s="56"/>
      <c r="B869" s="56"/>
      <c r="C869" s="56"/>
    </row>
    <row r="870">
      <c r="A870" s="56"/>
      <c r="B870" s="56"/>
      <c r="C870" s="56"/>
    </row>
    <row r="871">
      <c r="A871" s="56"/>
      <c r="B871" s="56"/>
      <c r="C871" s="56"/>
    </row>
    <row r="872">
      <c r="A872" s="56"/>
      <c r="B872" s="56"/>
      <c r="C872" s="56"/>
    </row>
    <row r="873">
      <c r="A873" s="56"/>
      <c r="B873" s="56"/>
      <c r="C873" s="56"/>
    </row>
    <row r="874">
      <c r="A874" s="56"/>
      <c r="B874" s="56"/>
      <c r="C874" s="56"/>
    </row>
    <row r="875">
      <c r="A875" s="56"/>
      <c r="B875" s="56"/>
      <c r="C875" s="56"/>
    </row>
    <row r="876">
      <c r="A876" s="56"/>
      <c r="B876" s="56"/>
      <c r="C876" s="56"/>
    </row>
    <row r="877">
      <c r="A877" s="56"/>
      <c r="B877" s="56"/>
      <c r="C877" s="56"/>
    </row>
    <row r="878">
      <c r="A878" s="56"/>
      <c r="B878" s="56"/>
      <c r="C878" s="56"/>
    </row>
    <row r="879">
      <c r="A879" s="56"/>
      <c r="B879" s="56"/>
      <c r="C879" s="56"/>
    </row>
    <row r="880">
      <c r="A880" s="56"/>
      <c r="B880" s="56"/>
      <c r="C880" s="56"/>
    </row>
    <row r="881">
      <c r="A881" s="56"/>
      <c r="B881" s="56"/>
      <c r="C881" s="56"/>
    </row>
    <row r="882">
      <c r="A882" s="56"/>
      <c r="B882" s="56"/>
      <c r="C882" s="56"/>
    </row>
    <row r="883">
      <c r="A883" s="56"/>
      <c r="B883" s="56"/>
      <c r="C883" s="56"/>
    </row>
    <row r="884">
      <c r="A884" s="56"/>
      <c r="B884" s="56"/>
      <c r="C884" s="56"/>
    </row>
    <row r="885">
      <c r="A885" s="56"/>
      <c r="B885" s="56"/>
      <c r="C885" s="56"/>
    </row>
    <row r="886">
      <c r="A886" s="56"/>
      <c r="B886" s="56"/>
      <c r="C886" s="56"/>
    </row>
    <row r="887">
      <c r="A887" s="56"/>
      <c r="B887" s="56"/>
      <c r="C887" s="56"/>
    </row>
    <row r="888">
      <c r="A888" s="56"/>
      <c r="B888" s="56"/>
      <c r="C888" s="56"/>
    </row>
    <row r="889">
      <c r="A889" s="56"/>
      <c r="B889" s="56"/>
      <c r="C889" s="56"/>
    </row>
    <row r="890">
      <c r="A890" s="56"/>
      <c r="B890" s="56"/>
      <c r="C890" s="56"/>
    </row>
    <row r="891">
      <c r="A891" s="56"/>
      <c r="B891" s="56"/>
      <c r="C891" s="56"/>
    </row>
    <row r="892">
      <c r="A892" s="56"/>
      <c r="B892" s="56"/>
      <c r="C892" s="56"/>
    </row>
    <row r="893">
      <c r="A893" s="56"/>
      <c r="B893" s="56"/>
      <c r="C893" s="56"/>
    </row>
    <row r="894">
      <c r="A894" s="56"/>
      <c r="B894" s="56"/>
      <c r="C894" s="56"/>
    </row>
    <row r="895">
      <c r="A895" s="56"/>
      <c r="B895" s="56"/>
      <c r="C895" s="56"/>
    </row>
    <row r="896">
      <c r="A896" s="56"/>
      <c r="B896" s="56"/>
      <c r="C896" s="56"/>
    </row>
    <row r="897">
      <c r="A897" s="56"/>
      <c r="B897" s="56"/>
      <c r="C897" s="56"/>
    </row>
    <row r="898">
      <c r="A898" s="56"/>
      <c r="B898" s="56"/>
      <c r="C898" s="56"/>
    </row>
    <row r="899">
      <c r="A899" s="56"/>
      <c r="B899" s="56"/>
      <c r="C899" s="56"/>
    </row>
    <row r="900">
      <c r="A900" s="56"/>
      <c r="B900" s="56"/>
      <c r="C900" s="56"/>
    </row>
    <row r="901">
      <c r="A901" s="56"/>
      <c r="B901" s="56"/>
      <c r="C901" s="56"/>
    </row>
    <row r="902">
      <c r="A902" s="56"/>
      <c r="B902" s="56"/>
      <c r="C902" s="56"/>
    </row>
    <row r="903">
      <c r="A903" s="56"/>
      <c r="B903" s="56"/>
      <c r="C903" s="56"/>
    </row>
    <row r="904">
      <c r="A904" s="56"/>
      <c r="B904" s="56"/>
      <c r="C904" s="56"/>
    </row>
    <row r="905">
      <c r="A905" s="56"/>
      <c r="B905" s="56"/>
      <c r="C905" s="56"/>
    </row>
    <row r="906">
      <c r="A906" s="56"/>
      <c r="B906" s="56"/>
      <c r="C906" s="56"/>
    </row>
    <row r="907">
      <c r="A907" s="56"/>
      <c r="B907" s="56"/>
      <c r="C907" s="56"/>
    </row>
    <row r="908">
      <c r="A908" s="56"/>
      <c r="B908" s="56"/>
      <c r="C908" s="56"/>
    </row>
    <row r="909">
      <c r="A909" s="56"/>
      <c r="B909" s="56"/>
      <c r="C909" s="56"/>
    </row>
    <row r="910">
      <c r="A910" s="56"/>
      <c r="B910" s="56"/>
      <c r="C910" s="56"/>
    </row>
    <row r="911">
      <c r="A911" s="56"/>
      <c r="B911" s="56"/>
      <c r="C911" s="56"/>
    </row>
    <row r="912">
      <c r="A912" s="56"/>
      <c r="B912" s="56"/>
      <c r="C912" s="56"/>
    </row>
    <row r="913">
      <c r="A913" s="56"/>
      <c r="B913" s="56"/>
      <c r="C913" s="56"/>
    </row>
    <row r="914">
      <c r="A914" s="56"/>
      <c r="B914" s="56"/>
      <c r="C914" s="56"/>
    </row>
    <row r="915">
      <c r="A915" s="56"/>
      <c r="B915" s="56"/>
      <c r="C915" s="56"/>
    </row>
    <row r="916">
      <c r="A916" s="56"/>
      <c r="B916" s="56"/>
      <c r="C916" s="56"/>
    </row>
    <row r="917">
      <c r="A917" s="56"/>
      <c r="B917" s="56"/>
      <c r="C917" s="56"/>
    </row>
    <row r="918">
      <c r="A918" s="56"/>
      <c r="B918" s="56"/>
      <c r="C918" s="56"/>
    </row>
    <row r="919">
      <c r="A919" s="56"/>
      <c r="B919" s="56"/>
      <c r="C919" s="56"/>
    </row>
    <row r="920">
      <c r="A920" s="56"/>
      <c r="B920" s="56"/>
      <c r="C920" s="56"/>
    </row>
    <row r="921">
      <c r="A921" s="56"/>
      <c r="B921" s="56"/>
      <c r="C921" s="56"/>
    </row>
    <row r="922">
      <c r="A922" s="56"/>
      <c r="B922" s="56"/>
      <c r="C922" s="56"/>
    </row>
    <row r="923">
      <c r="A923" s="56"/>
      <c r="B923" s="56"/>
      <c r="C923" s="56"/>
    </row>
    <row r="924">
      <c r="A924" s="56"/>
      <c r="B924" s="56"/>
      <c r="C924" s="56"/>
    </row>
    <row r="925">
      <c r="A925" s="56"/>
      <c r="B925" s="56"/>
      <c r="C925" s="56"/>
    </row>
    <row r="926">
      <c r="A926" s="56"/>
      <c r="B926" s="56"/>
      <c r="C926" s="56"/>
    </row>
    <row r="927">
      <c r="A927" s="56"/>
      <c r="B927" s="56"/>
      <c r="C927" s="56"/>
    </row>
    <row r="928">
      <c r="A928" s="56"/>
      <c r="B928" s="56"/>
      <c r="C928" s="56"/>
    </row>
    <row r="929">
      <c r="A929" s="56"/>
      <c r="B929" s="56"/>
      <c r="C929" s="56"/>
    </row>
    <row r="930">
      <c r="A930" s="56"/>
      <c r="B930" s="56"/>
      <c r="C930" s="56"/>
    </row>
    <row r="931">
      <c r="A931" s="56"/>
      <c r="B931" s="56"/>
      <c r="C931" s="56"/>
    </row>
    <row r="932">
      <c r="A932" s="56"/>
      <c r="B932" s="56"/>
      <c r="C932" s="56"/>
    </row>
    <row r="933">
      <c r="A933" s="56"/>
      <c r="B933" s="56"/>
      <c r="C933" s="56"/>
    </row>
    <row r="934">
      <c r="A934" s="56"/>
      <c r="B934" s="56"/>
      <c r="C934" s="56"/>
    </row>
    <row r="935">
      <c r="A935" s="56"/>
      <c r="B935" s="56"/>
      <c r="C935" s="56"/>
    </row>
    <row r="936">
      <c r="A936" s="56"/>
      <c r="B936" s="56"/>
      <c r="C936" s="56"/>
    </row>
    <row r="937">
      <c r="A937" s="56"/>
      <c r="B937" s="56"/>
      <c r="C937" s="56"/>
    </row>
    <row r="938">
      <c r="A938" s="56"/>
      <c r="B938" s="56"/>
      <c r="C938" s="56"/>
    </row>
    <row r="939">
      <c r="A939" s="56"/>
      <c r="B939" s="56"/>
      <c r="C939" s="56"/>
    </row>
    <row r="940">
      <c r="A940" s="56"/>
      <c r="B940" s="56"/>
      <c r="C940" s="56"/>
    </row>
    <row r="941">
      <c r="A941" s="56"/>
      <c r="B941" s="56"/>
      <c r="C941" s="56"/>
    </row>
  </sheetData>
  <autoFilter ref="$A$2:$E$58">
    <sortState ref="A2:E58">
      <sortCondition ref="B2:B58"/>
    </sortState>
  </autoFilter>
  <mergeCells count="2">
    <mergeCell ref="A1:C1"/>
    <mergeCell ref="G11:I11"/>
  </mergeCells>
  <dataValidations>
    <dataValidation type="list" allowBlank="1" showErrorMessage="1" sqref="B117:B941">
      <formula1>CLIENTES!$B$2:$B$1000</formula1>
    </dataValidation>
  </dataValidations>
  <printOptions gridLines="1" horizontalCentered="1"/>
  <pageMargins bottom="1.0" footer="0.0" header="0.0" left="1.0" right="1.0" top="1.0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5.63"/>
  </cols>
  <sheetData>
    <row r="1">
      <c r="A1" s="57" t="s">
        <v>710</v>
      </c>
      <c r="B1" s="6"/>
      <c r="C1" s="7"/>
    </row>
    <row r="2">
      <c r="A2" s="58" t="s">
        <v>608</v>
      </c>
      <c r="B2" s="59" t="s">
        <v>609</v>
      </c>
      <c r="C2" s="60" t="s">
        <v>249</v>
      </c>
      <c r="D2" s="61"/>
      <c r="E2" s="61"/>
    </row>
    <row r="3">
      <c r="A3" s="62" t="s">
        <v>711</v>
      </c>
      <c r="B3" s="34" t="s">
        <v>669</v>
      </c>
      <c r="C3" s="63">
        <v>199210.0</v>
      </c>
    </row>
    <row r="4">
      <c r="A4" s="64">
        <v>46171.0</v>
      </c>
      <c r="B4" s="34" t="s">
        <v>533</v>
      </c>
      <c r="C4" s="63">
        <v>28947.0</v>
      </c>
    </row>
    <row r="5">
      <c r="A5" s="64">
        <v>46155.0</v>
      </c>
      <c r="B5" s="34" t="s">
        <v>712</v>
      </c>
      <c r="C5" s="63">
        <v>57052.0</v>
      </c>
    </row>
    <row r="6">
      <c r="A6" s="64">
        <v>46163.0</v>
      </c>
      <c r="B6" s="34" t="s">
        <v>237</v>
      </c>
      <c r="C6" s="63">
        <v>48251.0</v>
      </c>
    </row>
    <row r="7">
      <c r="A7" s="64">
        <v>46160.0</v>
      </c>
      <c r="B7" s="34" t="s">
        <v>312</v>
      </c>
      <c r="C7" s="63">
        <v>101413.0</v>
      </c>
    </row>
    <row r="8">
      <c r="A8" s="64">
        <v>46169.0</v>
      </c>
      <c r="B8" s="34" t="s">
        <v>713</v>
      </c>
      <c r="C8" s="63">
        <v>41756.0</v>
      </c>
    </row>
    <row r="9">
      <c r="A9" s="64">
        <v>46084.0</v>
      </c>
      <c r="B9" s="34" t="s">
        <v>714</v>
      </c>
      <c r="C9" s="63">
        <v>220200.0</v>
      </c>
    </row>
    <row r="10">
      <c r="A10" s="64">
        <v>46122.0</v>
      </c>
      <c r="B10" s="34" t="s">
        <v>714</v>
      </c>
      <c r="C10" s="63">
        <v>246000.0</v>
      </c>
    </row>
    <row r="11">
      <c r="A11" s="64">
        <v>46171.0</v>
      </c>
      <c r="B11" s="34" t="s">
        <v>715</v>
      </c>
      <c r="C11" s="63">
        <v>193521.0</v>
      </c>
    </row>
    <row r="12">
      <c r="A12" s="64">
        <v>46150.0</v>
      </c>
      <c r="B12" s="34" t="s">
        <v>716</v>
      </c>
      <c r="C12" s="63">
        <v>40621.0</v>
      </c>
    </row>
    <row r="13">
      <c r="A13" s="64">
        <v>46157.0</v>
      </c>
      <c r="B13" s="34" t="s">
        <v>717</v>
      </c>
      <c r="C13" s="63">
        <v>470162.0</v>
      </c>
    </row>
    <row r="14">
      <c r="A14" s="64">
        <v>46161.0</v>
      </c>
      <c r="B14" s="34" t="s">
        <v>717</v>
      </c>
      <c r="C14" s="63">
        <v>19858.0</v>
      </c>
    </row>
    <row r="15">
      <c r="A15" s="64">
        <v>46164.0</v>
      </c>
      <c r="B15" s="34" t="s">
        <v>717</v>
      </c>
      <c r="C15" s="63">
        <v>1430352.0</v>
      </c>
    </row>
    <row r="16">
      <c r="A16" s="64">
        <v>46171.0</v>
      </c>
      <c r="B16" s="34" t="s">
        <v>718</v>
      </c>
      <c r="C16" s="63">
        <v>39356.0</v>
      </c>
    </row>
    <row r="17">
      <c r="A17" s="64">
        <v>46171.0</v>
      </c>
      <c r="B17" s="34" t="s">
        <v>385</v>
      </c>
      <c r="C17" s="63">
        <v>16034.0</v>
      </c>
    </row>
    <row r="18">
      <c r="A18" s="64">
        <v>46171.0</v>
      </c>
      <c r="B18" s="34" t="s">
        <v>257</v>
      </c>
      <c r="C18" s="63">
        <v>83000.0</v>
      </c>
    </row>
    <row r="19">
      <c r="A19" s="64">
        <v>46171.0</v>
      </c>
      <c r="B19" s="34" t="s">
        <v>401</v>
      </c>
      <c r="C19" s="63">
        <v>162244.0</v>
      </c>
    </row>
    <row r="20">
      <c r="A20" s="64">
        <v>46171.0</v>
      </c>
      <c r="B20" s="34" t="s">
        <v>413</v>
      </c>
      <c r="C20" s="63">
        <v>33186.0</v>
      </c>
    </row>
    <row r="21">
      <c r="A21" s="64">
        <v>46171.0</v>
      </c>
      <c r="B21" s="34" t="s">
        <v>426</v>
      </c>
      <c r="C21" s="63">
        <v>29483.0</v>
      </c>
    </row>
    <row r="22">
      <c r="A22" s="64">
        <v>46171.0</v>
      </c>
      <c r="B22" s="34" t="s">
        <v>244</v>
      </c>
      <c r="C22" s="63">
        <v>9480.0</v>
      </c>
    </row>
    <row r="23">
      <c r="A23" s="64">
        <v>46171.0</v>
      </c>
      <c r="B23" s="34" t="s">
        <v>719</v>
      </c>
      <c r="C23" s="63">
        <v>43040.0</v>
      </c>
    </row>
    <row r="24">
      <c r="A24" s="64">
        <v>46171.0</v>
      </c>
      <c r="B24" s="34" t="s">
        <v>321</v>
      </c>
      <c r="C24" s="63">
        <v>609272.0</v>
      </c>
    </row>
    <row r="25">
      <c r="A25" s="64">
        <v>46150.0</v>
      </c>
      <c r="B25" s="34" t="s">
        <v>720</v>
      </c>
      <c r="C25" s="63">
        <f>419296-10802</f>
        <v>408494</v>
      </c>
    </row>
    <row r="26">
      <c r="A26" s="64">
        <v>46171.0</v>
      </c>
      <c r="B26" s="34" t="s">
        <v>470</v>
      </c>
      <c r="C26" s="63">
        <v>33661.0</v>
      </c>
    </row>
    <row r="27">
      <c r="A27" s="64">
        <v>46171.0</v>
      </c>
      <c r="B27" s="34" t="s">
        <v>721</v>
      </c>
      <c r="C27" s="63">
        <v>54076.0</v>
      </c>
    </row>
    <row r="28">
      <c r="A28" s="64">
        <v>46171.0</v>
      </c>
      <c r="B28" s="34" t="s">
        <v>722</v>
      </c>
      <c r="C28" s="63">
        <v>19854.0</v>
      </c>
    </row>
    <row r="29">
      <c r="A29" s="64">
        <v>46171.0</v>
      </c>
      <c r="B29" s="34" t="s">
        <v>484</v>
      </c>
      <c r="C29" s="63">
        <v>53540.0</v>
      </c>
    </row>
    <row r="30">
      <c r="A30" s="64">
        <v>46171.0</v>
      </c>
      <c r="B30" s="34" t="s">
        <v>499</v>
      </c>
      <c r="C30" s="63">
        <v>62964.0</v>
      </c>
    </row>
    <row r="31">
      <c r="A31" s="64">
        <v>46109.0</v>
      </c>
      <c r="B31" s="34" t="s">
        <v>723</v>
      </c>
      <c r="C31" s="63">
        <v>30800.0</v>
      </c>
    </row>
    <row r="32">
      <c r="A32" s="64">
        <v>46146.0</v>
      </c>
      <c r="B32" s="34" t="s">
        <v>723</v>
      </c>
      <c r="C32" s="63">
        <v>40306.0</v>
      </c>
    </row>
    <row r="33">
      <c r="A33" s="64"/>
      <c r="B33" s="34"/>
      <c r="C33" s="65"/>
    </row>
    <row r="34">
      <c r="A34" s="64"/>
      <c r="B34" s="34"/>
      <c r="C34" s="65"/>
    </row>
    <row r="35">
      <c r="A35" s="64"/>
      <c r="B35" s="34"/>
      <c r="C35" s="65"/>
    </row>
    <row r="36">
      <c r="A36" s="64"/>
      <c r="B36" s="34"/>
      <c r="C36" s="65"/>
    </row>
    <row r="37">
      <c r="A37" s="64"/>
      <c r="B37" s="34"/>
      <c r="C37" s="65"/>
    </row>
    <row r="38">
      <c r="A38" s="64"/>
      <c r="B38" s="34"/>
      <c r="C38" s="65"/>
      <c r="D38" s="66"/>
    </row>
    <row r="39">
      <c r="A39" s="64"/>
      <c r="B39" s="34"/>
      <c r="C39" s="65"/>
      <c r="D39" s="66"/>
    </row>
    <row r="40">
      <c r="A40" s="64"/>
      <c r="B40" s="34"/>
      <c r="C40" s="65"/>
    </row>
    <row r="41">
      <c r="A41" s="67"/>
      <c r="B41" s="34"/>
      <c r="C41" s="67"/>
    </row>
    <row r="42">
      <c r="A42" s="67"/>
      <c r="B42" s="34"/>
      <c r="C42" s="67"/>
    </row>
    <row r="43">
      <c r="A43" s="67"/>
      <c r="B43" s="34"/>
      <c r="C43" s="67"/>
    </row>
    <row r="44">
      <c r="A44" s="67"/>
      <c r="B44" s="34"/>
      <c r="C44" s="67"/>
    </row>
    <row r="45">
      <c r="A45" s="67"/>
      <c r="B45" s="34"/>
      <c r="C45" s="67"/>
    </row>
    <row r="46">
      <c r="A46" s="67"/>
      <c r="B46" s="34"/>
      <c r="C46" s="67"/>
    </row>
    <row r="47">
      <c r="A47" s="67"/>
      <c r="B47" s="34"/>
      <c r="C47" s="67"/>
    </row>
    <row r="48">
      <c r="A48" s="67"/>
      <c r="B48" s="34"/>
      <c r="C48" s="67"/>
    </row>
    <row r="49">
      <c r="A49" s="67"/>
      <c r="B49" s="34"/>
      <c r="C49" s="67"/>
    </row>
    <row r="50">
      <c r="A50" s="67"/>
      <c r="B50" s="34"/>
      <c r="C50" s="67"/>
    </row>
    <row r="51">
      <c r="A51" s="67"/>
      <c r="B51" s="34"/>
      <c r="C51" s="67"/>
    </row>
    <row r="52">
      <c r="A52" s="67"/>
      <c r="B52" s="34"/>
      <c r="C52" s="67"/>
    </row>
    <row r="53">
      <c r="A53" s="67"/>
      <c r="B53" s="34"/>
      <c r="C53" s="67"/>
    </row>
    <row r="54">
      <c r="A54" s="67"/>
      <c r="B54" s="34"/>
      <c r="C54" s="67"/>
    </row>
    <row r="55">
      <c r="A55" s="67"/>
      <c r="B55" s="34"/>
      <c r="C55" s="67"/>
    </row>
    <row r="56">
      <c r="A56" s="67"/>
      <c r="B56" s="34"/>
      <c r="C56" s="67"/>
    </row>
    <row r="57">
      <c r="A57" s="67"/>
      <c r="B57" s="34"/>
      <c r="C57" s="67"/>
    </row>
    <row r="58">
      <c r="A58" s="67"/>
      <c r="B58" s="34"/>
      <c r="C58" s="67"/>
    </row>
    <row r="59">
      <c r="A59" s="67"/>
      <c r="B59" s="34"/>
      <c r="C59" s="67"/>
    </row>
    <row r="60">
      <c r="A60" s="67"/>
      <c r="B60" s="34"/>
      <c r="C60" s="67"/>
    </row>
    <row r="61">
      <c r="A61" s="67"/>
      <c r="B61" s="34"/>
      <c r="C61" s="67"/>
    </row>
    <row r="62">
      <c r="A62" s="67"/>
      <c r="B62" s="34"/>
      <c r="C62" s="67"/>
    </row>
    <row r="63">
      <c r="A63" s="67"/>
      <c r="B63" s="34"/>
      <c r="C63" s="67"/>
    </row>
    <row r="64">
      <c r="A64" s="67"/>
      <c r="B64" s="34"/>
      <c r="C64" s="67"/>
    </row>
    <row r="65">
      <c r="A65" s="67"/>
      <c r="B65" s="34"/>
      <c r="C65" s="67"/>
    </row>
    <row r="66">
      <c r="A66" s="67"/>
      <c r="B66" s="34"/>
      <c r="C66" s="67"/>
    </row>
    <row r="67">
      <c r="A67" s="67"/>
      <c r="B67" s="34"/>
      <c r="C67" s="67"/>
    </row>
    <row r="68">
      <c r="A68" s="67"/>
      <c r="B68" s="34"/>
      <c r="C68" s="67"/>
    </row>
    <row r="69">
      <c r="A69" s="67"/>
      <c r="B69" s="34"/>
      <c r="C69" s="67"/>
    </row>
    <row r="70">
      <c r="A70" s="67"/>
      <c r="B70" s="34"/>
      <c r="C70" s="67"/>
    </row>
    <row r="71">
      <c r="A71" s="67"/>
      <c r="B71" s="34"/>
      <c r="C71" s="67"/>
    </row>
    <row r="72">
      <c r="A72" s="67"/>
      <c r="B72" s="34"/>
      <c r="C72" s="67"/>
    </row>
    <row r="73">
      <c r="A73" s="67"/>
      <c r="B73" s="34"/>
      <c r="C73" s="67"/>
    </row>
    <row r="74">
      <c r="A74" s="67"/>
      <c r="B74" s="34"/>
      <c r="C74" s="67"/>
    </row>
    <row r="75">
      <c r="A75" s="67"/>
      <c r="B75" s="34"/>
      <c r="C75" s="67"/>
    </row>
    <row r="76">
      <c r="A76" s="67"/>
      <c r="B76" s="34"/>
      <c r="C76" s="67"/>
    </row>
    <row r="77">
      <c r="A77" s="67"/>
      <c r="B77" s="34"/>
      <c r="C77" s="67"/>
    </row>
    <row r="78">
      <c r="A78" s="67"/>
      <c r="B78" s="67"/>
      <c r="C78" s="67"/>
    </row>
    <row r="79">
      <c r="A79" s="67"/>
      <c r="B79" s="67"/>
      <c r="C79" s="67"/>
    </row>
    <row r="80">
      <c r="A80" s="67"/>
      <c r="B80" s="67"/>
      <c r="C80" s="67"/>
    </row>
    <row r="81">
      <c r="A81" s="67"/>
      <c r="B81" s="67"/>
      <c r="C81" s="67"/>
    </row>
    <row r="82">
      <c r="A82" s="67"/>
      <c r="B82" s="67"/>
      <c r="C82" s="67"/>
    </row>
    <row r="83">
      <c r="A83" s="67"/>
      <c r="B83" s="67"/>
      <c r="C83" s="67"/>
    </row>
    <row r="84">
      <c r="A84" s="67"/>
      <c r="B84" s="67"/>
      <c r="C84" s="67"/>
    </row>
    <row r="85">
      <c r="A85" s="67"/>
      <c r="B85" s="67"/>
      <c r="C85" s="67"/>
    </row>
    <row r="86">
      <c r="A86" s="67"/>
      <c r="B86" s="67"/>
      <c r="C86" s="67"/>
    </row>
    <row r="87">
      <c r="A87" s="67"/>
      <c r="B87" s="67"/>
      <c r="C87" s="67"/>
    </row>
    <row r="88">
      <c r="A88" s="67"/>
      <c r="B88" s="67"/>
      <c r="C88" s="67"/>
    </row>
    <row r="89">
      <c r="A89" s="67"/>
      <c r="B89" s="67"/>
      <c r="C89" s="67"/>
    </row>
    <row r="90">
      <c r="A90" s="67"/>
      <c r="B90" s="67"/>
      <c r="C90" s="67"/>
    </row>
    <row r="91">
      <c r="A91" s="67"/>
      <c r="B91" s="67"/>
      <c r="C91" s="67"/>
    </row>
    <row r="92">
      <c r="A92" s="67"/>
      <c r="B92" s="67"/>
      <c r="C92" s="67"/>
    </row>
    <row r="93">
      <c r="A93" s="67"/>
      <c r="B93" s="67"/>
      <c r="C93" s="67"/>
    </row>
    <row r="94">
      <c r="A94" s="67"/>
      <c r="B94" s="67"/>
      <c r="C94" s="67"/>
    </row>
    <row r="95">
      <c r="A95" s="67"/>
      <c r="B95" s="67"/>
      <c r="C95" s="67"/>
    </row>
    <row r="96">
      <c r="A96" s="67"/>
      <c r="B96" s="67"/>
      <c r="C96" s="67"/>
    </row>
    <row r="97">
      <c r="A97" s="67"/>
      <c r="B97" s="67"/>
      <c r="C97" s="67"/>
    </row>
    <row r="98">
      <c r="A98" s="67"/>
      <c r="B98" s="67"/>
      <c r="C98" s="67"/>
    </row>
    <row r="99">
      <c r="A99" s="67"/>
      <c r="B99" s="67"/>
      <c r="C99" s="67"/>
    </row>
    <row r="100">
      <c r="A100" s="67"/>
      <c r="B100" s="67"/>
      <c r="C100" s="67"/>
    </row>
    <row r="101">
      <c r="A101" s="67"/>
      <c r="B101" s="67"/>
      <c r="C101" s="67"/>
    </row>
    <row r="102">
      <c r="A102" s="67"/>
      <c r="B102" s="67"/>
      <c r="C102" s="67"/>
    </row>
    <row r="103">
      <c r="A103" s="67"/>
      <c r="B103" s="67"/>
      <c r="C103" s="67"/>
    </row>
    <row r="104">
      <c r="A104" s="67"/>
      <c r="B104" s="67"/>
      <c r="C104" s="67"/>
    </row>
    <row r="105">
      <c r="A105" s="67"/>
      <c r="B105" s="67"/>
      <c r="C105" s="67"/>
    </row>
    <row r="106">
      <c r="A106" s="67"/>
      <c r="B106" s="67"/>
      <c r="C106" s="67"/>
    </row>
    <row r="107">
      <c r="A107" s="67"/>
      <c r="B107" s="67"/>
      <c r="C107" s="67"/>
    </row>
    <row r="108">
      <c r="A108" s="67"/>
      <c r="B108" s="67"/>
      <c r="C108" s="67"/>
    </row>
    <row r="109">
      <c r="A109" s="67"/>
      <c r="B109" s="67"/>
      <c r="C109" s="67"/>
    </row>
    <row r="110">
      <c r="A110" s="67"/>
      <c r="B110" s="67"/>
      <c r="C110" s="67"/>
    </row>
    <row r="111">
      <c r="A111" s="67"/>
      <c r="B111" s="67"/>
      <c r="C111" s="67"/>
    </row>
    <row r="112">
      <c r="A112" s="67"/>
      <c r="B112" s="67"/>
      <c r="C112" s="67"/>
    </row>
    <row r="113">
      <c r="A113" s="67"/>
      <c r="B113" s="67"/>
      <c r="C113" s="67"/>
    </row>
    <row r="114">
      <c r="A114" s="67"/>
      <c r="B114" s="67"/>
      <c r="C114" s="67"/>
    </row>
    <row r="115">
      <c r="A115" s="67"/>
      <c r="B115" s="67"/>
      <c r="C115" s="67"/>
    </row>
    <row r="116">
      <c r="A116" s="67"/>
      <c r="B116" s="67"/>
      <c r="C116" s="67"/>
    </row>
    <row r="117">
      <c r="A117" s="67"/>
      <c r="B117" s="67"/>
      <c r="C117" s="67"/>
    </row>
    <row r="118">
      <c r="A118" s="67"/>
      <c r="B118" s="67"/>
      <c r="C118" s="67"/>
    </row>
    <row r="119">
      <c r="A119" s="67"/>
      <c r="B119" s="67"/>
      <c r="C119" s="67"/>
    </row>
    <row r="120">
      <c r="A120" s="67"/>
      <c r="B120" s="67"/>
      <c r="C120" s="67"/>
    </row>
    <row r="121">
      <c r="A121" s="67"/>
      <c r="B121" s="67"/>
      <c r="C121" s="67"/>
    </row>
    <row r="122">
      <c r="A122" s="67"/>
      <c r="B122" s="67"/>
      <c r="C122" s="67"/>
    </row>
    <row r="123">
      <c r="A123" s="67"/>
      <c r="B123" s="67"/>
      <c r="C123" s="67"/>
    </row>
    <row r="124">
      <c r="A124" s="67"/>
      <c r="B124" s="67"/>
      <c r="C124" s="67"/>
    </row>
    <row r="125">
      <c r="A125" s="67"/>
      <c r="B125" s="67"/>
      <c r="C125" s="67"/>
    </row>
    <row r="126">
      <c r="A126" s="67"/>
      <c r="B126" s="67"/>
      <c r="C126" s="67"/>
    </row>
    <row r="127">
      <c r="A127" s="67"/>
      <c r="B127" s="67"/>
      <c r="C127" s="67"/>
    </row>
    <row r="128">
      <c r="A128" s="67"/>
      <c r="B128" s="67"/>
      <c r="C128" s="67"/>
    </row>
    <row r="129">
      <c r="A129" s="67"/>
      <c r="B129" s="67"/>
      <c r="C129" s="67"/>
    </row>
    <row r="130">
      <c r="A130" s="67"/>
      <c r="B130" s="67"/>
      <c r="C130" s="67"/>
    </row>
    <row r="131">
      <c r="A131" s="67"/>
      <c r="B131" s="67"/>
      <c r="C131" s="67"/>
    </row>
    <row r="132">
      <c r="A132" s="67"/>
      <c r="B132" s="67"/>
      <c r="C132" s="67"/>
    </row>
    <row r="133">
      <c r="A133" s="67"/>
      <c r="B133" s="67"/>
      <c r="C133" s="67"/>
    </row>
    <row r="134">
      <c r="A134" s="67"/>
      <c r="B134" s="67"/>
      <c r="C134" s="67"/>
    </row>
    <row r="135">
      <c r="A135" s="67"/>
      <c r="B135" s="67"/>
      <c r="C135" s="67"/>
    </row>
    <row r="136">
      <c r="A136" s="67"/>
      <c r="B136" s="67"/>
      <c r="C136" s="67"/>
    </row>
    <row r="137">
      <c r="A137" s="67"/>
      <c r="B137" s="67"/>
      <c r="C137" s="67"/>
    </row>
    <row r="138">
      <c r="A138" s="67"/>
      <c r="B138" s="67"/>
      <c r="C138" s="67"/>
    </row>
    <row r="139">
      <c r="A139" s="67"/>
      <c r="B139" s="67"/>
      <c r="C139" s="67"/>
    </row>
    <row r="140">
      <c r="A140" s="67"/>
      <c r="B140" s="67"/>
      <c r="C140" s="67"/>
    </row>
    <row r="141">
      <c r="A141" s="67"/>
      <c r="B141" s="67"/>
      <c r="C141" s="67"/>
    </row>
    <row r="142">
      <c r="A142" s="67"/>
      <c r="B142" s="67"/>
      <c r="C142" s="67"/>
    </row>
    <row r="143">
      <c r="A143" s="67"/>
      <c r="B143" s="67"/>
      <c r="C143" s="67"/>
    </row>
    <row r="144">
      <c r="A144" s="67"/>
      <c r="B144" s="67"/>
      <c r="C144" s="67"/>
    </row>
    <row r="145">
      <c r="A145" s="67"/>
      <c r="B145" s="67"/>
      <c r="C145" s="67"/>
    </row>
    <row r="146">
      <c r="A146" s="67"/>
      <c r="B146" s="67"/>
      <c r="C146" s="67"/>
    </row>
    <row r="147">
      <c r="A147" s="67"/>
      <c r="B147" s="67"/>
      <c r="C147" s="67"/>
    </row>
    <row r="148">
      <c r="A148" s="67"/>
      <c r="B148" s="67"/>
      <c r="C148" s="67"/>
    </row>
    <row r="149">
      <c r="A149" s="67"/>
      <c r="B149" s="67"/>
      <c r="C149" s="67"/>
    </row>
    <row r="150">
      <c r="A150" s="67"/>
      <c r="B150" s="67"/>
      <c r="C150" s="67"/>
    </row>
    <row r="151">
      <c r="A151" s="67"/>
      <c r="B151" s="67"/>
      <c r="C151" s="67"/>
    </row>
    <row r="152">
      <c r="A152" s="67"/>
      <c r="B152" s="67"/>
      <c r="C152" s="67"/>
    </row>
    <row r="153">
      <c r="A153" s="67"/>
      <c r="B153" s="67"/>
      <c r="C153" s="67"/>
    </row>
    <row r="154">
      <c r="A154" s="67"/>
      <c r="B154" s="67"/>
      <c r="C154" s="67"/>
    </row>
    <row r="155">
      <c r="A155" s="67"/>
      <c r="B155" s="67"/>
      <c r="C155" s="67"/>
    </row>
    <row r="156">
      <c r="A156" s="67"/>
      <c r="B156" s="67"/>
      <c r="C156" s="67"/>
    </row>
    <row r="157">
      <c r="A157" s="67"/>
      <c r="B157" s="67"/>
      <c r="C157" s="67"/>
    </row>
    <row r="158">
      <c r="A158" s="67"/>
      <c r="B158" s="67"/>
      <c r="C158" s="67"/>
    </row>
    <row r="159">
      <c r="A159" s="67"/>
      <c r="B159" s="67"/>
      <c r="C159" s="67"/>
    </row>
    <row r="160">
      <c r="A160" s="67"/>
      <c r="B160" s="67"/>
      <c r="C160" s="67"/>
    </row>
    <row r="161">
      <c r="A161" s="67"/>
      <c r="B161" s="67"/>
      <c r="C161" s="67"/>
    </row>
    <row r="162">
      <c r="A162" s="67"/>
      <c r="B162" s="67"/>
      <c r="C162" s="67"/>
    </row>
    <row r="163">
      <c r="A163" s="67"/>
      <c r="B163" s="67"/>
      <c r="C163" s="67"/>
    </row>
    <row r="164">
      <c r="A164" s="67"/>
      <c r="B164" s="67"/>
      <c r="C164" s="67"/>
    </row>
    <row r="165">
      <c r="A165" s="67"/>
      <c r="B165" s="67"/>
      <c r="C165" s="67"/>
    </row>
    <row r="166">
      <c r="A166" s="67"/>
      <c r="B166" s="67"/>
      <c r="C166" s="67"/>
    </row>
    <row r="167">
      <c r="A167" s="67"/>
      <c r="B167" s="67"/>
      <c r="C167" s="67"/>
    </row>
    <row r="168">
      <c r="A168" s="67"/>
      <c r="B168" s="67"/>
      <c r="C168" s="67"/>
    </row>
    <row r="169">
      <c r="A169" s="67"/>
      <c r="B169" s="67"/>
      <c r="C169" s="67"/>
    </row>
    <row r="170">
      <c r="A170" s="67"/>
      <c r="B170" s="67"/>
      <c r="C170" s="67"/>
    </row>
    <row r="171">
      <c r="A171" s="67"/>
      <c r="B171" s="67"/>
      <c r="C171" s="67"/>
    </row>
    <row r="172">
      <c r="A172" s="67"/>
      <c r="B172" s="67"/>
      <c r="C172" s="67"/>
    </row>
    <row r="173">
      <c r="A173" s="67"/>
      <c r="B173" s="67"/>
      <c r="C173" s="67"/>
    </row>
    <row r="174">
      <c r="A174" s="67"/>
      <c r="B174" s="67"/>
      <c r="C174" s="67"/>
    </row>
    <row r="175">
      <c r="A175" s="67"/>
      <c r="B175" s="67"/>
      <c r="C175" s="67"/>
    </row>
    <row r="176">
      <c r="A176" s="67"/>
      <c r="B176" s="67"/>
      <c r="C176" s="67"/>
    </row>
    <row r="177">
      <c r="A177" s="67"/>
      <c r="B177" s="67"/>
      <c r="C177" s="67"/>
    </row>
    <row r="178">
      <c r="A178" s="67"/>
      <c r="B178" s="67"/>
      <c r="C178" s="67"/>
    </row>
    <row r="179">
      <c r="A179" s="67"/>
      <c r="B179" s="67"/>
      <c r="C179" s="67"/>
    </row>
    <row r="180">
      <c r="A180" s="67"/>
      <c r="B180" s="67"/>
      <c r="C180" s="67"/>
    </row>
    <row r="181">
      <c r="A181" s="67"/>
      <c r="B181" s="67"/>
      <c r="C181" s="67"/>
    </row>
    <row r="182">
      <c r="A182" s="67"/>
      <c r="B182" s="67"/>
      <c r="C182" s="67"/>
    </row>
    <row r="183">
      <c r="A183" s="67"/>
      <c r="B183" s="67"/>
      <c r="C183" s="67"/>
    </row>
    <row r="184">
      <c r="A184" s="67"/>
      <c r="B184" s="67"/>
      <c r="C184" s="67"/>
    </row>
    <row r="185">
      <c r="A185" s="67"/>
      <c r="B185" s="67"/>
      <c r="C185" s="67"/>
    </row>
    <row r="186">
      <c r="A186" s="67"/>
      <c r="B186" s="67"/>
      <c r="C186" s="67"/>
    </row>
    <row r="187">
      <c r="A187" s="67"/>
      <c r="B187" s="67"/>
      <c r="C187" s="67"/>
    </row>
    <row r="188">
      <c r="A188" s="67"/>
      <c r="B188" s="67"/>
      <c r="C188" s="67"/>
    </row>
    <row r="189">
      <c r="A189" s="67"/>
      <c r="B189" s="67"/>
      <c r="C189" s="67"/>
    </row>
    <row r="190">
      <c r="A190" s="67"/>
      <c r="B190" s="67"/>
      <c r="C190" s="67"/>
    </row>
    <row r="191">
      <c r="A191" s="67"/>
      <c r="B191" s="67"/>
      <c r="C191" s="67"/>
    </row>
    <row r="192">
      <c r="A192" s="67"/>
      <c r="B192" s="67"/>
      <c r="C192" s="67"/>
    </row>
    <row r="193">
      <c r="A193" s="67"/>
      <c r="B193" s="67"/>
      <c r="C193" s="67"/>
    </row>
    <row r="194">
      <c r="A194" s="67"/>
      <c r="B194" s="67"/>
      <c r="C194" s="67"/>
    </row>
    <row r="195">
      <c r="A195" s="67"/>
      <c r="B195" s="67"/>
      <c r="C195" s="67"/>
    </row>
    <row r="196">
      <c r="A196" s="67"/>
      <c r="B196" s="67"/>
      <c r="C196" s="67"/>
    </row>
    <row r="197">
      <c r="A197" s="67"/>
      <c r="B197" s="67"/>
      <c r="C197" s="67"/>
    </row>
    <row r="198">
      <c r="A198" s="67"/>
      <c r="B198" s="67"/>
      <c r="C198" s="67"/>
    </row>
    <row r="199">
      <c r="A199" s="67"/>
      <c r="B199" s="67"/>
      <c r="C199" s="67"/>
    </row>
    <row r="200">
      <c r="A200" s="67"/>
      <c r="B200" s="67"/>
      <c r="C200" s="67"/>
    </row>
    <row r="201">
      <c r="A201" s="67"/>
      <c r="B201" s="67"/>
      <c r="C201" s="67"/>
    </row>
    <row r="202">
      <c r="A202" s="67"/>
      <c r="B202" s="67"/>
      <c r="C202" s="67"/>
    </row>
    <row r="203">
      <c r="A203" s="67"/>
      <c r="B203" s="67"/>
      <c r="C203" s="67"/>
    </row>
    <row r="204">
      <c r="A204" s="67"/>
      <c r="B204" s="67"/>
      <c r="C204" s="67"/>
    </row>
    <row r="205">
      <c r="A205" s="67"/>
      <c r="B205" s="67"/>
      <c r="C205" s="67"/>
    </row>
    <row r="206">
      <c r="A206" s="67"/>
      <c r="B206" s="67"/>
      <c r="C206" s="67"/>
    </row>
    <row r="207">
      <c r="A207" s="67"/>
      <c r="B207" s="67"/>
      <c r="C207" s="67"/>
    </row>
    <row r="208">
      <c r="A208" s="67"/>
      <c r="B208" s="67"/>
      <c r="C208" s="67"/>
    </row>
    <row r="209">
      <c r="A209" s="67"/>
      <c r="B209" s="67"/>
      <c r="C209" s="67"/>
    </row>
    <row r="210">
      <c r="A210" s="67"/>
      <c r="B210" s="67"/>
      <c r="C210" s="67"/>
    </row>
    <row r="211">
      <c r="A211" s="67"/>
      <c r="B211" s="67"/>
      <c r="C211" s="67"/>
    </row>
    <row r="212">
      <c r="A212" s="67"/>
      <c r="B212" s="67"/>
      <c r="C212" s="67"/>
    </row>
    <row r="213">
      <c r="A213" s="67"/>
      <c r="B213" s="67"/>
      <c r="C213" s="67"/>
    </row>
    <row r="214">
      <c r="A214" s="67"/>
      <c r="B214" s="67"/>
      <c r="C214" s="67"/>
    </row>
    <row r="215">
      <c r="A215" s="67"/>
      <c r="B215" s="67"/>
      <c r="C215" s="67"/>
    </row>
    <row r="216">
      <c r="A216" s="67"/>
      <c r="B216" s="67"/>
      <c r="C216" s="67"/>
    </row>
    <row r="217">
      <c r="A217" s="67"/>
      <c r="B217" s="67"/>
      <c r="C217" s="67"/>
    </row>
    <row r="218">
      <c r="A218" s="67"/>
      <c r="B218" s="67"/>
      <c r="C218" s="67"/>
    </row>
    <row r="219">
      <c r="A219" s="67"/>
      <c r="B219" s="67"/>
      <c r="C219" s="67"/>
    </row>
    <row r="220">
      <c r="A220" s="67"/>
      <c r="B220" s="67"/>
      <c r="C220" s="67"/>
    </row>
    <row r="221">
      <c r="A221" s="67"/>
      <c r="B221" s="67"/>
      <c r="C221" s="67"/>
    </row>
    <row r="222">
      <c r="A222" s="67"/>
      <c r="B222" s="67"/>
      <c r="C222" s="67"/>
    </row>
    <row r="223">
      <c r="A223" s="67"/>
      <c r="B223" s="67"/>
      <c r="C223" s="67"/>
    </row>
    <row r="224">
      <c r="A224" s="67"/>
      <c r="B224" s="67"/>
      <c r="C224" s="67"/>
    </row>
    <row r="225">
      <c r="A225" s="67"/>
      <c r="B225" s="67"/>
      <c r="C225" s="67"/>
    </row>
    <row r="226">
      <c r="A226" s="67"/>
      <c r="B226" s="67"/>
      <c r="C226" s="67"/>
    </row>
    <row r="227">
      <c r="A227" s="67"/>
      <c r="B227" s="67"/>
      <c r="C227" s="67"/>
    </row>
    <row r="228">
      <c r="A228" s="67"/>
      <c r="B228" s="67"/>
      <c r="C228" s="67"/>
    </row>
    <row r="229">
      <c r="A229" s="67"/>
      <c r="B229" s="67"/>
      <c r="C229" s="67"/>
    </row>
    <row r="230">
      <c r="A230" s="67"/>
      <c r="B230" s="67"/>
      <c r="C230" s="67"/>
    </row>
    <row r="231">
      <c r="A231" s="67"/>
      <c r="B231" s="67"/>
      <c r="C231" s="67"/>
    </row>
    <row r="232">
      <c r="A232" s="67"/>
      <c r="B232" s="67"/>
      <c r="C232" s="67"/>
    </row>
    <row r="233">
      <c r="A233" s="67"/>
      <c r="B233" s="67"/>
      <c r="C233" s="67"/>
    </row>
    <row r="234">
      <c r="A234" s="67"/>
      <c r="B234" s="67"/>
      <c r="C234" s="67"/>
    </row>
    <row r="235">
      <c r="A235" s="67"/>
      <c r="B235" s="67"/>
      <c r="C235" s="67"/>
    </row>
    <row r="236">
      <c r="A236" s="67"/>
      <c r="B236" s="67"/>
      <c r="C236" s="67"/>
    </row>
    <row r="237">
      <c r="A237" s="67"/>
      <c r="B237" s="67"/>
      <c r="C237" s="67"/>
    </row>
    <row r="238">
      <c r="A238" s="67"/>
      <c r="B238" s="67"/>
      <c r="C238" s="67"/>
    </row>
    <row r="239">
      <c r="A239" s="67"/>
      <c r="B239" s="67"/>
      <c r="C239" s="67"/>
    </row>
    <row r="240">
      <c r="A240" s="67"/>
      <c r="B240" s="67"/>
      <c r="C240" s="67"/>
    </row>
    <row r="241">
      <c r="A241" s="67"/>
      <c r="B241" s="67"/>
      <c r="C241" s="67"/>
    </row>
    <row r="242">
      <c r="A242" s="67"/>
      <c r="B242" s="67"/>
      <c r="C242" s="67"/>
    </row>
    <row r="243">
      <c r="A243" s="67"/>
      <c r="B243" s="67"/>
      <c r="C243" s="67"/>
    </row>
    <row r="244">
      <c r="A244" s="67"/>
      <c r="B244" s="67"/>
      <c r="C244" s="67"/>
    </row>
    <row r="245">
      <c r="A245" s="67"/>
      <c r="B245" s="67"/>
      <c r="C245" s="67"/>
    </row>
    <row r="246">
      <c r="A246" s="67"/>
      <c r="B246" s="67"/>
      <c r="C246" s="67"/>
    </row>
    <row r="247">
      <c r="A247" s="67"/>
      <c r="B247" s="67"/>
      <c r="C247" s="67"/>
    </row>
    <row r="248">
      <c r="A248" s="67"/>
      <c r="B248" s="67"/>
      <c r="C248" s="67"/>
    </row>
    <row r="249">
      <c r="A249" s="67"/>
      <c r="B249" s="67"/>
      <c r="C249" s="67"/>
    </row>
    <row r="250">
      <c r="A250" s="67"/>
      <c r="B250" s="67"/>
      <c r="C250" s="67"/>
    </row>
    <row r="251">
      <c r="A251" s="67"/>
      <c r="B251" s="67"/>
      <c r="C251" s="67"/>
    </row>
    <row r="252">
      <c r="A252" s="67"/>
      <c r="B252" s="67"/>
      <c r="C252" s="67"/>
    </row>
    <row r="253">
      <c r="A253" s="67"/>
      <c r="B253" s="67"/>
      <c r="C253" s="67"/>
    </row>
    <row r="254">
      <c r="A254" s="67"/>
      <c r="B254" s="67"/>
      <c r="C254" s="67"/>
    </row>
    <row r="255">
      <c r="A255" s="67"/>
      <c r="B255" s="67"/>
      <c r="C255" s="67"/>
    </row>
    <row r="256">
      <c r="A256" s="67"/>
      <c r="B256" s="67"/>
      <c r="C256" s="67"/>
    </row>
    <row r="257">
      <c r="A257" s="67"/>
      <c r="B257" s="67"/>
      <c r="C257" s="67"/>
    </row>
    <row r="258">
      <c r="A258" s="67"/>
      <c r="B258" s="67"/>
      <c r="C258" s="67"/>
    </row>
    <row r="259">
      <c r="A259" s="67"/>
      <c r="B259" s="67"/>
      <c r="C259" s="67"/>
    </row>
    <row r="260">
      <c r="A260" s="67"/>
      <c r="B260" s="67"/>
      <c r="C260" s="67"/>
    </row>
    <row r="261">
      <c r="A261" s="67"/>
      <c r="B261" s="67"/>
      <c r="C261" s="67"/>
    </row>
    <row r="262">
      <c r="A262" s="67"/>
      <c r="B262" s="67"/>
      <c r="C262" s="67"/>
    </row>
    <row r="263">
      <c r="A263" s="67"/>
      <c r="B263" s="67"/>
      <c r="C263" s="67"/>
    </row>
    <row r="264">
      <c r="A264" s="67"/>
      <c r="B264" s="67"/>
      <c r="C264" s="67"/>
    </row>
    <row r="265">
      <c r="A265" s="67"/>
      <c r="B265" s="67"/>
      <c r="C265" s="67"/>
    </row>
    <row r="266">
      <c r="A266" s="67"/>
      <c r="B266" s="67"/>
      <c r="C266" s="67"/>
    </row>
    <row r="267">
      <c r="A267" s="67"/>
      <c r="B267" s="67"/>
      <c r="C267" s="67"/>
    </row>
    <row r="268">
      <c r="A268" s="67"/>
      <c r="B268" s="67"/>
      <c r="C268" s="67"/>
    </row>
    <row r="269">
      <c r="A269" s="67"/>
      <c r="B269" s="67"/>
      <c r="C269" s="67"/>
    </row>
    <row r="270">
      <c r="A270" s="67"/>
      <c r="B270" s="67"/>
      <c r="C270" s="67"/>
    </row>
    <row r="271">
      <c r="A271" s="67"/>
      <c r="B271" s="67"/>
      <c r="C271" s="67"/>
    </row>
    <row r="272">
      <c r="A272" s="67"/>
      <c r="B272" s="67"/>
      <c r="C272" s="67"/>
    </row>
    <row r="273">
      <c r="A273" s="67"/>
      <c r="B273" s="67"/>
      <c r="C273" s="67"/>
    </row>
    <row r="274">
      <c r="A274" s="67"/>
      <c r="B274" s="67"/>
      <c r="C274" s="67"/>
    </row>
    <row r="275">
      <c r="A275" s="67"/>
      <c r="B275" s="67"/>
      <c r="C275" s="67"/>
    </row>
    <row r="276">
      <c r="A276" s="67"/>
      <c r="B276" s="67"/>
      <c r="C276" s="67"/>
    </row>
    <row r="277">
      <c r="A277" s="67"/>
      <c r="B277" s="67"/>
      <c r="C277" s="67"/>
    </row>
    <row r="278">
      <c r="A278" s="67"/>
      <c r="B278" s="67"/>
      <c r="C278" s="67"/>
    </row>
    <row r="279">
      <c r="A279" s="67"/>
      <c r="B279" s="67"/>
      <c r="C279" s="67"/>
    </row>
    <row r="280">
      <c r="A280" s="67"/>
      <c r="B280" s="67"/>
      <c r="C280" s="67"/>
    </row>
    <row r="281">
      <c r="A281" s="67"/>
      <c r="B281" s="67"/>
      <c r="C281" s="67"/>
    </row>
    <row r="282">
      <c r="A282" s="67"/>
      <c r="B282" s="67"/>
      <c r="C282" s="67"/>
    </row>
    <row r="283">
      <c r="A283" s="67"/>
      <c r="B283" s="67"/>
      <c r="C283" s="67"/>
    </row>
    <row r="284">
      <c r="A284" s="67"/>
      <c r="B284" s="67"/>
      <c r="C284" s="67"/>
    </row>
    <row r="285">
      <c r="A285" s="67"/>
      <c r="B285" s="67"/>
      <c r="C285" s="67"/>
    </row>
    <row r="286">
      <c r="A286" s="67"/>
      <c r="B286" s="67"/>
      <c r="C286" s="67"/>
    </row>
    <row r="287">
      <c r="A287" s="67"/>
      <c r="B287" s="67"/>
      <c r="C287" s="67"/>
    </row>
    <row r="288">
      <c r="A288" s="67"/>
      <c r="B288" s="67"/>
      <c r="C288" s="67"/>
    </row>
    <row r="289">
      <c r="A289" s="67"/>
      <c r="B289" s="67"/>
      <c r="C289" s="67"/>
    </row>
    <row r="290">
      <c r="A290" s="67"/>
      <c r="B290" s="67"/>
      <c r="C290" s="67"/>
    </row>
    <row r="291">
      <c r="A291" s="67"/>
      <c r="B291" s="67"/>
      <c r="C291" s="67"/>
    </row>
    <row r="292">
      <c r="A292" s="67"/>
      <c r="B292" s="67"/>
      <c r="C292" s="67"/>
    </row>
    <row r="293">
      <c r="A293" s="67"/>
      <c r="B293" s="67"/>
      <c r="C293" s="67"/>
    </row>
    <row r="294">
      <c r="A294" s="67"/>
      <c r="B294" s="67"/>
      <c r="C294" s="67"/>
    </row>
    <row r="295">
      <c r="A295" s="67"/>
      <c r="B295" s="67"/>
      <c r="C295" s="67"/>
    </row>
    <row r="296">
      <c r="A296" s="67"/>
      <c r="B296" s="67"/>
      <c r="C296" s="67"/>
    </row>
    <row r="297">
      <c r="A297" s="67"/>
      <c r="B297" s="67"/>
      <c r="C297" s="67"/>
    </row>
    <row r="298">
      <c r="A298" s="67"/>
      <c r="B298" s="67"/>
      <c r="C298" s="67"/>
    </row>
    <row r="299">
      <c r="A299" s="67"/>
      <c r="B299" s="67"/>
      <c r="C299" s="67"/>
    </row>
    <row r="300">
      <c r="A300" s="67"/>
      <c r="B300" s="67"/>
      <c r="C300" s="67"/>
    </row>
    <row r="301">
      <c r="A301" s="67"/>
      <c r="B301" s="67"/>
      <c r="C301" s="67"/>
    </row>
    <row r="302">
      <c r="A302" s="67"/>
      <c r="B302" s="67"/>
      <c r="C302" s="67"/>
    </row>
    <row r="303">
      <c r="A303" s="67"/>
      <c r="B303" s="67"/>
      <c r="C303" s="67"/>
    </row>
    <row r="304">
      <c r="A304" s="67"/>
      <c r="B304" s="67"/>
      <c r="C304" s="67"/>
    </row>
    <row r="305">
      <c r="A305" s="67"/>
      <c r="B305" s="67"/>
      <c r="C305" s="67"/>
    </row>
    <row r="306">
      <c r="A306" s="67"/>
      <c r="B306" s="67"/>
      <c r="C306" s="67"/>
    </row>
    <row r="307">
      <c r="A307" s="67"/>
      <c r="B307" s="67"/>
      <c r="C307" s="67"/>
    </row>
    <row r="308">
      <c r="A308" s="67"/>
      <c r="B308" s="67"/>
      <c r="C308" s="67"/>
    </row>
    <row r="309">
      <c r="A309" s="67"/>
      <c r="B309" s="67"/>
      <c r="C309" s="67"/>
    </row>
    <row r="310">
      <c r="A310" s="67"/>
      <c r="B310" s="67"/>
      <c r="C310" s="67"/>
    </row>
    <row r="311">
      <c r="A311" s="67"/>
      <c r="B311" s="67"/>
      <c r="C311" s="67"/>
    </row>
    <row r="312">
      <c r="A312" s="67"/>
      <c r="B312" s="67"/>
      <c r="C312" s="67"/>
    </row>
    <row r="313">
      <c r="A313" s="67"/>
      <c r="B313" s="67"/>
      <c r="C313" s="67"/>
    </row>
    <row r="314">
      <c r="A314" s="67"/>
      <c r="B314" s="67"/>
      <c r="C314" s="67"/>
    </row>
    <row r="315">
      <c r="A315" s="67"/>
      <c r="B315" s="67"/>
      <c r="C315" s="67"/>
    </row>
    <row r="316">
      <c r="A316" s="67"/>
      <c r="B316" s="67"/>
      <c r="C316" s="67"/>
    </row>
    <row r="317">
      <c r="A317" s="67"/>
      <c r="B317" s="67"/>
      <c r="C317" s="67"/>
    </row>
    <row r="318">
      <c r="A318" s="67"/>
      <c r="B318" s="67"/>
      <c r="C318" s="67"/>
    </row>
    <row r="319">
      <c r="A319" s="67"/>
      <c r="B319" s="67"/>
      <c r="C319" s="67"/>
    </row>
    <row r="320">
      <c r="A320" s="67"/>
      <c r="B320" s="67"/>
      <c r="C320" s="67"/>
    </row>
    <row r="321">
      <c r="A321" s="67"/>
      <c r="B321" s="67"/>
      <c r="C321" s="67"/>
    </row>
    <row r="322">
      <c r="A322" s="67"/>
      <c r="B322" s="67"/>
      <c r="C322" s="67"/>
    </row>
    <row r="323">
      <c r="A323" s="67"/>
      <c r="B323" s="67"/>
      <c r="C323" s="67"/>
    </row>
    <row r="324">
      <c r="A324" s="67"/>
      <c r="B324" s="67"/>
      <c r="C324" s="67"/>
    </row>
    <row r="325">
      <c r="A325" s="67"/>
      <c r="B325" s="67"/>
      <c r="C325" s="67"/>
    </row>
    <row r="326">
      <c r="A326" s="67"/>
      <c r="B326" s="67"/>
      <c r="C326" s="67"/>
    </row>
    <row r="327">
      <c r="A327" s="67"/>
      <c r="B327" s="67"/>
      <c r="C327" s="67"/>
    </row>
    <row r="328">
      <c r="A328" s="67"/>
      <c r="B328" s="67"/>
      <c r="C328" s="67"/>
    </row>
    <row r="329">
      <c r="A329" s="67"/>
      <c r="B329" s="67"/>
      <c r="C329" s="67"/>
    </row>
    <row r="330">
      <c r="A330" s="67"/>
      <c r="B330" s="67"/>
      <c r="C330" s="67"/>
    </row>
    <row r="331">
      <c r="A331" s="67"/>
      <c r="B331" s="67"/>
      <c r="C331" s="67"/>
    </row>
    <row r="332">
      <c r="A332" s="67"/>
      <c r="B332" s="67"/>
      <c r="C332" s="67"/>
    </row>
    <row r="333">
      <c r="A333" s="67"/>
      <c r="B333" s="67"/>
      <c r="C333" s="67"/>
    </row>
    <row r="334">
      <c r="A334" s="67"/>
      <c r="B334" s="67"/>
      <c r="C334" s="67"/>
    </row>
    <row r="335">
      <c r="A335" s="67"/>
      <c r="B335" s="67"/>
      <c r="C335" s="67"/>
    </row>
    <row r="336">
      <c r="A336" s="67"/>
      <c r="B336" s="67"/>
      <c r="C336" s="67"/>
    </row>
    <row r="337">
      <c r="A337" s="67"/>
      <c r="B337" s="67"/>
      <c r="C337" s="67"/>
    </row>
    <row r="338">
      <c r="A338" s="67"/>
      <c r="B338" s="67"/>
      <c r="C338" s="67"/>
    </row>
    <row r="339">
      <c r="A339" s="67"/>
      <c r="B339" s="67"/>
      <c r="C339" s="67"/>
    </row>
    <row r="340">
      <c r="A340" s="67"/>
      <c r="B340" s="67"/>
      <c r="C340" s="67"/>
    </row>
    <row r="341">
      <c r="A341" s="67"/>
      <c r="B341" s="67"/>
      <c r="C341" s="67"/>
    </row>
    <row r="342">
      <c r="A342" s="67"/>
      <c r="B342" s="67"/>
      <c r="C342" s="67"/>
    </row>
    <row r="343">
      <c r="A343" s="67"/>
      <c r="B343" s="67"/>
      <c r="C343" s="67"/>
    </row>
    <row r="344">
      <c r="A344" s="67"/>
      <c r="B344" s="67"/>
      <c r="C344" s="67"/>
    </row>
    <row r="345">
      <c r="A345" s="67"/>
      <c r="B345" s="67"/>
      <c r="C345" s="67"/>
    </row>
    <row r="346">
      <c r="A346" s="67"/>
      <c r="B346" s="67"/>
      <c r="C346" s="67"/>
    </row>
    <row r="347">
      <c r="A347" s="67"/>
      <c r="B347" s="67"/>
      <c r="C347" s="67"/>
    </row>
    <row r="348">
      <c r="A348" s="67"/>
      <c r="B348" s="67"/>
      <c r="C348" s="67"/>
    </row>
    <row r="349">
      <c r="A349" s="67"/>
      <c r="B349" s="67"/>
      <c r="C349" s="67"/>
    </row>
    <row r="350">
      <c r="A350" s="67"/>
      <c r="B350" s="67"/>
      <c r="C350" s="67"/>
    </row>
    <row r="351">
      <c r="A351" s="67"/>
      <c r="B351" s="67"/>
      <c r="C351" s="67"/>
    </row>
    <row r="352">
      <c r="A352" s="67"/>
      <c r="B352" s="67"/>
      <c r="C352" s="67"/>
    </row>
    <row r="353">
      <c r="A353" s="67"/>
      <c r="B353" s="67"/>
      <c r="C353" s="67"/>
    </row>
    <row r="354">
      <c r="A354" s="67"/>
      <c r="B354" s="67"/>
      <c r="C354" s="67"/>
    </row>
    <row r="355">
      <c r="A355" s="67"/>
      <c r="B355" s="67"/>
      <c r="C355" s="67"/>
    </row>
    <row r="356">
      <c r="A356" s="67"/>
      <c r="B356" s="67"/>
      <c r="C356" s="67"/>
    </row>
    <row r="357">
      <c r="A357" s="67"/>
      <c r="B357" s="67"/>
      <c r="C357" s="67"/>
    </row>
    <row r="358">
      <c r="A358" s="67"/>
      <c r="B358" s="67"/>
      <c r="C358" s="67"/>
    </row>
    <row r="359">
      <c r="A359" s="67"/>
      <c r="B359" s="67"/>
      <c r="C359" s="67"/>
    </row>
    <row r="360">
      <c r="A360" s="67"/>
      <c r="B360" s="67"/>
      <c r="C360" s="67"/>
    </row>
    <row r="361">
      <c r="A361" s="67"/>
      <c r="B361" s="67"/>
      <c r="C361" s="67"/>
    </row>
    <row r="362">
      <c r="A362" s="67"/>
      <c r="B362" s="67"/>
      <c r="C362" s="67"/>
    </row>
    <row r="363">
      <c r="A363" s="67"/>
      <c r="B363" s="67"/>
      <c r="C363" s="67"/>
    </row>
    <row r="364">
      <c r="A364" s="67"/>
      <c r="B364" s="67"/>
      <c r="C364" s="67"/>
    </row>
    <row r="365">
      <c r="A365" s="67"/>
      <c r="B365" s="67"/>
      <c r="C365" s="67"/>
    </row>
    <row r="366">
      <c r="A366" s="67"/>
      <c r="B366" s="67"/>
      <c r="C366" s="67"/>
    </row>
    <row r="367">
      <c r="A367" s="67"/>
      <c r="B367" s="67"/>
      <c r="C367" s="67"/>
    </row>
    <row r="368">
      <c r="A368" s="67"/>
      <c r="B368" s="67"/>
      <c r="C368" s="67"/>
    </row>
    <row r="369">
      <c r="A369" s="67"/>
      <c r="B369" s="67"/>
      <c r="C369" s="67"/>
    </row>
    <row r="370">
      <c r="A370" s="67"/>
      <c r="B370" s="67"/>
      <c r="C370" s="67"/>
    </row>
    <row r="371">
      <c r="A371" s="67"/>
      <c r="B371" s="67"/>
      <c r="C371" s="67"/>
    </row>
    <row r="372">
      <c r="A372" s="67"/>
      <c r="B372" s="67"/>
      <c r="C372" s="67"/>
    </row>
    <row r="373">
      <c r="A373" s="67"/>
      <c r="B373" s="67"/>
      <c r="C373" s="67"/>
    </row>
    <row r="374">
      <c r="A374" s="67"/>
      <c r="B374" s="67"/>
      <c r="C374" s="67"/>
    </row>
    <row r="375">
      <c r="A375" s="67"/>
      <c r="B375" s="67"/>
      <c r="C375" s="67"/>
    </row>
    <row r="376">
      <c r="A376" s="67"/>
      <c r="B376" s="67"/>
      <c r="C376" s="67"/>
    </row>
    <row r="377">
      <c r="A377" s="67"/>
      <c r="B377" s="67"/>
      <c r="C377" s="67"/>
    </row>
    <row r="378">
      <c r="A378" s="67"/>
      <c r="B378" s="67"/>
      <c r="C378" s="67"/>
    </row>
    <row r="379">
      <c r="A379" s="67"/>
      <c r="B379" s="67"/>
      <c r="C379" s="67"/>
    </row>
    <row r="380">
      <c r="A380" s="67"/>
      <c r="B380" s="67"/>
      <c r="C380" s="67"/>
    </row>
    <row r="381">
      <c r="A381" s="67"/>
      <c r="B381" s="67"/>
      <c r="C381" s="67"/>
    </row>
    <row r="382">
      <c r="A382" s="67"/>
      <c r="B382" s="67"/>
      <c r="C382" s="67"/>
    </row>
    <row r="383">
      <c r="A383" s="67"/>
      <c r="B383" s="67"/>
      <c r="C383" s="67"/>
    </row>
    <row r="384">
      <c r="A384" s="67"/>
      <c r="B384" s="67"/>
      <c r="C384" s="67"/>
    </row>
    <row r="385">
      <c r="A385" s="67"/>
      <c r="B385" s="67"/>
      <c r="C385" s="67"/>
    </row>
    <row r="386">
      <c r="A386" s="67"/>
      <c r="B386" s="67"/>
      <c r="C386" s="67"/>
    </row>
    <row r="387">
      <c r="A387" s="67"/>
      <c r="B387" s="67"/>
      <c r="C387" s="67"/>
    </row>
    <row r="388">
      <c r="A388" s="67"/>
      <c r="B388" s="67"/>
      <c r="C388" s="67"/>
    </row>
    <row r="389">
      <c r="A389" s="67"/>
      <c r="B389" s="67"/>
      <c r="C389" s="67"/>
    </row>
    <row r="390">
      <c r="A390" s="67"/>
      <c r="B390" s="67"/>
      <c r="C390" s="67"/>
    </row>
    <row r="391">
      <c r="A391" s="67"/>
      <c r="B391" s="67"/>
      <c r="C391" s="67"/>
    </row>
    <row r="392">
      <c r="A392" s="67"/>
      <c r="B392" s="67"/>
      <c r="C392" s="67"/>
    </row>
    <row r="393">
      <c r="A393" s="67"/>
      <c r="B393" s="67"/>
      <c r="C393" s="67"/>
    </row>
    <row r="394">
      <c r="A394" s="67"/>
      <c r="B394" s="67"/>
      <c r="C394" s="67"/>
    </row>
    <row r="395">
      <c r="A395" s="67"/>
      <c r="B395" s="67"/>
      <c r="C395" s="67"/>
    </row>
    <row r="396">
      <c r="A396" s="67"/>
      <c r="B396" s="67"/>
      <c r="C396" s="67"/>
    </row>
    <row r="397">
      <c r="A397" s="67"/>
      <c r="B397" s="67"/>
      <c r="C397" s="67"/>
    </row>
    <row r="398">
      <c r="A398" s="67"/>
      <c r="B398" s="67"/>
      <c r="C398" s="67"/>
    </row>
    <row r="399">
      <c r="A399" s="67"/>
      <c r="B399" s="67"/>
      <c r="C399" s="67"/>
    </row>
    <row r="400">
      <c r="A400" s="67"/>
      <c r="B400" s="67"/>
      <c r="C400" s="67"/>
    </row>
    <row r="401">
      <c r="A401" s="67"/>
      <c r="B401" s="67"/>
      <c r="C401" s="67"/>
    </row>
    <row r="402">
      <c r="A402" s="67"/>
      <c r="B402" s="67"/>
      <c r="C402" s="67"/>
    </row>
    <row r="403">
      <c r="A403" s="67"/>
      <c r="B403" s="67"/>
      <c r="C403" s="67"/>
    </row>
    <row r="404">
      <c r="A404" s="67"/>
      <c r="B404" s="67"/>
      <c r="C404" s="67"/>
    </row>
    <row r="405">
      <c r="A405" s="67"/>
      <c r="B405" s="67"/>
      <c r="C405" s="67"/>
    </row>
    <row r="406">
      <c r="A406" s="67"/>
      <c r="B406" s="67"/>
      <c r="C406" s="67"/>
    </row>
    <row r="407">
      <c r="A407" s="67"/>
      <c r="B407" s="67"/>
      <c r="C407" s="67"/>
    </row>
    <row r="408">
      <c r="A408" s="67"/>
      <c r="B408" s="67"/>
      <c r="C408" s="67"/>
    </row>
    <row r="409">
      <c r="A409" s="67"/>
      <c r="B409" s="67"/>
      <c r="C409" s="67"/>
    </row>
    <row r="410">
      <c r="A410" s="67"/>
      <c r="B410" s="67"/>
      <c r="C410" s="67"/>
    </row>
    <row r="411">
      <c r="A411" s="67"/>
      <c r="B411" s="67"/>
      <c r="C411" s="67"/>
    </row>
    <row r="412">
      <c r="A412" s="67"/>
      <c r="B412" s="67"/>
      <c r="C412" s="67"/>
    </row>
    <row r="413">
      <c r="A413" s="67"/>
      <c r="B413" s="67"/>
      <c r="C413" s="67"/>
    </row>
    <row r="414">
      <c r="A414" s="67"/>
      <c r="B414" s="67"/>
      <c r="C414" s="67"/>
    </row>
    <row r="415">
      <c r="A415" s="67"/>
      <c r="B415" s="67"/>
      <c r="C415" s="67"/>
    </row>
    <row r="416">
      <c r="A416" s="67"/>
      <c r="B416" s="67"/>
      <c r="C416" s="67"/>
    </row>
    <row r="417">
      <c r="A417" s="67"/>
      <c r="B417" s="67"/>
      <c r="C417" s="67"/>
    </row>
    <row r="418">
      <c r="A418" s="67"/>
      <c r="B418" s="67"/>
      <c r="C418" s="67"/>
    </row>
    <row r="419">
      <c r="A419" s="67"/>
      <c r="B419" s="67"/>
      <c r="C419" s="67"/>
    </row>
    <row r="420">
      <c r="A420" s="67"/>
      <c r="B420" s="67"/>
      <c r="C420" s="67"/>
    </row>
    <row r="421">
      <c r="A421" s="67"/>
      <c r="B421" s="67"/>
      <c r="C421" s="67"/>
    </row>
    <row r="422">
      <c r="A422" s="67"/>
      <c r="B422" s="67"/>
      <c r="C422" s="67"/>
    </row>
    <row r="423">
      <c r="A423" s="67"/>
      <c r="B423" s="67"/>
      <c r="C423" s="67"/>
    </row>
    <row r="424">
      <c r="A424" s="67"/>
      <c r="B424" s="67"/>
      <c r="C424" s="67"/>
    </row>
    <row r="425">
      <c r="A425" s="67"/>
      <c r="B425" s="67"/>
      <c r="C425" s="67"/>
    </row>
    <row r="426">
      <c r="A426" s="67"/>
      <c r="B426" s="67"/>
      <c r="C426" s="67"/>
    </row>
    <row r="427">
      <c r="A427" s="67"/>
      <c r="B427" s="67"/>
      <c r="C427" s="67"/>
    </row>
    <row r="428">
      <c r="A428" s="67"/>
      <c r="B428" s="67"/>
      <c r="C428" s="67"/>
    </row>
    <row r="429">
      <c r="A429" s="67"/>
      <c r="B429" s="67"/>
      <c r="C429" s="67"/>
    </row>
    <row r="430">
      <c r="A430" s="67"/>
      <c r="B430" s="67"/>
      <c r="C430" s="67"/>
    </row>
    <row r="431">
      <c r="A431" s="67"/>
      <c r="B431" s="67"/>
      <c r="C431" s="67"/>
    </row>
    <row r="432">
      <c r="A432" s="67"/>
      <c r="B432" s="67"/>
      <c r="C432" s="67"/>
    </row>
    <row r="433">
      <c r="A433" s="67"/>
      <c r="B433" s="67"/>
      <c r="C433" s="67"/>
    </row>
    <row r="434">
      <c r="A434" s="67"/>
      <c r="B434" s="67"/>
      <c r="C434" s="67"/>
    </row>
    <row r="435">
      <c r="A435" s="67"/>
      <c r="B435" s="67"/>
      <c r="C435" s="67"/>
    </row>
    <row r="436">
      <c r="A436" s="67"/>
      <c r="B436" s="67"/>
      <c r="C436" s="67"/>
    </row>
    <row r="437">
      <c r="A437" s="67"/>
      <c r="B437" s="67"/>
      <c r="C437" s="67"/>
    </row>
    <row r="438">
      <c r="A438" s="67"/>
      <c r="B438" s="67"/>
      <c r="C438" s="67"/>
    </row>
    <row r="439">
      <c r="A439" s="67"/>
      <c r="B439" s="67"/>
      <c r="C439" s="67"/>
    </row>
    <row r="440">
      <c r="A440" s="67"/>
      <c r="B440" s="67"/>
      <c r="C440" s="67"/>
    </row>
    <row r="441">
      <c r="A441" s="67"/>
      <c r="B441" s="67"/>
      <c r="C441" s="67"/>
    </row>
    <row r="442">
      <c r="A442" s="67"/>
      <c r="B442" s="67"/>
      <c r="C442" s="67"/>
    </row>
    <row r="443">
      <c r="A443" s="67"/>
      <c r="B443" s="67"/>
      <c r="C443" s="67"/>
    </row>
    <row r="444">
      <c r="A444" s="67"/>
      <c r="B444" s="67"/>
      <c r="C444" s="67"/>
    </row>
    <row r="445">
      <c r="A445" s="67"/>
      <c r="B445" s="67"/>
      <c r="C445" s="67"/>
    </row>
    <row r="446">
      <c r="A446" s="67"/>
      <c r="B446" s="67"/>
      <c r="C446" s="67"/>
    </row>
    <row r="447">
      <c r="A447" s="67"/>
      <c r="B447" s="67"/>
      <c r="C447" s="67"/>
    </row>
    <row r="448">
      <c r="A448" s="67"/>
      <c r="B448" s="67"/>
      <c r="C448" s="67"/>
    </row>
    <row r="449">
      <c r="A449" s="67"/>
      <c r="B449" s="67"/>
      <c r="C449" s="67"/>
    </row>
    <row r="450">
      <c r="A450" s="67"/>
      <c r="B450" s="67"/>
      <c r="C450" s="67"/>
    </row>
    <row r="451">
      <c r="A451" s="67"/>
      <c r="B451" s="67"/>
      <c r="C451" s="67"/>
    </row>
    <row r="452">
      <c r="A452" s="67"/>
      <c r="B452" s="67"/>
      <c r="C452" s="67"/>
    </row>
    <row r="453">
      <c r="A453" s="67"/>
      <c r="B453" s="67"/>
      <c r="C453" s="67"/>
    </row>
    <row r="454">
      <c r="A454" s="67"/>
      <c r="B454" s="67"/>
      <c r="C454" s="67"/>
    </row>
    <row r="455">
      <c r="A455" s="67"/>
      <c r="B455" s="67"/>
      <c r="C455" s="67"/>
    </row>
    <row r="456">
      <c r="A456" s="67"/>
      <c r="B456" s="67"/>
      <c r="C456" s="67"/>
    </row>
    <row r="457">
      <c r="A457" s="67"/>
      <c r="B457" s="67"/>
      <c r="C457" s="67"/>
    </row>
    <row r="458">
      <c r="A458" s="67"/>
      <c r="B458" s="67"/>
      <c r="C458" s="67"/>
    </row>
    <row r="459">
      <c r="A459" s="67"/>
      <c r="B459" s="67"/>
      <c r="C459" s="67"/>
    </row>
    <row r="460">
      <c r="A460" s="67"/>
      <c r="B460" s="67"/>
      <c r="C460" s="67"/>
    </row>
    <row r="461">
      <c r="A461" s="67"/>
      <c r="B461" s="67"/>
      <c r="C461" s="67"/>
    </row>
    <row r="462">
      <c r="A462" s="67"/>
      <c r="B462" s="67"/>
      <c r="C462" s="67"/>
    </row>
    <row r="463">
      <c r="A463" s="67"/>
      <c r="B463" s="67"/>
      <c r="C463" s="67"/>
    </row>
    <row r="464">
      <c r="A464" s="67"/>
      <c r="B464" s="67"/>
      <c r="C464" s="67"/>
    </row>
    <row r="465">
      <c r="A465" s="67"/>
      <c r="B465" s="67"/>
      <c r="C465" s="67"/>
    </row>
    <row r="466">
      <c r="A466" s="67"/>
      <c r="B466" s="67"/>
      <c r="C466" s="67"/>
    </row>
    <row r="467">
      <c r="A467" s="67"/>
      <c r="B467" s="67"/>
      <c r="C467" s="67"/>
    </row>
    <row r="468">
      <c r="A468" s="67"/>
      <c r="B468" s="67"/>
      <c r="C468" s="67"/>
    </row>
    <row r="469">
      <c r="A469" s="67"/>
      <c r="B469" s="67"/>
      <c r="C469" s="67"/>
    </row>
    <row r="470">
      <c r="A470" s="67"/>
      <c r="B470" s="67"/>
      <c r="C470" s="67"/>
    </row>
    <row r="471">
      <c r="A471" s="67"/>
      <c r="B471" s="67"/>
      <c r="C471" s="67"/>
    </row>
    <row r="472">
      <c r="A472" s="67"/>
      <c r="B472" s="67"/>
      <c r="C472" s="67"/>
    </row>
    <row r="473">
      <c r="A473" s="67"/>
      <c r="B473" s="67"/>
      <c r="C473" s="67"/>
    </row>
    <row r="474">
      <c r="A474" s="67"/>
      <c r="B474" s="67"/>
      <c r="C474" s="67"/>
    </row>
    <row r="475">
      <c r="A475" s="67"/>
      <c r="B475" s="67"/>
      <c r="C475" s="67"/>
    </row>
    <row r="476">
      <c r="A476" s="67"/>
      <c r="B476" s="67"/>
      <c r="C476" s="67"/>
    </row>
    <row r="477">
      <c r="A477" s="67"/>
      <c r="B477" s="67"/>
      <c r="C477" s="67"/>
    </row>
    <row r="478">
      <c r="A478" s="67"/>
      <c r="B478" s="67"/>
      <c r="C478" s="67"/>
    </row>
    <row r="479">
      <c r="A479" s="67"/>
      <c r="B479" s="67"/>
      <c r="C479" s="67"/>
    </row>
    <row r="480">
      <c r="A480" s="67"/>
      <c r="B480" s="67"/>
      <c r="C480" s="67"/>
    </row>
    <row r="481">
      <c r="A481" s="67"/>
      <c r="B481" s="67"/>
      <c r="C481" s="67"/>
    </row>
    <row r="482">
      <c r="A482" s="67"/>
      <c r="B482" s="67"/>
      <c r="C482" s="67"/>
    </row>
    <row r="483">
      <c r="A483" s="67"/>
      <c r="B483" s="67"/>
      <c r="C483" s="67"/>
    </row>
    <row r="484">
      <c r="A484" s="67"/>
      <c r="B484" s="67"/>
      <c r="C484" s="67"/>
    </row>
    <row r="485">
      <c r="A485" s="67"/>
      <c r="B485" s="67"/>
      <c r="C485" s="67"/>
    </row>
    <row r="486">
      <c r="A486" s="67"/>
      <c r="B486" s="67"/>
      <c r="C486" s="67"/>
    </row>
    <row r="487">
      <c r="A487" s="67"/>
      <c r="B487" s="67"/>
      <c r="C487" s="67"/>
    </row>
    <row r="488">
      <c r="A488" s="67"/>
      <c r="B488" s="67"/>
      <c r="C488" s="67"/>
    </row>
    <row r="489">
      <c r="A489" s="67"/>
      <c r="B489" s="67"/>
      <c r="C489" s="67"/>
    </row>
    <row r="490">
      <c r="A490" s="67"/>
      <c r="B490" s="67"/>
      <c r="C490" s="67"/>
    </row>
    <row r="491">
      <c r="A491" s="67"/>
      <c r="B491" s="67"/>
      <c r="C491" s="67"/>
    </row>
    <row r="492">
      <c r="A492" s="67"/>
      <c r="B492" s="67"/>
      <c r="C492" s="67"/>
    </row>
    <row r="493">
      <c r="A493" s="67"/>
      <c r="B493" s="67"/>
      <c r="C493" s="67"/>
    </row>
    <row r="494">
      <c r="A494" s="67"/>
      <c r="B494" s="67"/>
      <c r="C494" s="67"/>
    </row>
    <row r="495">
      <c r="A495" s="67"/>
      <c r="B495" s="67"/>
      <c r="C495" s="67"/>
    </row>
    <row r="496">
      <c r="A496" s="67"/>
      <c r="B496" s="67"/>
      <c r="C496" s="67"/>
    </row>
    <row r="497">
      <c r="A497" s="67"/>
      <c r="B497" s="67"/>
      <c r="C497" s="67"/>
    </row>
    <row r="498">
      <c r="A498" s="67"/>
      <c r="B498" s="67"/>
      <c r="C498" s="67"/>
    </row>
    <row r="499">
      <c r="A499" s="67"/>
      <c r="B499" s="67"/>
      <c r="C499" s="67"/>
    </row>
    <row r="500">
      <c r="A500" s="67"/>
      <c r="B500" s="67"/>
      <c r="C500" s="67"/>
    </row>
    <row r="501">
      <c r="A501" s="67"/>
      <c r="B501" s="67"/>
      <c r="C501" s="67"/>
    </row>
    <row r="502">
      <c r="A502" s="67"/>
      <c r="B502" s="67"/>
      <c r="C502" s="67"/>
    </row>
    <row r="503">
      <c r="A503" s="67"/>
      <c r="B503" s="67"/>
      <c r="C503" s="67"/>
    </row>
    <row r="504">
      <c r="A504" s="67"/>
      <c r="B504" s="67"/>
      <c r="C504" s="67"/>
    </row>
    <row r="505">
      <c r="A505" s="67"/>
      <c r="B505" s="67"/>
      <c r="C505" s="67"/>
    </row>
    <row r="506">
      <c r="A506" s="67"/>
      <c r="B506" s="67"/>
      <c r="C506" s="67"/>
    </row>
    <row r="507">
      <c r="A507" s="67"/>
      <c r="B507" s="67"/>
      <c r="C507" s="67"/>
    </row>
    <row r="508">
      <c r="A508" s="67"/>
      <c r="B508" s="67"/>
      <c r="C508" s="67"/>
    </row>
    <row r="509">
      <c r="A509" s="67"/>
      <c r="B509" s="67"/>
      <c r="C509" s="67"/>
    </row>
    <row r="510">
      <c r="A510" s="67"/>
      <c r="B510" s="67"/>
      <c r="C510" s="67"/>
    </row>
    <row r="511">
      <c r="A511" s="67"/>
      <c r="B511" s="67"/>
      <c r="C511" s="67"/>
    </row>
    <row r="512">
      <c r="A512" s="67"/>
      <c r="B512" s="67"/>
      <c r="C512" s="67"/>
    </row>
    <row r="513">
      <c r="A513" s="67"/>
      <c r="B513" s="67"/>
      <c r="C513" s="67"/>
    </row>
    <row r="514">
      <c r="A514" s="67"/>
      <c r="B514" s="67"/>
      <c r="C514" s="67"/>
    </row>
    <row r="515">
      <c r="A515" s="67"/>
      <c r="B515" s="67"/>
      <c r="C515" s="67"/>
    </row>
    <row r="516">
      <c r="A516" s="67"/>
      <c r="B516" s="67"/>
      <c r="C516" s="67"/>
    </row>
    <row r="517">
      <c r="A517" s="67"/>
      <c r="B517" s="67"/>
      <c r="C517" s="67"/>
    </row>
    <row r="518">
      <c r="A518" s="67"/>
      <c r="B518" s="67"/>
      <c r="C518" s="67"/>
    </row>
    <row r="519">
      <c r="A519" s="67"/>
      <c r="B519" s="67"/>
      <c r="C519" s="67"/>
    </row>
    <row r="520">
      <c r="A520" s="67"/>
      <c r="B520" s="67"/>
      <c r="C520" s="67"/>
    </row>
    <row r="521">
      <c r="A521" s="67"/>
      <c r="B521" s="67"/>
      <c r="C521" s="67"/>
    </row>
    <row r="522">
      <c r="A522" s="67"/>
      <c r="B522" s="67"/>
      <c r="C522" s="67"/>
    </row>
    <row r="523">
      <c r="A523" s="67"/>
      <c r="B523" s="67"/>
      <c r="C523" s="67"/>
    </row>
    <row r="524">
      <c r="A524" s="67"/>
      <c r="B524" s="67"/>
      <c r="C524" s="67"/>
    </row>
    <row r="525">
      <c r="A525" s="67"/>
      <c r="B525" s="67"/>
      <c r="C525" s="67"/>
    </row>
    <row r="526">
      <c r="A526" s="67"/>
      <c r="B526" s="67"/>
      <c r="C526" s="67"/>
    </row>
    <row r="527">
      <c r="A527" s="67"/>
      <c r="B527" s="67"/>
      <c r="C527" s="67"/>
    </row>
    <row r="528">
      <c r="A528" s="67"/>
      <c r="B528" s="67"/>
      <c r="C528" s="67"/>
    </row>
    <row r="529">
      <c r="A529" s="67"/>
      <c r="B529" s="67"/>
      <c r="C529" s="67"/>
    </row>
    <row r="530">
      <c r="A530" s="67"/>
      <c r="B530" s="67"/>
      <c r="C530" s="67"/>
    </row>
    <row r="531">
      <c r="A531" s="67"/>
      <c r="B531" s="67"/>
      <c r="C531" s="67"/>
    </row>
    <row r="532">
      <c r="A532" s="67"/>
      <c r="B532" s="67"/>
      <c r="C532" s="67"/>
    </row>
    <row r="533">
      <c r="A533" s="67"/>
      <c r="B533" s="67"/>
      <c r="C533" s="67"/>
    </row>
    <row r="534">
      <c r="A534" s="67"/>
      <c r="B534" s="67"/>
      <c r="C534" s="67"/>
    </row>
    <row r="535">
      <c r="A535" s="67"/>
      <c r="B535" s="67"/>
      <c r="C535" s="67"/>
    </row>
    <row r="536">
      <c r="A536" s="67"/>
      <c r="B536" s="67"/>
      <c r="C536" s="67"/>
    </row>
    <row r="537">
      <c r="A537" s="67"/>
      <c r="B537" s="67"/>
      <c r="C537" s="67"/>
    </row>
    <row r="538">
      <c r="A538" s="67"/>
      <c r="B538" s="67"/>
      <c r="C538" s="67"/>
    </row>
    <row r="539">
      <c r="A539" s="67"/>
      <c r="B539" s="67"/>
      <c r="C539" s="67"/>
    </row>
    <row r="540">
      <c r="A540" s="67"/>
      <c r="B540" s="67"/>
      <c r="C540" s="67"/>
    </row>
    <row r="541">
      <c r="A541" s="67"/>
      <c r="B541" s="67"/>
      <c r="C541" s="67"/>
    </row>
    <row r="542">
      <c r="A542" s="67"/>
      <c r="B542" s="67"/>
      <c r="C542" s="67"/>
    </row>
    <row r="543">
      <c r="A543" s="67"/>
      <c r="B543" s="67"/>
      <c r="C543" s="67"/>
    </row>
    <row r="544">
      <c r="A544" s="67"/>
      <c r="B544" s="67"/>
      <c r="C544" s="67"/>
    </row>
    <row r="545">
      <c r="A545" s="67"/>
      <c r="B545" s="67"/>
      <c r="C545" s="67"/>
    </row>
    <row r="546">
      <c r="A546" s="67"/>
      <c r="B546" s="67"/>
      <c r="C546" s="67"/>
    </row>
    <row r="547">
      <c r="A547" s="67"/>
      <c r="B547" s="67"/>
      <c r="C547" s="67"/>
    </row>
    <row r="548">
      <c r="A548" s="67"/>
      <c r="B548" s="67"/>
      <c r="C548" s="67"/>
    </row>
    <row r="549">
      <c r="A549" s="67"/>
      <c r="B549" s="67"/>
      <c r="C549" s="67"/>
    </row>
    <row r="550">
      <c r="A550" s="67"/>
      <c r="B550" s="67"/>
      <c r="C550" s="67"/>
    </row>
    <row r="551">
      <c r="A551" s="67"/>
      <c r="B551" s="67"/>
      <c r="C551" s="67"/>
    </row>
    <row r="552">
      <c r="A552" s="67"/>
      <c r="B552" s="67"/>
      <c r="C552" s="67"/>
    </row>
    <row r="553">
      <c r="A553" s="67"/>
      <c r="B553" s="67"/>
      <c r="C553" s="67"/>
    </row>
    <row r="554">
      <c r="A554" s="67"/>
      <c r="B554" s="67"/>
      <c r="C554" s="67"/>
    </row>
    <row r="555">
      <c r="A555" s="67"/>
      <c r="B555" s="67"/>
      <c r="C555" s="67"/>
    </row>
    <row r="556">
      <c r="A556" s="67"/>
      <c r="B556" s="67"/>
      <c r="C556" s="67"/>
    </row>
    <row r="557">
      <c r="A557" s="67"/>
      <c r="B557" s="67"/>
      <c r="C557" s="67"/>
    </row>
    <row r="558">
      <c r="A558" s="67"/>
      <c r="B558" s="67"/>
      <c r="C558" s="67"/>
    </row>
    <row r="559">
      <c r="A559" s="67"/>
      <c r="B559" s="67"/>
      <c r="C559" s="67"/>
    </row>
    <row r="560">
      <c r="A560" s="67"/>
      <c r="B560" s="67"/>
      <c r="C560" s="67"/>
    </row>
    <row r="561">
      <c r="A561" s="67"/>
      <c r="B561" s="67"/>
      <c r="C561" s="67"/>
    </row>
    <row r="562">
      <c r="A562" s="67"/>
      <c r="B562" s="67"/>
      <c r="C562" s="67"/>
    </row>
    <row r="563">
      <c r="A563" s="67"/>
      <c r="B563" s="67"/>
      <c r="C563" s="67"/>
    </row>
    <row r="564">
      <c r="A564" s="67"/>
      <c r="B564" s="67"/>
      <c r="C564" s="67"/>
    </row>
    <row r="565">
      <c r="A565" s="67"/>
      <c r="B565" s="67"/>
      <c r="C565" s="67"/>
    </row>
    <row r="566">
      <c r="A566" s="67"/>
      <c r="B566" s="67"/>
      <c r="C566" s="67"/>
    </row>
    <row r="567">
      <c r="A567" s="67"/>
      <c r="B567" s="67"/>
      <c r="C567" s="67"/>
    </row>
    <row r="568">
      <c r="A568" s="67"/>
      <c r="B568" s="67"/>
      <c r="C568" s="67"/>
    </row>
    <row r="569">
      <c r="A569" s="67"/>
      <c r="B569" s="67"/>
      <c r="C569" s="67"/>
    </row>
    <row r="570">
      <c r="A570" s="67"/>
      <c r="B570" s="67"/>
      <c r="C570" s="67"/>
    </row>
    <row r="571">
      <c r="A571" s="67"/>
      <c r="B571" s="67"/>
      <c r="C571" s="67"/>
    </row>
    <row r="572">
      <c r="A572" s="67"/>
      <c r="B572" s="67"/>
      <c r="C572" s="67"/>
    </row>
    <row r="573">
      <c r="A573" s="67"/>
      <c r="B573" s="67"/>
      <c r="C573" s="67"/>
    </row>
    <row r="574">
      <c r="A574" s="67"/>
      <c r="B574" s="67"/>
      <c r="C574" s="67"/>
    </row>
    <row r="575">
      <c r="A575" s="67"/>
      <c r="B575" s="67"/>
      <c r="C575" s="67"/>
    </row>
    <row r="576">
      <c r="A576" s="67"/>
      <c r="B576" s="67"/>
      <c r="C576" s="67"/>
    </row>
    <row r="577">
      <c r="A577" s="67"/>
      <c r="B577" s="67"/>
      <c r="C577" s="67"/>
    </row>
    <row r="578">
      <c r="A578" s="67"/>
      <c r="B578" s="67"/>
      <c r="C578" s="67"/>
    </row>
    <row r="579">
      <c r="A579" s="67"/>
      <c r="B579" s="67"/>
      <c r="C579" s="67"/>
    </row>
    <row r="580">
      <c r="A580" s="67"/>
      <c r="B580" s="67"/>
      <c r="C580" s="67"/>
    </row>
    <row r="581">
      <c r="A581" s="67"/>
      <c r="B581" s="67"/>
      <c r="C581" s="67"/>
    </row>
    <row r="582">
      <c r="A582" s="67"/>
      <c r="B582" s="67"/>
      <c r="C582" s="67"/>
    </row>
    <row r="583">
      <c r="A583" s="67"/>
      <c r="B583" s="67"/>
      <c r="C583" s="67"/>
    </row>
    <row r="584">
      <c r="A584" s="67"/>
      <c r="B584" s="67"/>
      <c r="C584" s="67"/>
    </row>
    <row r="585">
      <c r="A585" s="67"/>
      <c r="B585" s="67"/>
      <c r="C585" s="67"/>
    </row>
    <row r="586">
      <c r="A586" s="67"/>
      <c r="B586" s="67"/>
      <c r="C586" s="67"/>
    </row>
    <row r="587">
      <c r="A587" s="67"/>
      <c r="B587" s="67"/>
      <c r="C587" s="67"/>
    </row>
    <row r="588">
      <c r="A588" s="67"/>
      <c r="B588" s="67"/>
      <c r="C588" s="67"/>
    </row>
    <row r="589">
      <c r="A589" s="67"/>
      <c r="B589" s="67"/>
      <c r="C589" s="67"/>
    </row>
    <row r="590">
      <c r="A590" s="67"/>
      <c r="B590" s="67"/>
      <c r="C590" s="67"/>
    </row>
    <row r="591">
      <c r="A591" s="67"/>
      <c r="B591" s="67"/>
      <c r="C591" s="67"/>
    </row>
    <row r="592">
      <c r="A592" s="67"/>
      <c r="B592" s="67"/>
      <c r="C592" s="67"/>
    </row>
    <row r="593">
      <c r="A593" s="67"/>
      <c r="B593" s="67"/>
      <c r="C593" s="67"/>
    </row>
    <row r="594">
      <c r="A594" s="67"/>
      <c r="B594" s="67"/>
      <c r="C594" s="67"/>
    </row>
    <row r="595">
      <c r="A595" s="67"/>
      <c r="B595" s="67"/>
      <c r="C595" s="67"/>
    </row>
    <row r="596">
      <c r="A596" s="67"/>
      <c r="B596" s="67"/>
      <c r="C596" s="67"/>
    </row>
    <row r="597">
      <c r="A597" s="67"/>
      <c r="B597" s="67"/>
      <c r="C597" s="67"/>
    </row>
    <row r="598">
      <c r="A598" s="67"/>
      <c r="B598" s="67"/>
      <c r="C598" s="67"/>
    </row>
    <row r="599">
      <c r="A599" s="67"/>
      <c r="B599" s="67"/>
      <c r="C599" s="67"/>
    </row>
    <row r="600">
      <c r="A600" s="67"/>
      <c r="B600" s="67"/>
      <c r="C600" s="67"/>
    </row>
    <row r="601">
      <c r="A601" s="67"/>
      <c r="B601" s="67"/>
      <c r="C601" s="67"/>
    </row>
    <row r="602">
      <c r="A602" s="67"/>
      <c r="B602" s="67"/>
      <c r="C602" s="67"/>
    </row>
    <row r="603">
      <c r="A603" s="67"/>
      <c r="B603" s="67"/>
      <c r="C603" s="67"/>
    </row>
    <row r="604">
      <c r="A604" s="67"/>
      <c r="B604" s="67"/>
      <c r="C604" s="67"/>
    </row>
    <row r="605">
      <c r="A605" s="67"/>
      <c r="B605" s="67"/>
      <c r="C605" s="67"/>
    </row>
    <row r="606">
      <c r="A606" s="67"/>
      <c r="B606" s="67"/>
      <c r="C606" s="67"/>
    </row>
    <row r="607">
      <c r="A607" s="67"/>
      <c r="B607" s="67"/>
      <c r="C607" s="67"/>
    </row>
    <row r="608">
      <c r="A608" s="67"/>
      <c r="B608" s="67"/>
      <c r="C608" s="67"/>
    </row>
    <row r="609">
      <c r="A609" s="67"/>
      <c r="B609" s="67"/>
      <c r="C609" s="67"/>
    </row>
    <row r="610">
      <c r="A610" s="67"/>
      <c r="B610" s="67"/>
      <c r="C610" s="67"/>
    </row>
    <row r="611">
      <c r="A611" s="67"/>
      <c r="B611" s="67"/>
      <c r="C611" s="67"/>
    </row>
    <row r="612">
      <c r="A612" s="67"/>
      <c r="B612" s="67"/>
      <c r="C612" s="67"/>
    </row>
    <row r="613">
      <c r="A613" s="67"/>
      <c r="B613" s="67"/>
      <c r="C613" s="67"/>
    </row>
    <row r="614">
      <c r="A614" s="67"/>
      <c r="B614" s="67"/>
      <c r="C614" s="67"/>
    </row>
    <row r="615">
      <c r="A615" s="67"/>
      <c r="B615" s="67"/>
      <c r="C615" s="67"/>
    </row>
    <row r="616">
      <c r="A616" s="67"/>
      <c r="B616" s="67"/>
      <c r="C616" s="67"/>
    </row>
    <row r="617">
      <c r="A617" s="67"/>
      <c r="B617" s="67"/>
      <c r="C617" s="67"/>
    </row>
    <row r="618">
      <c r="A618" s="67"/>
      <c r="B618" s="67"/>
      <c r="C618" s="67"/>
    </row>
    <row r="619">
      <c r="A619" s="67"/>
      <c r="B619" s="67"/>
      <c r="C619" s="67"/>
    </row>
    <row r="620">
      <c r="A620" s="67"/>
      <c r="B620" s="67"/>
      <c r="C620" s="67"/>
    </row>
    <row r="621">
      <c r="A621" s="67"/>
      <c r="B621" s="67"/>
      <c r="C621" s="67"/>
    </row>
    <row r="622">
      <c r="A622" s="67"/>
      <c r="B622" s="67"/>
      <c r="C622" s="67"/>
    </row>
    <row r="623">
      <c r="A623" s="67"/>
      <c r="B623" s="67"/>
      <c r="C623" s="67"/>
    </row>
    <row r="624">
      <c r="A624" s="67"/>
      <c r="B624" s="67"/>
      <c r="C624" s="67"/>
    </row>
    <row r="625">
      <c r="A625" s="67"/>
      <c r="B625" s="67"/>
      <c r="C625" s="67"/>
    </row>
    <row r="626">
      <c r="A626" s="67"/>
      <c r="B626" s="67"/>
      <c r="C626" s="67"/>
    </row>
    <row r="627">
      <c r="A627" s="67"/>
      <c r="B627" s="67"/>
      <c r="C627" s="67"/>
    </row>
    <row r="628">
      <c r="A628" s="67"/>
      <c r="B628" s="67"/>
      <c r="C628" s="67"/>
    </row>
    <row r="629">
      <c r="A629" s="67"/>
      <c r="B629" s="67"/>
      <c r="C629" s="67"/>
    </row>
    <row r="630">
      <c r="A630" s="67"/>
      <c r="B630" s="67"/>
      <c r="C630" s="67"/>
    </row>
    <row r="631">
      <c r="A631" s="67"/>
      <c r="B631" s="67"/>
      <c r="C631" s="67"/>
    </row>
    <row r="632">
      <c r="A632" s="67"/>
      <c r="B632" s="67"/>
      <c r="C632" s="67"/>
    </row>
    <row r="633">
      <c r="A633" s="67"/>
      <c r="B633" s="67"/>
      <c r="C633" s="67"/>
    </row>
    <row r="634">
      <c r="A634" s="67"/>
      <c r="B634" s="67"/>
      <c r="C634" s="67"/>
    </row>
    <row r="635">
      <c r="A635" s="67"/>
      <c r="B635" s="67"/>
      <c r="C635" s="67"/>
    </row>
    <row r="636">
      <c r="A636" s="67"/>
      <c r="B636" s="67"/>
      <c r="C636" s="67"/>
    </row>
    <row r="637">
      <c r="A637" s="67"/>
      <c r="B637" s="67"/>
      <c r="C637" s="67"/>
    </row>
    <row r="638">
      <c r="A638" s="67"/>
      <c r="B638" s="67"/>
      <c r="C638" s="67"/>
    </row>
    <row r="639">
      <c r="A639" s="67"/>
      <c r="B639" s="67"/>
      <c r="C639" s="67"/>
    </row>
    <row r="640">
      <c r="A640" s="67"/>
      <c r="B640" s="67"/>
      <c r="C640" s="67"/>
    </row>
    <row r="641">
      <c r="A641" s="67"/>
      <c r="B641" s="67"/>
      <c r="C641" s="67"/>
    </row>
    <row r="642">
      <c r="A642" s="67"/>
      <c r="B642" s="67"/>
      <c r="C642" s="67"/>
    </row>
    <row r="643">
      <c r="A643" s="67"/>
      <c r="B643" s="67"/>
      <c r="C643" s="67"/>
    </row>
    <row r="644">
      <c r="A644" s="67"/>
      <c r="B644" s="67"/>
      <c r="C644" s="67"/>
    </row>
    <row r="645">
      <c r="A645" s="67"/>
      <c r="B645" s="67"/>
      <c r="C645" s="67"/>
    </row>
    <row r="646">
      <c r="A646" s="67"/>
      <c r="B646" s="67"/>
      <c r="C646" s="67"/>
    </row>
    <row r="647">
      <c r="A647" s="67"/>
      <c r="B647" s="67"/>
      <c r="C647" s="67"/>
    </row>
    <row r="648">
      <c r="A648" s="67"/>
      <c r="B648" s="67"/>
      <c r="C648" s="67"/>
    </row>
    <row r="649">
      <c r="A649" s="67"/>
      <c r="B649" s="67"/>
      <c r="C649" s="67"/>
    </row>
    <row r="650">
      <c r="A650" s="67"/>
      <c r="B650" s="67"/>
      <c r="C650" s="67"/>
    </row>
    <row r="651">
      <c r="A651" s="67"/>
      <c r="B651" s="67"/>
      <c r="C651" s="67"/>
    </row>
    <row r="652">
      <c r="A652" s="67"/>
      <c r="B652" s="67"/>
      <c r="C652" s="67"/>
    </row>
    <row r="653">
      <c r="A653" s="67"/>
      <c r="B653" s="67"/>
      <c r="C653" s="67"/>
    </row>
    <row r="654">
      <c r="A654" s="67"/>
      <c r="B654" s="67"/>
      <c r="C654" s="67"/>
    </row>
    <row r="655">
      <c r="A655" s="67"/>
      <c r="B655" s="67"/>
      <c r="C655" s="67"/>
    </row>
    <row r="656">
      <c r="A656" s="67"/>
      <c r="B656" s="67"/>
      <c r="C656" s="67"/>
    </row>
    <row r="657">
      <c r="A657" s="67"/>
      <c r="B657" s="67"/>
      <c r="C657" s="67"/>
    </row>
    <row r="658">
      <c r="A658" s="67"/>
      <c r="B658" s="67"/>
      <c r="C658" s="67"/>
    </row>
    <row r="659">
      <c r="A659" s="67"/>
      <c r="B659" s="67"/>
      <c r="C659" s="67"/>
    </row>
    <row r="660">
      <c r="A660" s="67"/>
      <c r="B660" s="67"/>
      <c r="C660" s="67"/>
    </row>
    <row r="661">
      <c r="A661" s="67"/>
      <c r="B661" s="67"/>
      <c r="C661" s="67"/>
    </row>
    <row r="662">
      <c r="A662" s="67"/>
      <c r="B662" s="67"/>
      <c r="C662" s="67"/>
    </row>
    <row r="663">
      <c r="A663" s="67"/>
      <c r="B663" s="67"/>
      <c r="C663" s="67"/>
    </row>
    <row r="664">
      <c r="A664" s="67"/>
      <c r="B664" s="67"/>
      <c r="C664" s="67"/>
    </row>
    <row r="665">
      <c r="A665" s="67"/>
      <c r="B665" s="67"/>
      <c r="C665" s="67"/>
    </row>
    <row r="666">
      <c r="A666" s="67"/>
      <c r="B666" s="67"/>
      <c r="C666" s="67"/>
    </row>
    <row r="667">
      <c r="A667" s="67"/>
      <c r="B667" s="67"/>
      <c r="C667" s="67"/>
    </row>
    <row r="668">
      <c r="A668" s="67"/>
      <c r="B668" s="67"/>
      <c r="C668" s="67"/>
    </row>
    <row r="669">
      <c r="A669" s="67"/>
      <c r="B669" s="67"/>
      <c r="C669" s="67"/>
    </row>
    <row r="670">
      <c r="A670" s="67"/>
      <c r="B670" s="67"/>
      <c r="C670" s="67"/>
    </row>
    <row r="671">
      <c r="A671" s="67"/>
      <c r="B671" s="67"/>
      <c r="C671" s="67"/>
    </row>
    <row r="672">
      <c r="A672" s="67"/>
      <c r="B672" s="67"/>
      <c r="C672" s="67"/>
    </row>
    <row r="673">
      <c r="A673" s="67"/>
      <c r="B673" s="67"/>
      <c r="C673" s="67"/>
    </row>
    <row r="674">
      <c r="A674" s="67"/>
      <c r="B674" s="67"/>
      <c r="C674" s="67"/>
    </row>
    <row r="675">
      <c r="A675" s="67"/>
      <c r="B675" s="67"/>
      <c r="C675" s="67"/>
    </row>
    <row r="676">
      <c r="A676" s="67"/>
      <c r="B676" s="67"/>
      <c r="C676" s="67"/>
    </row>
    <row r="677">
      <c r="A677" s="67"/>
      <c r="B677" s="67"/>
      <c r="C677" s="67"/>
    </row>
    <row r="678">
      <c r="A678" s="67"/>
      <c r="B678" s="67"/>
      <c r="C678" s="67"/>
    </row>
    <row r="679">
      <c r="A679" s="67"/>
      <c r="B679" s="67"/>
      <c r="C679" s="67"/>
    </row>
    <row r="680">
      <c r="A680" s="67"/>
      <c r="B680" s="67"/>
      <c r="C680" s="67"/>
    </row>
    <row r="681">
      <c r="A681" s="67"/>
      <c r="B681" s="67"/>
      <c r="C681" s="67"/>
    </row>
    <row r="682">
      <c r="A682" s="67"/>
      <c r="B682" s="67"/>
      <c r="C682" s="67"/>
    </row>
    <row r="683">
      <c r="A683" s="67"/>
      <c r="B683" s="67"/>
      <c r="C683" s="67"/>
    </row>
    <row r="684">
      <c r="A684" s="67"/>
      <c r="B684" s="67"/>
      <c r="C684" s="67"/>
    </row>
    <row r="685">
      <c r="A685" s="67"/>
      <c r="B685" s="67"/>
      <c r="C685" s="67"/>
    </row>
    <row r="686">
      <c r="A686" s="67"/>
      <c r="B686" s="67"/>
      <c r="C686" s="67"/>
    </row>
    <row r="687">
      <c r="A687" s="67"/>
      <c r="B687" s="67"/>
      <c r="C687" s="67"/>
    </row>
    <row r="688">
      <c r="A688" s="67"/>
      <c r="B688" s="67"/>
      <c r="C688" s="67"/>
    </row>
    <row r="689">
      <c r="A689" s="67"/>
      <c r="B689" s="67"/>
      <c r="C689" s="67"/>
    </row>
    <row r="690">
      <c r="A690" s="67"/>
      <c r="B690" s="67"/>
      <c r="C690" s="67"/>
    </row>
    <row r="691">
      <c r="A691" s="67"/>
      <c r="B691" s="67"/>
      <c r="C691" s="67"/>
    </row>
    <row r="692">
      <c r="A692" s="67"/>
      <c r="B692" s="67"/>
      <c r="C692" s="67"/>
    </row>
    <row r="693">
      <c r="A693" s="67"/>
      <c r="B693" s="67"/>
      <c r="C693" s="67"/>
    </row>
    <row r="694">
      <c r="A694" s="67"/>
      <c r="B694" s="67"/>
      <c r="C694" s="67"/>
    </row>
    <row r="695">
      <c r="A695" s="67"/>
      <c r="B695" s="67"/>
      <c r="C695" s="67"/>
    </row>
    <row r="696">
      <c r="A696" s="67"/>
      <c r="B696" s="67"/>
      <c r="C696" s="67"/>
    </row>
    <row r="697">
      <c r="A697" s="67"/>
      <c r="B697" s="67"/>
      <c r="C697" s="67"/>
    </row>
    <row r="698">
      <c r="A698" s="67"/>
      <c r="B698" s="67"/>
      <c r="C698" s="67"/>
    </row>
    <row r="699">
      <c r="A699" s="67"/>
      <c r="B699" s="67"/>
      <c r="C699" s="67"/>
    </row>
    <row r="700">
      <c r="A700" s="67"/>
      <c r="B700" s="67"/>
      <c r="C700" s="67"/>
    </row>
    <row r="701">
      <c r="A701" s="67"/>
      <c r="B701" s="67"/>
      <c r="C701" s="67"/>
    </row>
    <row r="702">
      <c r="A702" s="67"/>
      <c r="B702" s="67"/>
      <c r="C702" s="67"/>
    </row>
    <row r="703">
      <c r="A703" s="67"/>
      <c r="B703" s="67"/>
      <c r="C703" s="67"/>
    </row>
    <row r="704">
      <c r="A704" s="67"/>
      <c r="B704" s="67"/>
      <c r="C704" s="67"/>
    </row>
    <row r="705">
      <c r="A705" s="67"/>
      <c r="B705" s="67"/>
      <c r="C705" s="67"/>
    </row>
    <row r="706">
      <c r="A706" s="67"/>
      <c r="B706" s="67"/>
      <c r="C706" s="67"/>
    </row>
    <row r="707">
      <c r="A707" s="67"/>
      <c r="B707" s="67"/>
      <c r="C707" s="67"/>
    </row>
    <row r="708">
      <c r="A708" s="67"/>
      <c r="B708" s="67"/>
      <c r="C708" s="67"/>
    </row>
    <row r="709">
      <c r="A709" s="67"/>
      <c r="B709" s="67"/>
      <c r="C709" s="67"/>
    </row>
    <row r="710">
      <c r="A710" s="67"/>
      <c r="B710" s="67"/>
      <c r="C710" s="67"/>
    </row>
    <row r="711">
      <c r="A711" s="67"/>
      <c r="B711" s="67"/>
      <c r="C711" s="67"/>
    </row>
    <row r="712">
      <c r="A712" s="67"/>
      <c r="B712" s="67"/>
      <c r="C712" s="67"/>
    </row>
    <row r="713">
      <c r="A713" s="67"/>
      <c r="B713" s="67"/>
      <c r="C713" s="67"/>
    </row>
    <row r="714">
      <c r="A714" s="67"/>
      <c r="B714" s="67"/>
      <c r="C714" s="67"/>
    </row>
    <row r="715">
      <c r="A715" s="67"/>
      <c r="B715" s="67"/>
      <c r="C715" s="67"/>
    </row>
    <row r="716">
      <c r="A716" s="67"/>
      <c r="B716" s="67"/>
      <c r="C716" s="67"/>
    </row>
    <row r="717">
      <c r="A717" s="67"/>
      <c r="B717" s="67"/>
      <c r="C717" s="67"/>
    </row>
    <row r="718">
      <c r="A718" s="67"/>
      <c r="B718" s="67"/>
      <c r="C718" s="67"/>
    </row>
    <row r="719">
      <c r="A719" s="67"/>
      <c r="B719" s="67"/>
      <c r="C719" s="67"/>
    </row>
    <row r="720">
      <c r="A720" s="67"/>
      <c r="B720" s="67"/>
      <c r="C720" s="67"/>
    </row>
    <row r="721">
      <c r="A721" s="67"/>
      <c r="B721" s="67"/>
      <c r="C721" s="67"/>
    </row>
    <row r="722">
      <c r="A722" s="67"/>
      <c r="B722" s="67"/>
      <c r="C722" s="67"/>
    </row>
    <row r="723">
      <c r="A723" s="67"/>
      <c r="B723" s="67"/>
      <c r="C723" s="67"/>
    </row>
    <row r="724">
      <c r="A724" s="67"/>
      <c r="B724" s="67"/>
      <c r="C724" s="67"/>
    </row>
    <row r="725">
      <c r="A725" s="67"/>
      <c r="B725" s="67"/>
      <c r="C725" s="67"/>
    </row>
    <row r="726">
      <c r="A726" s="67"/>
      <c r="B726" s="67"/>
      <c r="C726" s="67"/>
    </row>
    <row r="727">
      <c r="A727" s="67"/>
      <c r="B727" s="67"/>
      <c r="C727" s="67"/>
    </row>
    <row r="728">
      <c r="A728" s="67"/>
      <c r="B728" s="67"/>
      <c r="C728" s="67"/>
    </row>
    <row r="729">
      <c r="A729" s="67"/>
      <c r="B729" s="67"/>
      <c r="C729" s="67"/>
    </row>
    <row r="730">
      <c r="A730" s="67"/>
      <c r="B730" s="67"/>
      <c r="C730" s="67"/>
    </row>
    <row r="731">
      <c r="A731" s="67"/>
      <c r="B731" s="67"/>
      <c r="C731" s="67"/>
    </row>
    <row r="732">
      <c r="A732" s="67"/>
      <c r="B732" s="67"/>
      <c r="C732" s="67"/>
    </row>
    <row r="733">
      <c r="A733" s="67"/>
      <c r="B733" s="67"/>
      <c r="C733" s="67"/>
    </row>
    <row r="734">
      <c r="A734" s="67"/>
      <c r="B734" s="67"/>
      <c r="C734" s="67"/>
    </row>
    <row r="735">
      <c r="A735" s="67"/>
      <c r="B735" s="67"/>
      <c r="C735" s="67"/>
    </row>
    <row r="736">
      <c r="A736" s="67"/>
      <c r="B736" s="67"/>
      <c r="C736" s="67"/>
    </row>
    <row r="737">
      <c r="A737" s="67"/>
      <c r="B737" s="67"/>
      <c r="C737" s="67"/>
    </row>
    <row r="738">
      <c r="A738" s="67"/>
      <c r="B738" s="67"/>
      <c r="C738" s="67"/>
    </row>
    <row r="739">
      <c r="A739" s="67"/>
      <c r="B739" s="67"/>
      <c r="C739" s="67"/>
    </row>
    <row r="740">
      <c r="A740" s="67"/>
      <c r="B740" s="67"/>
      <c r="C740" s="67"/>
    </row>
    <row r="741">
      <c r="A741" s="67"/>
      <c r="B741" s="67"/>
      <c r="C741" s="67"/>
    </row>
    <row r="742">
      <c r="A742" s="67"/>
      <c r="B742" s="67"/>
      <c r="C742" s="67"/>
    </row>
    <row r="743">
      <c r="A743" s="67"/>
      <c r="B743" s="67"/>
      <c r="C743" s="67"/>
    </row>
    <row r="744">
      <c r="A744" s="67"/>
      <c r="B744" s="67"/>
      <c r="C744" s="67"/>
    </row>
    <row r="745">
      <c r="A745" s="67"/>
      <c r="B745" s="67"/>
      <c r="C745" s="67"/>
    </row>
    <row r="746">
      <c r="A746" s="67"/>
      <c r="B746" s="67"/>
      <c r="C746" s="67"/>
    </row>
    <row r="747">
      <c r="A747" s="67"/>
      <c r="B747" s="67"/>
      <c r="C747" s="67"/>
    </row>
    <row r="748">
      <c r="A748" s="67"/>
      <c r="B748" s="67"/>
      <c r="C748" s="67"/>
    </row>
    <row r="749">
      <c r="A749" s="67"/>
      <c r="B749" s="67"/>
      <c r="C749" s="67"/>
    </row>
    <row r="750">
      <c r="A750" s="67"/>
      <c r="B750" s="67"/>
      <c r="C750" s="67"/>
    </row>
    <row r="751">
      <c r="A751" s="67"/>
      <c r="B751" s="67"/>
      <c r="C751" s="67"/>
    </row>
    <row r="752">
      <c r="A752" s="67"/>
      <c r="B752" s="67"/>
      <c r="C752" s="67"/>
    </row>
    <row r="753">
      <c r="A753" s="67"/>
      <c r="B753" s="67"/>
      <c r="C753" s="67"/>
    </row>
    <row r="754">
      <c r="A754" s="67"/>
      <c r="B754" s="67"/>
      <c r="C754" s="67"/>
    </row>
    <row r="755">
      <c r="A755" s="67"/>
      <c r="B755" s="67"/>
      <c r="C755" s="67"/>
    </row>
    <row r="756">
      <c r="A756" s="67"/>
      <c r="B756" s="67"/>
      <c r="C756" s="67"/>
    </row>
    <row r="757">
      <c r="A757" s="67"/>
      <c r="B757" s="67"/>
      <c r="C757" s="67"/>
    </row>
    <row r="758">
      <c r="A758" s="67"/>
      <c r="B758" s="67"/>
      <c r="C758" s="67"/>
    </row>
    <row r="759">
      <c r="A759" s="67"/>
      <c r="B759" s="67"/>
      <c r="C759" s="67"/>
    </row>
    <row r="760">
      <c r="A760" s="67"/>
      <c r="B760" s="67"/>
      <c r="C760" s="67"/>
    </row>
    <row r="761">
      <c r="A761" s="67"/>
      <c r="B761" s="67"/>
      <c r="C761" s="67"/>
    </row>
    <row r="762">
      <c r="A762" s="67"/>
      <c r="B762" s="67"/>
      <c r="C762" s="67"/>
    </row>
    <row r="763">
      <c r="A763" s="67"/>
      <c r="B763" s="67"/>
      <c r="C763" s="67"/>
    </row>
    <row r="764">
      <c r="A764" s="67"/>
      <c r="B764" s="67"/>
      <c r="C764" s="67"/>
    </row>
    <row r="765">
      <c r="A765" s="67"/>
      <c r="B765" s="67"/>
      <c r="C765" s="67"/>
    </row>
    <row r="766">
      <c r="A766" s="67"/>
      <c r="B766" s="67"/>
      <c r="C766" s="67"/>
    </row>
    <row r="767">
      <c r="A767" s="67"/>
      <c r="B767" s="67"/>
      <c r="C767" s="67"/>
    </row>
    <row r="768">
      <c r="A768" s="67"/>
      <c r="B768" s="67"/>
      <c r="C768" s="67"/>
    </row>
    <row r="769">
      <c r="A769" s="67"/>
      <c r="B769" s="67"/>
      <c r="C769" s="67"/>
    </row>
    <row r="770">
      <c r="A770" s="67"/>
      <c r="B770" s="67"/>
      <c r="C770" s="67"/>
    </row>
    <row r="771">
      <c r="A771" s="67"/>
      <c r="B771" s="67"/>
      <c r="C771" s="67"/>
    </row>
    <row r="772">
      <c r="A772" s="67"/>
      <c r="B772" s="67"/>
      <c r="C772" s="67"/>
    </row>
    <row r="773">
      <c r="A773" s="67"/>
      <c r="B773" s="67"/>
      <c r="C773" s="67"/>
    </row>
    <row r="774">
      <c r="A774" s="67"/>
      <c r="B774" s="67"/>
      <c r="C774" s="67"/>
    </row>
    <row r="775">
      <c r="A775" s="67"/>
      <c r="B775" s="67"/>
      <c r="C775" s="67"/>
    </row>
    <row r="776">
      <c r="A776" s="67"/>
      <c r="B776" s="67"/>
      <c r="C776" s="67"/>
    </row>
    <row r="777">
      <c r="A777" s="67"/>
      <c r="B777" s="67"/>
      <c r="C777" s="67"/>
    </row>
    <row r="778">
      <c r="A778" s="67"/>
      <c r="B778" s="67"/>
      <c r="C778" s="67"/>
    </row>
    <row r="779">
      <c r="A779" s="67"/>
      <c r="B779" s="67"/>
      <c r="C779" s="67"/>
    </row>
    <row r="780">
      <c r="A780" s="67"/>
      <c r="B780" s="67"/>
      <c r="C780" s="67"/>
    </row>
    <row r="781">
      <c r="A781" s="67"/>
      <c r="B781" s="67"/>
      <c r="C781" s="67"/>
    </row>
    <row r="782">
      <c r="A782" s="67"/>
      <c r="B782" s="67"/>
      <c r="C782" s="67"/>
    </row>
    <row r="783">
      <c r="A783" s="67"/>
      <c r="B783" s="67"/>
      <c r="C783" s="67"/>
    </row>
    <row r="784">
      <c r="A784" s="67"/>
      <c r="B784" s="67"/>
      <c r="C784" s="67"/>
    </row>
    <row r="785">
      <c r="A785" s="67"/>
      <c r="B785" s="67"/>
      <c r="C785" s="67"/>
    </row>
    <row r="786">
      <c r="A786" s="67"/>
      <c r="B786" s="67"/>
      <c r="C786" s="67"/>
    </row>
    <row r="787">
      <c r="A787" s="67"/>
      <c r="B787" s="67"/>
      <c r="C787" s="67"/>
    </row>
    <row r="788">
      <c r="A788" s="67"/>
      <c r="B788" s="67"/>
      <c r="C788" s="67"/>
    </row>
    <row r="789">
      <c r="A789" s="67"/>
      <c r="B789" s="67"/>
      <c r="C789" s="67"/>
    </row>
    <row r="790">
      <c r="A790" s="67"/>
      <c r="B790" s="67"/>
      <c r="C790" s="67"/>
    </row>
    <row r="791">
      <c r="A791" s="67"/>
      <c r="B791" s="67"/>
      <c r="C791" s="67"/>
    </row>
    <row r="792">
      <c r="A792" s="67"/>
      <c r="B792" s="67"/>
      <c r="C792" s="67"/>
    </row>
    <row r="793">
      <c r="A793" s="67"/>
      <c r="B793" s="67"/>
      <c r="C793" s="67"/>
    </row>
    <row r="794">
      <c r="A794" s="67"/>
      <c r="B794" s="67"/>
      <c r="C794" s="67"/>
    </row>
    <row r="795">
      <c r="A795" s="67"/>
      <c r="B795" s="67"/>
      <c r="C795" s="67"/>
    </row>
    <row r="796">
      <c r="A796" s="67"/>
      <c r="B796" s="67"/>
      <c r="C796" s="67"/>
    </row>
    <row r="797">
      <c r="A797" s="67"/>
      <c r="B797" s="67"/>
      <c r="C797" s="67"/>
    </row>
    <row r="798">
      <c r="A798" s="67"/>
      <c r="B798" s="67"/>
      <c r="C798" s="67"/>
    </row>
    <row r="799">
      <c r="A799" s="67"/>
      <c r="B799" s="67"/>
      <c r="C799" s="67"/>
    </row>
    <row r="800">
      <c r="A800" s="67"/>
      <c r="B800" s="67"/>
      <c r="C800" s="67"/>
    </row>
    <row r="801">
      <c r="A801" s="67"/>
      <c r="B801" s="67"/>
      <c r="C801" s="67"/>
    </row>
    <row r="802">
      <c r="A802" s="67"/>
      <c r="B802" s="67"/>
      <c r="C802" s="67"/>
    </row>
    <row r="803">
      <c r="A803" s="67"/>
      <c r="B803" s="67"/>
      <c r="C803" s="67"/>
    </row>
    <row r="804">
      <c r="A804" s="67"/>
      <c r="B804" s="67"/>
      <c r="C804" s="67"/>
    </row>
    <row r="805">
      <c r="A805" s="67"/>
      <c r="B805" s="67"/>
      <c r="C805" s="67"/>
    </row>
    <row r="806">
      <c r="A806" s="67"/>
      <c r="B806" s="67"/>
      <c r="C806" s="67"/>
    </row>
    <row r="807">
      <c r="A807" s="67"/>
      <c r="B807" s="67"/>
      <c r="C807" s="67"/>
    </row>
    <row r="808">
      <c r="A808" s="67"/>
      <c r="B808" s="67"/>
      <c r="C808" s="67"/>
    </row>
    <row r="809">
      <c r="A809" s="67"/>
      <c r="B809" s="67"/>
      <c r="C809" s="67"/>
    </row>
    <row r="810">
      <c r="A810" s="67"/>
      <c r="B810" s="67"/>
      <c r="C810" s="67"/>
    </row>
    <row r="811">
      <c r="A811" s="67"/>
      <c r="B811" s="67"/>
      <c r="C811" s="67"/>
    </row>
    <row r="812">
      <c r="A812" s="67"/>
      <c r="B812" s="67"/>
      <c r="C812" s="67"/>
    </row>
    <row r="813">
      <c r="A813" s="67"/>
      <c r="B813" s="67"/>
      <c r="C813" s="67"/>
    </row>
    <row r="814">
      <c r="A814" s="67"/>
      <c r="B814" s="67"/>
      <c r="C814" s="67"/>
    </row>
    <row r="815">
      <c r="A815" s="67"/>
      <c r="B815" s="67"/>
      <c r="C815" s="67"/>
    </row>
    <row r="816">
      <c r="A816" s="67"/>
      <c r="B816" s="67"/>
      <c r="C816" s="67"/>
    </row>
    <row r="817">
      <c r="A817" s="67"/>
      <c r="B817" s="67"/>
      <c r="C817" s="67"/>
    </row>
    <row r="818">
      <c r="A818" s="67"/>
      <c r="B818" s="67"/>
      <c r="C818" s="67"/>
    </row>
    <row r="819">
      <c r="A819" s="67"/>
      <c r="B819" s="67"/>
      <c r="C819" s="67"/>
    </row>
    <row r="820">
      <c r="A820" s="67"/>
      <c r="B820" s="67"/>
      <c r="C820" s="67"/>
    </row>
    <row r="821">
      <c r="A821" s="67"/>
      <c r="B821" s="67"/>
      <c r="C821" s="67"/>
    </row>
    <row r="822">
      <c r="A822" s="67"/>
      <c r="B822" s="67"/>
      <c r="C822" s="67"/>
    </row>
    <row r="823">
      <c r="A823" s="67"/>
      <c r="B823" s="67"/>
      <c r="C823" s="67"/>
    </row>
    <row r="824">
      <c r="A824" s="67"/>
      <c r="B824" s="67"/>
      <c r="C824" s="67"/>
    </row>
    <row r="825">
      <c r="A825" s="67"/>
      <c r="B825" s="67"/>
      <c r="C825" s="67"/>
    </row>
    <row r="826">
      <c r="A826" s="67"/>
      <c r="B826" s="67"/>
      <c r="C826" s="67"/>
    </row>
    <row r="827">
      <c r="A827" s="67"/>
      <c r="B827" s="67"/>
      <c r="C827" s="67"/>
    </row>
    <row r="828">
      <c r="A828" s="67"/>
      <c r="B828" s="67"/>
      <c r="C828" s="67"/>
    </row>
    <row r="829">
      <c r="A829" s="67"/>
      <c r="B829" s="67"/>
      <c r="C829" s="67"/>
    </row>
    <row r="830">
      <c r="A830" s="67"/>
      <c r="B830" s="67"/>
      <c r="C830" s="67"/>
    </row>
    <row r="831">
      <c r="A831" s="67"/>
      <c r="B831" s="67"/>
      <c r="C831" s="67"/>
    </row>
    <row r="832">
      <c r="A832" s="67"/>
      <c r="B832" s="67"/>
      <c r="C832" s="67"/>
    </row>
    <row r="833">
      <c r="A833" s="67"/>
      <c r="B833" s="67"/>
      <c r="C833" s="67"/>
    </row>
    <row r="834">
      <c r="A834" s="67"/>
      <c r="B834" s="67"/>
      <c r="C834" s="67"/>
    </row>
    <row r="835">
      <c r="A835" s="67"/>
      <c r="B835" s="67"/>
      <c r="C835" s="67"/>
    </row>
    <row r="836">
      <c r="A836" s="67"/>
      <c r="B836" s="67"/>
      <c r="C836" s="67"/>
    </row>
    <row r="837">
      <c r="A837" s="67"/>
      <c r="B837" s="67"/>
      <c r="C837" s="67"/>
    </row>
    <row r="838">
      <c r="A838" s="67"/>
      <c r="B838" s="67"/>
      <c r="C838" s="67"/>
    </row>
    <row r="839">
      <c r="A839" s="67"/>
      <c r="B839" s="67"/>
      <c r="C839" s="67"/>
    </row>
    <row r="840">
      <c r="A840" s="67"/>
      <c r="B840" s="67"/>
      <c r="C840" s="67"/>
    </row>
    <row r="841">
      <c r="A841" s="67"/>
      <c r="B841" s="67"/>
      <c r="C841" s="67"/>
    </row>
    <row r="842">
      <c r="A842" s="67"/>
      <c r="B842" s="67"/>
      <c r="C842" s="67"/>
    </row>
    <row r="843">
      <c r="A843" s="67"/>
      <c r="B843" s="67"/>
      <c r="C843" s="67"/>
    </row>
    <row r="844">
      <c r="A844" s="67"/>
      <c r="B844" s="67"/>
      <c r="C844" s="67"/>
    </row>
    <row r="845">
      <c r="A845" s="67"/>
      <c r="B845" s="67"/>
      <c r="C845" s="67"/>
    </row>
    <row r="846">
      <c r="A846" s="67"/>
      <c r="B846" s="67"/>
      <c r="C846" s="67"/>
    </row>
    <row r="847">
      <c r="A847" s="67"/>
      <c r="B847" s="67"/>
      <c r="C847" s="67"/>
    </row>
    <row r="848">
      <c r="A848" s="67"/>
      <c r="B848" s="67"/>
      <c r="C848" s="67"/>
    </row>
    <row r="849">
      <c r="A849" s="67"/>
      <c r="B849" s="67"/>
      <c r="C849" s="67"/>
    </row>
    <row r="850">
      <c r="A850" s="67"/>
      <c r="B850" s="67"/>
      <c r="C850" s="67"/>
    </row>
    <row r="851">
      <c r="A851" s="67"/>
      <c r="B851" s="67"/>
      <c r="C851" s="67"/>
    </row>
    <row r="852">
      <c r="A852" s="67"/>
      <c r="B852" s="67"/>
      <c r="C852" s="67"/>
    </row>
    <row r="853">
      <c r="A853" s="67"/>
      <c r="B853" s="67"/>
      <c r="C853" s="67"/>
    </row>
    <row r="854">
      <c r="A854" s="67"/>
      <c r="B854" s="67"/>
      <c r="C854" s="67"/>
    </row>
    <row r="855">
      <c r="A855" s="67"/>
      <c r="B855" s="67"/>
      <c r="C855" s="67"/>
    </row>
    <row r="856">
      <c r="A856" s="67"/>
      <c r="B856" s="67"/>
      <c r="C856" s="67"/>
    </row>
    <row r="857">
      <c r="A857" s="67"/>
      <c r="B857" s="67"/>
      <c r="C857" s="67"/>
    </row>
    <row r="858">
      <c r="A858" s="67"/>
      <c r="B858" s="67"/>
      <c r="C858" s="67"/>
    </row>
    <row r="859">
      <c r="A859" s="67"/>
      <c r="B859" s="67"/>
      <c r="C859" s="67"/>
    </row>
    <row r="860">
      <c r="A860" s="67"/>
      <c r="B860" s="67"/>
      <c r="C860" s="67"/>
    </row>
    <row r="861">
      <c r="A861" s="67"/>
      <c r="B861" s="67"/>
      <c r="C861" s="67"/>
    </row>
    <row r="862">
      <c r="A862" s="67"/>
      <c r="B862" s="67"/>
      <c r="C862" s="67"/>
    </row>
    <row r="863">
      <c r="A863" s="67"/>
      <c r="B863" s="67"/>
      <c r="C863" s="67"/>
    </row>
    <row r="864">
      <c r="A864" s="67"/>
      <c r="B864" s="67"/>
      <c r="C864" s="67"/>
    </row>
    <row r="865">
      <c r="A865" s="67"/>
      <c r="B865" s="67"/>
      <c r="C865" s="67"/>
    </row>
    <row r="866">
      <c r="A866" s="67"/>
      <c r="B866" s="67"/>
      <c r="C866" s="67"/>
    </row>
    <row r="867">
      <c r="A867" s="67"/>
      <c r="B867" s="67"/>
      <c r="C867" s="67"/>
    </row>
    <row r="868">
      <c r="A868" s="67"/>
      <c r="B868" s="67"/>
      <c r="C868" s="67"/>
    </row>
    <row r="869">
      <c r="A869" s="67"/>
      <c r="B869" s="67"/>
      <c r="C869" s="67"/>
    </row>
    <row r="870">
      <c r="A870" s="67"/>
      <c r="B870" s="67"/>
      <c r="C870" s="67"/>
    </row>
    <row r="871">
      <c r="A871" s="67"/>
      <c r="B871" s="67"/>
      <c r="C871" s="67"/>
    </row>
    <row r="872">
      <c r="A872" s="67"/>
      <c r="B872" s="67"/>
      <c r="C872" s="67"/>
    </row>
    <row r="873">
      <c r="A873" s="67"/>
      <c r="B873" s="67"/>
      <c r="C873" s="67"/>
    </row>
    <row r="874">
      <c r="A874" s="67"/>
      <c r="B874" s="67"/>
      <c r="C874" s="67"/>
    </row>
    <row r="875">
      <c r="A875" s="67"/>
      <c r="B875" s="67"/>
      <c r="C875" s="67"/>
    </row>
    <row r="876">
      <c r="A876" s="67"/>
      <c r="B876" s="67"/>
      <c r="C876" s="67"/>
    </row>
    <row r="877">
      <c r="A877" s="67"/>
      <c r="B877" s="67"/>
      <c r="C877" s="67"/>
    </row>
    <row r="878">
      <c r="A878" s="67"/>
      <c r="B878" s="67"/>
      <c r="C878" s="67"/>
    </row>
    <row r="879">
      <c r="A879" s="67"/>
      <c r="B879" s="67"/>
      <c r="C879" s="67"/>
    </row>
    <row r="880">
      <c r="A880" s="67"/>
      <c r="B880" s="67"/>
      <c r="C880" s="67"/>
    </row>
    <row r="881">
      <c r="A881" s="67"/>
      <c r="B881" s="67"/>
      <c r="C881" s="67"/>
    </row>
    <row r="882">
      <c r="A882" s="67"/>
      <c r="B882" s="67"/>
      <c r="C882" s="67"/>
    </row>
    <row r="883">
      <c r="A883" s="67"/>
      <c r="B883" s="67"/>
      <c r="C883" s="67"/>
    </row>
    <row r="884">
      <c r="A884" s="67"/>
      <c r="B884" s="67"/>
      <c r="C884" s="67"/>
    </row>
    <row r="885">
      <c r="A885" s="67"/>
      <c r="B885" s="67"/>
      <c r="C885" s="67"/>
    </row>
    <row r="886">
      <c r="A886" s="67"/>
      <c r="B886" s="67"/>
      <c r="C886" s="67"/>
    </row>
    <row r="887">
      <c r="A887" s="67"/>
      <c r="B887" s="67"/>
      <c r="C887" s="67"/>
    </row>
    <row r="888">
      <c r="A888" s="67"/>
      <c r="B888" s="67"/>
      <c r="C888" s="67"/>
    </row>
    <row r="889">
      <c r="A889" s="67"/>
      <c r="B889" s="67"/>
      <c r="C889" s="67"/>
    </row>
    <row r="890">
      <c r="A890" s="67"/>
      <c r="B890" s="67"/>
      <c r="C890" s="67"/>
    </row>
    <row r="891">
      <c r="A891" s="67"/>
      <c r="B891" s="67"/>
      <c r="C891" s="67"/>
    </row>
    <row r="892">
      <c r="A892" s="67"/>
      <c r="B892" s="67"/>
      <c r="C892" s="67"/>
    </row>
    <row r="893">
      <c r="A893" s="67"/>
      <c r="B893" s="67"/>
      <c r="C893" s="67"/>
    </row>
    <row r="894">
      <c r="A894" s="67"/>
      <c r="B894" s="67"/>
      <c r="C894" s="67"/>
    </row>
    <row r="895">
      <c r="A895" s="67"/>
      <c r="B895" s="67"/>
      <c r="C895" s="67"/>
    </row>
    <row r="896">
      <c r="A896" s="67"/>
      <c r="B896" s="67"/>
      <c r="C896" s="67"/>
    </row>
    <row r="897">
      <c r="A897" s="67"/>
      <c r="B897" s="67"/>
      <c r="C897" s="67"/>
    </row>
    <row r="898">
      <c r="A898" s="67"/>
      <c r="B898" s="67"/>
      <c r="C898" s="67"/>
    </row>
    <row r="899">
      <c r="A899" s="67"/>
      <c r="B899" s="67"/>
      <c r="C899" s="67"/>
    </row>
    <row r="900">
      <c r="A900" s="67"/>
      <c r="B900" s="67"/>
      <c r="C900" s="67"/>
    </row>
    <row r="901">
      <c r="A901" s="67"/>
      <c r="B901" s="67"/>
      <c r="C901" s="67"/>
    </row>
    <row r="902">
      <c r="A902" s="67"/>
      <c r="B902" s="67"/>
      <c r="C902" s="67"/>
    </row>
    <row r="903">
      <c r="A903" s="67"/>
      <c r="B903" s="67"/>
      <c r="C903" s="67"/>
    </row>
    <row r="904">
      <c r="A904" s="67"/>
      <c r="B904" s="67"/>
      <c r="C904" s="67"/>
    </row>
    <row r="905">
      <c r="A905" s="67"/>
      <c r="B905" s="67"/>
      <c r="C905" s="67"/>
    </row>
    <row r="906">
      <c r="A906" s="67"/>
      <c r="B906" s="67"/>
      <c r="C906" s="67"/>
    </row>
    <row r="907">
      <c r="A907" s="67"/>
      <c r="B907" s="67"/>
      <c r="C907" s="67"/>
    </row>
    <row r="908">
      <c r="A908" s="67"/>
      <c r="B908" s="67"/>
      <c r="C908" s="67"/>
    </row>
    <row r="909">
      <c r="A909" s="67"/>
      <c r="B909" s="67"/>
      <c r="C909" s="67"/>
    </row>
    <row r="910">
      <c r="A910" s="67"/>
      <c r="B910" s="67"/>
      <c r="C910" s="67"/>
    </row>
    <row r="911">
      <c r="A911" s="67"/>
      <c r="B911" s="67"/>
      <c r="C911" s="67"/>
    </row>
    <row r="912">
      <c r="A912" s="67"/>
      <c r="B912" s="67"/>
      <c r="C912" s="67"/>
    </row>
    <row r="913">
      <c r="A913" s="67"/>
      <c r="B913" s="67"/>
      <c r="C913" s="67"/>
    </row>
  </sheetData>
  <autoFilter ref="$A$2:$C$32">
    <sortState ref="A2:C32">
      <sortCondition ref="B2:B32"/>
    </sortState>
  </autoFilter>
  <mergeCells count="1">
    <mergeCell ref="A1:C1"/>
  </mergeCells>
  <dataValidations>
    <dataValidation type="list" allowBlank="1" showErrorMessage="1" sqref="B78:B913">
      <formula1>CLIENTES!$B$2:$B$870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5"/>
  </cols>
  <sheetData>
    <row r="1">
      <c r="A1" s="68" t="s">
        <v>724</v>
      </c>
      <c r="B1" s="6"/>
      <c r="C1" s="7"/>
    </row>
    <row r="2">
      <c r="A2" s="58" t="s">
        <v>608</v>
      </c>
      <c r="B2" s="59" t="s">
        <v>609</v>
      </c>
      <c r="C2" s="69" t="s">
        <v>249</v>
      </c>
    </row>
    <row r="3">
      <c r="A3" s="70">
        <v>46190.0</v>
      </c>
      <c r="B3" s="71" t="s">
        <v>725</v>
      </c>
      <c r="C3" s="63">
        <f>7053513-1210000-700000</f>
        <v>5143513</v>
      </c>
    </row>
    <row r="4">
      <c r="A4" s="70">
        <v>46191.0</v>
      </c>
      <c r="B4" s="71" t="s">
        <v>726</v>
      </c>
      <c r="C4" s="63">
        <v>425970.0</v>
      </c>
    </row>
    <row r="5">
      <c r="A5" s="70">
        <v>46191.0</v>
      </c>
      <c r="B5" s="71" t="s">
        <v>727</v>
      </c>
      <c r="C5" s="63">
        <f>99026-20576</f>
        <v>78450</v>
      </c>
    </row>
    <row r="6">
      <c r="A6" s="70">
        <v>46191.0</v>
      </c>
      <c r="B6" s="71" t="s">
        <v>728</v>
      </c>
      <c r="C6" s="63">
        <v>913867.0</v>
      </c>
    </row>
    <row r="7">
      <c r="A7" s="70">
        <v>46195.0</v>
      </c>
      <c r="B7" s="71" t="s">
        <v>729</v>
      </c>
      <c r="C7" s="63">
        <v>119262.0</v>
      </c>
    </row>
    <row r="8">
      <c r="A8" s="70">
        <v>46195.0</v>
      </c>
      <c r="B8" s="71" t="s">
        <v>730</v>
      </c>
      <c r="C8" s="63">
        <v>274863.0</v>
      </c>
    </row>
    <row r="9">
      <c r="A9" s="70">
        <v>46196.0</v>
      </c>
      <c r="B9" s="71" t="s">
        <v>731</v>
      </c>
      <c r="C9" s="63">
        <f>1493883-690261</f>
        <v>803622</v>
      </c>
    </row>
    <row r="10">
      <c r="A10" s="70">
        <v>46196.0</v>
      </c>
      <c r="B10" s="71" t="s">
        <v>732</v>
      </c>
      <c r="C10" s="63">
        <v>107705.0</v>
      </c>
    </row>
    <row r="11">
      <c r="A11" s="70">
        <v>46197.0</v>
      </c>
      <c r="B11" s="71" t="s">
        <v>733</v>
      </c>
      <c r="C11" s="63">
        <v>634773.0</v>
      </c>
    </row>
    <row r="12">
      <c r="A12" s="70">
        <v>46197.0</v>
      </c>
      <c r="B12" s="71" t="s">
        <v>734</v>
      </c>
      <c r="C12" s="63">
        <v>493011.0</v>
      </c>
    </row>
    <row r="13">
      <c r="A13" s="70">
        <v>46197.0</v>
      </c>
      <c r="B13" s="71" t="s">
        <v>735</v>
      </c>
      <c r="C13" s="63">
        <v>1109771.0</v>
      </c>
    </row>
    <row r="14">
      <c r="A14" s="70">
        <v>46197.0</v>
      </c>
      <c r="B14" s="71" t="s">
        <v>736</v>
      </c>
      <c r="C14" s="63">
        <f>221401-36750</f>
        <v>184651</v>
      </c>
    </row>
    <row r="15">
      <c r="A15" s="70">
        <v>46197.0</v>
      </c>
      <c r="B15" s="71" t="s">
        <v>737</v>
      </c>
      <c r="C15" s="63">
        <v>542920.0</v>
      </c>
    </row>
    <row r="16">
      <c r="A16" s="70">
        <v>46197.0</v>
      </c>
      <c r="B16" s="71" t="s">
        <v>738</v>
      </c>
      <c r="C16" s="63">
        <v>113824.0</v>
      </c>
    </row>
    <row r="17">
      <c r="A17" s="70">
        <v>46197.0</v>
      </c>
      <c r="B17" s="71" t="s">
        <v>739</v>
      </c>
      <c r="C17" s="63">
        <v>1980038.0</v>
      </c>
    </row>
    <row r="18">
      <c r="A18" s="70">
        <v>46197.0</v>
      </c>
      <c r="B18" s="71" t="s">
        <v>740</v>
      </c>
      <c r="C18" s="63">
        <v>119131.0</v>
      </c>
    </row>
    <row r="19">
      <c r="A19" s="70">
        <v>46197.0</v>
      </c>
      <c r="B19" s="71" t="s">
        <v>741</v>
      </c>
      <c r="C19" s="63">
        <v>297715.0</v>
      </c>
    </row>
    <row r="20">
      <c r="A20" s="70">
        <v>46197.0</v>
      </c>
      <c r="B20" s="71" t="s">
        <v>742</v>
      </c>
      <c r="C20" s="63">
        <v>198479.0</v>
      </c>
    </row>
    <row r="21">
      <c r="A21" s="70">
        <v>46199.0</v>
      </c>
      <c r="B21" s="71" t="s">
        <v>743</v>
      </c>
      <c r="C21" s="63">
        <v>259092.0</v>
      </c>
    </row>
    <row r="22">
      <c r="A22" s="70">
        <v>46199.0</v>
      </c>
      <c r="B22" s="71" t="s">
        <v>744</v>
      </c>
      <c r="C22" s="63">
        <v>254081.0</v>
      </c>
    </row>
    <row r="23">
      <c r="A23" s="70">
        <v>46199.0</v>
      </c>
      <c r="B23" s="71" t="s">
        <v>745</v>
      </c>
      <c r="C23" s="63">
        <v>266277.0</v>
      </c>
    </row>
    <row r="24">
      <c r="A24" s="70">
        <v>46202.0</v>
      </c>
      <c r="B24" s="71" t="s">
        <v>746</v>
      </c>
      <c r="C24" s="63">
        <v>999149.0</v>
      </c>
    </row>
    <row r="25">
      <c r="A25" s="70">
        <v>46202.0</v>
      </c>
      <c r="B25" s="71" t="s">
        <v>747</v>
      </c>
      <c r="C25" s="63">
        <v>570681.0</v>
      </c>
    </row>
    <row r="26">
      <c r="A26" s="70">
        <v>46202.0</v>
      </c>
      <c r="B26" s="71" t="s">
        <v>748</v>
      </c>
      <c r="C26" s="63">
        <v>164946.0</v>
      </c>
    </row>
    <row r="27">
      <c r="A27" s="70">
        <v>46202.0</v>
      </c>
      <c r="B27" s="71" t="s">
        <v>749</v>
      </c>
      <c r="C27" s="63">
        <v>490498.0</v>
      </c>
    </row>
    <row r="28">
      <c r="A28" s="70">
        <v>46202.0</v>
      </c>
      <c r="B28" s="71" t="s">
        <v>750</v>
      </c>
      <c r="C28" s="63">
        <v>454119.0</v>
      </c>
    </row>
    <row r="29">
      <c r="A29" s="70">
        <v>46203.0</v>
      </c>
      <c r="B29" s="71" t="s">
        <v>751</v>
      </c>
      <c r="C29" s="63">
        <f>372022-50740</f>
        <v>321282</v>
      </c>
    </row>
    <row r="30">
      <c r="A30" s="70">
        <v>46203.0</v>
      </c>
      <c r="B30" s="71" t="s">
        <v>752</v>
      </c>
      <c r="C30" s="63">
        <v>919797.0</v>
      </c>
    </row>
    <row r="31">
      <c r="A31" s="70">
        <v>46203.0</v>
      </c>
      <c r="B31" s="71" t="s">
        <v>753</v>
      </c>
      <c r="C31" s="63">
        <f>418617-6960</f>
        <v>411657</v>
      </c>
    </row>
    <row r="32">
      <c r="A32" s="70">
        <v>46203.0</v>
      </c>
      <c r="B32" s="71" t="s">
        <v>754</v>
      </c>
      <c r="C32" s="63">
        <v>656770.0</v>
      </c>
    </row>
    <row r="33">
      <c r="A33" s="70">
        <v>46203.0</v>
      </c>
      <c r="B33" s="71" t="s">
        <v>755</v>
      </c>
      <c r="C33" s="63">
        <v>675316.0</v>
      </c>
    </row>
    <row r="34">
      <c r="A34" s="70">
        <v>46203.0</v>
      </c>
      <c r="B34" s="71" t="s">
        <v>756</v>
      </c>
      <c r="C34" s="63">
        <v>184682.0</v>
      </c>
    </row>
    <row r="35">
      <c r="A35" s="70">
        <v>46203.0</v>
      </c>
      <c r="B35" s="71" t="s">
        <v>757</v>
      </c>
      <c r="C35" s="63">
        <f>205114-54021</f>
        <v>151093</v>
      </c>
    </row>
    <row r="36">
      <c r="A36" s="70">
        <v>46203.0</v>
      </c>
      <c r="B36" s="71" t="s">
        <v>758</v>
      </c>
      <c r="C36" s="63">
        <v>2582312.0</v>
      </c>
    </row>
    <row r="37">
      <c r="A37" s="70">
        <v>46203.0</v>
      </c>
      <c r="B37" s="71" t="s">
        <v>759</v>
      </c>
      <c r="C37" s="63">
        <v>1550791.0</v>
      </c>
    </row>
    <row r="38">
      <c r="A38" s="70"/>
      <c r="B38" s="71"/>
      <c r="C38" s="63"/>
    </row>
    <row r="39">
      <c r="A39" s="70"/>
      <c r="B39" s="71"/>
      <c r="C39" s="63"/>
    </row>
    <row r="40">
      <c r="A40" s="70"/>
      <c r="B40" s="71"/>
      <c r="C40" s="63"/>
    </row>
    <row r="41">
      <c r="A41" s="70"/>
      <c r="B41" s="71"/>
      <c r="C41" s="63"/>
    </row>
    <row r="42">
      <c r="A42" s="70"/>
      <c r="B42" s="71"/>
      <c r="C42" s="63"/>
    </row>
    <row r="43">
      <c r="A43" s="70"/>
      <c r="B43" s="71"/>
      <c r="C43" s="63"/>
    </row>
    <row r="44">
      <c r="A44" s="70"/>
      <c r="B44" s="71"/>
      <c r="C44" s="63"/>
    </row>
    <row r="45">
      <c r="A45" s="70"/>
      <c r="B45" s="71"/>
      <c r="C45" s="63"/>
    </row>
    <row r="46">
      <c r="A46" s="72"/>
      <c r="B46" s="72"/>
      <c r="C46" s="73"/>
    </row>
    <row r="47">
      <c r="A47" s="72"/>
      <c r="B47" s="72"/>
      <c r="C47" s="73">
        <f>SUM(C3:C45)</f>
        <v>24454108</v>
      </c>
    </row>
    <row r="48">
      <c r="A48" s="72"/>
      <c r="B48" s="72"/>
      <c r="C48" s="73"/>
    </row>
    <row r="49">
      <c r="A49" s="72"/>
      <c r="B49" s="72"/>
      <c r="C49" s="73"/>
    </row>
    <row r="50">
      <c r="A50" s="72"/>
      <c r="B50" s="72"/>
      <c r="C50" s="73"/>
    </row>
    <row r="51">
      <c r="A51" s="72"/>
      <c r="B51" s="72"/>
      <c r="C51" s="73"/>
    </row>
    <row r="52">
      <c r="A52" s="72"/>
      <c r="B52" s="72"/>
      <c r="C52" s="73"/>
    </row>
    <row r="53">
      <c r="A53" s="72"/>
      <c r="B53" s="72"/>
      <c r="C53" s="73"/>
    </row>
    <row r="54">
      <c r="A54" s="72"/>
      <c r="B54" s="72"/>
      <c r="C54" s="73"/>
    </row>
    <row r="55">
      <c r="A55" s="72"/>
      <c r="B55" s="72"/>
      <c r="C55" s="73"/>
    </row>
    <row r="56">
      <c r="A56" s="72"/>
      <c r="B56" s="72"/>
      <c r="C56" s="73"/>
    </row>
    <row r="57">
      <c r="A57" s="72"/>
      <c r="B57" s="72"/>
      <c r="C57" s="73"/>
    </row>
    <row r="58">
      <c r="A58" s="72"/>
      <c r="B58" s="72"/>
      <c r="C58" s="73"/>
    </row>
    <row r="59">
      <c r="A59" s="72"/>
      <c r="B59" s="72"/>
      <c r="C59" s="73"/>
    </row>
    <row r="60">
      <c r="A60" s="72"/>
      <c r="B60" s="72"/>
      <c r="C60" s="73"/>
    </row>
    <row r="61">
      <c r="A61" s="72"/>
      <c r="B61" s="72"/>
      <c r="C61" s="73"/>
    </row>
    <row r="62">
      <c r="A62" s="72"/>
      <c r="B62" s="72"/>
      <c r="C62" s="73"/>
    </row>
    <row r="63">
      <c r="A63" s="72"/>
      <c r="B63" s="72"/>
      <c r="C63" s="73"/>
    </row>
    <row r="64">
      <c r="A64" s="72"/>
      <c r="B64" s="72"/>
      <c r="C64" s="73"/>
    </row>
    <row r="65">
      <c r="A65" s="72"/>
      <c r="B65" s="72"/>
      <c r="C65" s="73"/>
    </row>
    <row r="66">
      <c r="A66" s="72"/>
      <c r="B66" s="72"/>
      <c r="C66" s="73"/>
    </row>
    <row r="67">
      <c r="A67" s="72"/>
      <c r="B67" s="72"/>
      <c r="C67" s="73"/>
    </row>
    <row r="68">
      <c r="A68" s="72"/>
      <c r="B68" s="72"/>
      <c r="C68" s="73"/>
    </row>
    <row r="69">
      <c r="A69" s="72"/>
      <c r="B69" s="72"/>
      <c r="C69" s="73"/>
    </row>
    <row r="70">
      <c r="A70" s="72"/>
      <c r="B70" s="72"/>
      <c r="C70" s="73"/>
    </row>
    <row r="71">
      <c r="A71" s="72"/>
      <c r="B71" s="72"/>
      <c r="C71" s="73"/>
    </row>
    <row r="72">
      <c r="A72" s="72"/>
      <c r="B72" s="72"/>
      <c r="C72" s="73"/>
    </row>
    <row r="73">
      <c r="A73" s="72"/>
      <c r="B73" s="72"/>
      <c r="C73" s="73"/>
    </row>
    <row r="74">
      <c r="A74" s="72"/>
      <c r="B74" s="72"/>
      <c r="C74" s="73"/>
    </row>
    <row r="75">
      <c r="A75" s="72"/>
      <c r="B75" s="72"/>
      <c r="C75" s="73"/>
    </row>
    <row r="76">
      <c r="A76" s="72"/>
      <c r="B76" s="72"/>
      <c r="C76" s="73"/>
    </row>
    <row r="77">
      <c r="A77" s="72"/>
      <c r="B77" s="72"/>
      <c r="C77" s="73"/>
    </row>
    <row r="78">
      <c r="A78" s="72"/>
      <c r="B78" s="72"/>
      <c r="C78" s="73"/>
    </row>
    <row r="79">
      <c r="A79" s="72"/>
      <c r="B79" s="72"/>
      <c r="C79" s="73"/>
    </row>
    <row r="80">
      <c r="A80" s="72"/>
      <c r="B80" s="72"/>
      <c r="C80" s="73"/>
    </row>
    <row r="81">
      <c r="A81" s="72"/>
      <c r="B81" s="72"/>
      <c r="C81" s="73"/>
    </row>
    <row r="82">
      <c r="A82" s="72"/>
      <c r="B82" s="72"/>
      <c r="C82" s="73"/>
    </row>
    <row r="83">
      <c r="A83" s="72"/>
      <c r="B83" s="72"/>
      <c r="C83" s="73"/>
    </row>
    <row r="84">
      <c r="A84" s="72"/>
      <c r="B84" s="72"/>
      <c r="C84" s="73"/>
    </row>
    <row r="85">
      <c r="A85" s="72"/>
      <c r="B85" s="72"/>
      <c r="C85" s="73"/>
    </row>
    <row r="86">
      <c r="A86" s="72"/>
      <c r="B86" s="72"/>
      <c r="C86" s="73"/>
    </row>
    <row r="87">
      <c r="A87" s="72"/>
      <c r="B87" s="72"/>
      <c r="C87" s="73"/>
    </row>
    <row r="88">
      <c r="A88" s="72"/>
      <c r="B88" s="72"/>
      <c r="C88" s="73"/>
    </row>
    <row r="89">
      <c r="A89" s="72"/>
      <c r="B89" s="72"/>
      <c r="C89" s="73"/>
    </row>
    <row r="90">
      <c r="A90" s="72"/>
      <c r="B90" s="72"/>
      <c r="C90" s="73"/>
    </row>
    <row r="91">
      <c r="A91" s="72"/>
      <c r="B91" s="72"/>
      <c r="C91" s="73"/>
    </row>
    <row r="92">
      <c r="A92" s="72"/>
      <c r="B92" s="72"/>
      <c r="C92" s="73"/>
    </row>
    <row r="93">
      <c r="A93" s="72"/>
      <c r="B93" s="72"/>
      <c r="C93" s="73"/>
    </row>
    <row r="94">
      <c r="A94" s="72"/>
      <c r="B94" s="72"/>
      <c r="C94" s="73"/>
    </row>
    <row r="95">
      <c r="A95" s="72"/>
      <c r="B95" s="72"/>
      <c r="C95" s="73"/>
    </row>
    <row r="96">
      <c r="A96" s="72"/>
      <c r="B96" s="72"/>
      <c r="C96" s="73"/>
    </row>
    <row r="97">
      <c r="A97" s="72"/>
      <c r="B97" s="72"/>
      <c r="C97" s="73"/>
    </row>
    <row r="98">
      <c r="A98" s="72"/>
      <c r="B98" s="72"/>
      <c r="C98" s="73"/>
    </row>
    <row r="99">
      <c r="A99" s="72"/>
      <c r="B99" s="72"/>
      <c r="C99" s="73"/>
    </row>
    <row r="100">
      <c r="A100" s="72"/>
      <c r="B100" s="72"/>
      <c r="C100" s="73"/>
    </row>
    <row r="101">
      <c r="A101" s="72"/>
      <c r="B101" s="72"/>
      <c r="C101" s="73"/>
    </row>
    <row r="102">
      <c r="A102" s="72"/>
      <c r="B102" s="72"/>
      <c r="C102" s="73"/>
    </row>
    <row r="103">
      <c r="A103" s="72"/>
      <c r="B103" s="72"/>
      <c r="C103" s="73"/>
    </row>
    <row r="104">
      <c r="A104" s="72"/>
      <c r="B104" s="72"/>
      <c r="C104" s="73"/>
    </row>
    <row r="105">
      <c r="A105" s="72"/>
      <c r="B105" s="72"/>
      <c r="C105" s="73"/>
    </row>
    <row r="106">
      <c r="A106" s="72"/>
      <c r="B106" s="72"/>
      <c r="C106" s="73"/>
    </row>
    <row r="107">
      <c r="A107" s="72"/>
      <c r="B107" s="72"/>
      <c r="C107" s="73"/>
    </row>
    <row r="108">
      <c r="A108" s="72"/>
      <c r="B108" s="72"/>
      <c r="C108" s="73"/>
    </row>
    <row r="109">
      <c r="A109" s="72"/>
      <c r="B109" s="72"/>
      <c r="C109" s="73"/>
    </row>
    <row r="110">
      <c r="A110" s="72"/>
      <c r="B110" s="72"/>
      <c r="C110" s="73"/>
    </row>
    <row r="111">
      <c r="A111" s="72"/>
      <c r="B111" s="72"/>
      <c r="C111" s="73"/>
    </row>
    <row r="112">
      <c r="A112" s="72"/>
      <c r="B112" s="72"/>
      <c r="C112" s="73"/>
    </row>
    <row r="113">
      <c r="A113" s="72"/>
      <c r="B113" s="72"/>
      <c r="C113" s="73"/>
    </row>
    <row r="114">
      <c r="A114" s="72"/>
      <c r="B114" s="72"/>
      <c r="C114" s="73"/>
    </row>
    <row r="115">
      <c r="A115" s="72"/>
      <c r="B115" s="72"/>
      <c r="C115" s="73"/>
    </row>
    <row r="116">
      <c r="A116" s="72"/>
      <c r="B116" s="72"/>
      <c r="C116" s="73"/>
    </row>
    <row r="117">
      <c r="A117" s="72"/>
      <c r="B117" s="72"/>
      <c r="C117" s="73"/>
    </row>
    <row r="118">
      <c r="A118" s="72"/>
      <c r="B118" s="72"/>
      <c r="C118" s="73"/>
    </row>
    <row r="119">
      <c r="A119" s="72"/>
      <c r="B119" s="72"/>
      <c r="C119" s="73"/>
    </row>
    <row r="120">
      <c r="A120" s="72"/>
      <c r="B120" s="72"/>
      <c r="C120" s="73"/>
    </row>
    <row r="121">
      <c r="A121" s="72"/>
      <c r="B121" s="72"/>
      <c r="C121" s="73"/>
    </row>
    <row r="122">
      <c r="A122" s="72"/>
      <c r="B122" s="72"/>
      <c r="C122" s="73"/>
    </row>
    <row r="123">
      <c r="A123" s="72"/>
      <c r="B123" s="72"/>
      <c r="C123" s="73"/>
    </row>
    <row r="124">
      <c r="A124" s="72"/>
      <c r="B124" s="72"/>
      <c r="C124" s="73"/>
    </row>
    <row r="125">
      <c r="A125" s="72"/>
      <c r="B125" s="72"/>
      <c r="C125" s="73"/>
    </row>
    <row r="126">
      <c r="A126" s="72"/>
      <c r="B126" s="72"/>
      <c r="C126" s="73"/>
    </row>
    <row r="127">
      <c r="A127" s="72"/>
      <c r="B127" s="72"/>
      <c r="C127" s="73"/>
    </row>
    <row r="128">
      <c r="A128" s="72"/>
      <c r="B128" s="72"/>
      <c r="C128" s="73"/>
    </row>
    <row r="129">
      <c r="A129" s="72"/>
      <c r="B129" s="72"/>
      <c r="C129" s="73"/>
    </row>
    <row r="130">
      <c r="A130" s="72"/>
      <c r="B130" s="72"/>
      <c r="C130" s="73"/>
    </row>
    <row r="131">
      <c r="A131" s="72"/>
      <c r="B131" s="72"/>
      <c r="C131" s="73"/>
    </row>
    <row r="132">
      <c r="A132" s="72"/>
      <c r="B132" s="72"/>
      <c r="C132" s="73"/>
    </row>
    <row r="133">
      <c r="A133" s="72"/>
      <c r="B133" s="72"/>
      <c r="C133" s="73"/>
    </row>
    <row r="134">
      <c r="A134" s="72"/>
      <c r="B134" s="72"/>
      <c r="C134" s="73"/>
    </row>
    <row r="135">
      <c r="A135" s="72"/>
      <c r="B135" s="72"/>
      <c r="C135" s="73"/>
    </row>
    <row r="136">
      <c r="A136" s="72"/>
      <c r="B136" s="72"/>
      <c r="C136" s="73"/>
    </row>
    <row r="137">
      <c r="A137" s="72"/>
      <c r="B137" s="72"/>
      <c r="C137" s="73"/>
    </row>
    <row r="138">
      <c r="A138" s="72"/>
      <c r="B138" s="72"/>
      <c r="C138" s="73"/>
    </row>
    <row r="139">
      <c r="A139" s="72"/>
      <c r="B139" s="72"/>
      <c r="C139" s="73"/>
    </row>
    <row r="140">
      <c r="A140" s="72"/>
      <c r="B140" s="72"/>
      <c r="C140" s="73"/>
    </row>
    <row r="141">
      <c r="A141" s="72"/>
      <c r="B141" s="72"/>
      <c r="C141" s="73"/>
    </row>
    <row r="142">
      <c r="A142" s="72"/>
      <c r="B142" s="72"/>
      <c r="C142" s="73"/>
    </row>
    <row r="143">
      <c r="A143" s="72"/>
      <c r="B143" s="72"/>
      <c r="C143" s="73"/>
    </row>
    <row r="144">
      <c r="A144" s="72"/>
      <c r="B144" s="72"/>
      <c r="C144" s="73"/>
    </row>
    <row r="145">
      <c r="A145" s="72"/>
      <c r="B145" s="72"/>
      <c r="C145" s="73"/>
    </row>
    <row r="146">
      <c r="A146" s="72"/>
      <c r="B146" s="72"/>
      <c r="C146" s="73"/>
    </row>
    <row r="147">
      <c r="A147" s="72"/>
      <c r="B147" s="72"/>
      <c r="C147" s="73"/>
    </row>
    <row r="148">
      <c r="A148" s="72"/>
      <c r="B148" s="72"/>
      <c r="C148" s="73"/>
    </row>
    <row r="149">
      <c r="A149" s="72"/>
      <c r="B149" s="72"/>
      <c r="C149" s="73"/>
    </row>
    <row r="150">
      <c r="A150" s="72"/>
      <c r="B150" s="72"/>
      <c r="C150" s="73"/>
    </row>
    <row r="151">
      <c r="A151" s="72"/>
      <c r="B151" s="72"/>
      <c r="C151" s="73"/>
    </row>
    <row r="152">
      <c r="A152" s="72"/>
      <c r="B152" s="72"/>
      <c r="C152" s="73"/>
    </row>
    <row r="153">
      <c r="A153" s="72"/>
      <c r="B153" s="72"/>
      <c r="C153" s="73"/>
    </row>
    <row r="154">
      <c r="A154" s="72"/>
      <c r="B154" s="72"/>
      <c r="C154" s="73"/>
    </row>
    <row r="155">
      <c r="A155" s="72"/>
      <c r="B155" s="72"/>
      <c r="C155" s="73"/>
    </row>
    <row r="156">
      <c r="A156" s="72"/>
      <c r="B156" s="72"/>
      <c r="C156" s="73"/>
    </row>
    <row r="157">
      <c r="A157" s="72"/>
      <c r="B157" s="72"/>
      <c r="C157" s="73"/>
    </row>
    <row r="158">
      <c r="A158" s="72"/>
      <c r="B158" s="72"/>
      <c r="C158" s="73"/>
    </row>
    <row r="159">
      <c r="A159" s="72"/>
      <c r="B159" s="72"/>
      <c r="C159" s="73"/>
    </row>
    <row r="160">
      <c r="A160" s="72"/>
      <c r="B160" s="72"/>
      <c r="C160" s="73"/>
    </row>
    <row r="161">
      <c r="A161" s="72"/>
      <c r="B161" s="72"/>
      <c r="C161" s="73"/>
    </row>
    <row r="162">
      <c r="A162" s="72"/>
      <c r="B162" s="72"/>
      <c r="C162" s="73"/>
    </row>
    <row r="163">
      <c r="A163" s="72"/>
      <c r="B163" s="72"/>
      <c r="C163" s="73"/>
    </row>
    <row r="164">
      <c r="A164" s="72"/>
      <c r="B164" s="72"/>
      <c r="C164" s="73"/>
    </row>
    <row r="165">
      <c r="A165" s="72"/>
      <c r="B165" s="72"/>
      <c r="C165" s="73"/>
    </row>
    <row r="166">
      <c r="A166" s="72"/>
      <c r="B166" s="72"/>
      <c r="C166" s="73"/>
    </row>
    <row r="167">
      <c r="A167" s="72"/>
      <c r="B167" s="72"/>
      <c r="C167" s="73"/>
    </row>
    <row r="168">
      <c r="A168" s="72"/>
      <c r="B168" s="72"/>
      <c r="C168" s="73"/>
    </row>
    <row r="169">
      <c r="A169" s="72"/>
      <c r="B169" s="72"/>
      <c r="C169" s="73"/>
    </row>
    <row r="170">
      <c r="A170" s="72"/>
      <c r="B170" s="72"/>
      <c r="C170" s="73"/>
    </row>
    <row r="171">
      <c r="A171" s="72"/>
      <c r="B171" s="72"/>
      <c r="C171" s="73"/>
    </row>
    <row r="172">
      <c r="A172" s="72"/>
      <c r="B172" s="72"/>
      <c r="C172" s="73"/>
    </row>
    <row r="173">
      <c r="A173" s="72"/>
      <c r="B173" s="72"/>
      <c r="C173" s="73"/>
    </row>
    <row r="174">
      <c r="A174" s="72"/>
      <c r="B174" s="72"/>
      <c r="C174" s="73"/>
    </row>
    <row r="175">
      <c r="A175" s="72"/>
      <c r="B175" s="72"/>
      <c r="C175" s="73"/>
    </row>
    <row r="176">
      <c r="A176" s="72"/>
      <c r="B176" s="72"/>
      <c r="C176" s="73"/>
    </row>
    <row r="177">
      <c r="A177" s="72"/>
      <c r="B177" s="72"/>
      <c r="C177" s="73"/>
    </row>
    <row r="178">
      <c r="A178" s="72"/>
      <c r="B178" s="72"/>
      <c r="C178" s="73"/>
    </row>
    <row r="179">
      <c r="A179" s="72"/>
      <c r="B179" s="72"/>
      <c r="C179" s="73"/>
    </row>
    <row r="180">
      <c r="A180" s="72"/>
      <c r="B180" s="72"/>
      <c r="C180" s="73"/>
    </row>
    <row r="181">
      <c r="A181" s="72"/>
      <c r="B181" s="72"/>
      <c r="C181" s="73"/>
    </row>
    <row r="182">
      <c r="A182" s="72"/>
      <c r="B182" s="72"/>
      <c r="C182" s="73"/>
    </row>
    <row r="183">
      <c r="A183" s="72"/>
      <c r="B183" s="72"/>
      <c r="C183" s="73"/>
    </row>
    <row r="184">
      <c r="A184" s="72"/>
      <c r="B184" s="72"/>
      <c r="C184" s="73"/>
    </row>
    <row r="185">
      <c r="A185" s="72"/>
      <c r="B185" s="72"/>
      <c r="C185" s="73"/>
    </row>
    <row r="186">
      <c r="A186" s="72"/>
      <c r="B186" s="72"/>
      <c r="C186" s="73"/>
    </row>
    <row r="187">
      <c r="A187" s="72"/>
      <c r="B187" s="72"/>
      <c r="C187" s="73"/>
    </row>
    <row r="188">
      <c r="A188" s="72"/>
      <c r="B188" s="72"/>
      <c r="C188" s="73"/>
    </row>
    <row r="189">
      <c r="A189" s="72"/>
      <c r="B189" s="72"/>
      <c r="C189" s="73"/>
    </row>
    <row r="190">
      <c r="A190" s="72"/>
      <c r="B190" s="72"/>
      <c r="C190" s="73"/>
    </row>
    <row r="191">
      <c r="A191" s="72"/>
      <c r="B191" s="72"/>
      <c r="C191" s="73"/>
    </row>
    <row r="192">
      <c r="A192" s="72"/>
      <c r="B192" s="72"/>
      <c r="C192" s="73"/>
    </row>
    <row r="193">
      <c r="A193" s="72"/>
      <c r="B193" s="72"/>
      <c r="C193" s="73"/>
    </row>
    <row r="194">
      <c r="A194" s="72"/>
      <c r="B194" s="72"/>
      <c r="C194" s="73"/>
    </row>
    <row r="195">
      <c r="A195" s="72"/>
      <c r="B195" s="72"/>
      <c r="C195" s="73"/>
    </row>
    <row r="196">
      <c r="A196" s="72"/>
      <c r="B196" s="72"/>
      <c r="C196" s="73"/>
    </row>
    <row r="197">
      <c r="A197" s="72"/>
      <c r="B197" s="72"/>
      <c r="C197" s="73"/>
    </row>
    <row r="198">
      <c r="A198" s="72"/>
      <c r="B198" s="72"/>
      <c r="C198" s="73"/>
    </row>
    <row r="199">
      <c r="A199" s="72"/>
      <c r="B199" s="72"/>
      <c r="C199" s="73"/>
    </row>
    <row r="200">
      <c r="A200" s="72"/>
      <c r="B200" s="72"/>
      <c r="C200" s="73"/>
    </row>
    <row r="201">
      <c r="A201" s="72"/>
      <c r="B201" s="72"/>
      <c r="C201" s="73"/>
    </row>
    <row r="202">
      <c r="A202" s="72"/>
      <c r="B202" s="72"/>
      <c r="C202" s="73"/>
    </row>
    <row r="203">
      <c r="A203" s="72"/>
      <c r="B203" s="72"/>
      <c r="C203" s="73"/>
    </row>
    <row r="204">
      <c r="A204" s="72"/>
      <c r="B204" s="72"/>
      <c r="C204" s="73"/>
    </row>
    <row r="205">
      <c r="A205" s="72"/>
      <c r="B205" s="72"/>
      <c r="C205" s="73"/>
    </row>
    <row r="206">
      <c r="A206" s="72"/>
      <c r="B206" s="72"/>
      <c r="C206" s="73"/>
    </row>
    <row r="207">
      <c r="A207" s="72"/>
      <c r="B207" s="72"/>
      <c r="C207" s="73"/>
    </row>
    <row r="208">
      <c r="A208" s="72"/>
      <c r="B208" s="72"/>
      <c r="C208" s="73"/>
    </row>
    <row r="209">
      <c r="A209" s="72"/>
      <c r="B209" s="72"/>
      <c r="C209" s="73"/>
    </row>
    <row r="210">
      <c r="A210" s="72"/>
      <c r="B210" s="72"/>
      <c r="C210" s="73"/>
    </row>
    <row r="211">
      <c r="A211" s="72"/>
      <c r="B211" s="72"/>
      <c r="C211" s="73"/>
    </row>
    <row r="212">
      <c r="A212" s="72"/>
      <c r="B212" s="72"/>
      <c r="C212" s="73"/>
    </row>
    <row r="213">
      <c r="A213" s="72"/>
      <c r="B213" s="72"/>
      <c r="C213" s="73"/>
    </row>
    <row r="214">
      <c r="A214" s="72"/>
      <c r="B214" s="72"/>
      <c r="C214" s="73"/>
    </row>
    <row r="215">
      <c r="A215" s="72"/>
      <c r="B215" s="72"/>
      <c r="C215" s="73"/>
    </row>
    <row r="216">
      <c r="A216" s="72"/>
      <c r="B216" s="72"/>
      <c r="C216" s="73"/>
    </row>
    <row r="217">
      <c r="A217" s="72"/>
      <c r="B217" s="72"/>
      <c r="C217" s="73"/>
    </row>
    <row r="218">
      <c r="A218" s="72"/>
      <c r="B218" s="72"/>
      <c r="C218" s="73"/>
    </row>
    <row r="219">
      <c r="A219" s="72"/>
      <c r="B219" s="72"/>
      <c r="C219" s="73"/>
    </row>
    <row r="220">
      <c r="A220" s="72"/>
      <c r="B220" s="72"/>
      <c r="C220" s="73"/>
    </row>
    <row r="221">
      <c r="A221" s="72"/>
      <c r="B221" s="72"/>
      <c r="C221" s="73"/>
    </row>
    <row r="222">
      <c r="A222" s="72"/>
      <c r="B222" s="72"/>
      <c r="C222" s="73"/>
    </row>
    <row r="223">
      <c r="A223" s="72"/>
      <c r="B223" s="72"/>
      <c r="C223" s="73"/>
    </row>
    <row r="224">
      <c r="A224" s="72"/>
      <c r="B224" s="72"/>
      <c r="C224" s="73"/>
    </row>
    <row r="225">
      <c r="A225" s="72"/>
      <c r="B225" s="72"/>
      <c r="C225" s="73"/>
    </row>
    <row r="226">
      <c r="A226" s="72"/>
      <c r="B226" s="72"/>
      <c r="C226" s="73"/>
    </row>
    <row r="227">
      <c r="A227" s="72"/>
      <c r="B227" s="72"/>
      <c r="C227" s="73"/>
    </row>
    <row r="228">
      <c r="A228" s="72"/>
      <c r="B228" s="72"/>
      <c r="C228" s="73"/>
    </row>
    <row r="229">
      <c r="A229" s="72"/>
      <c r="B229" s="72"/>
      <c r="C229" s="73"/>
    </row>
    <row r="230">
      <c r="A230" s="72"/>
      <c r="B230" s="72"/>
      <c r="C230" s="73"/>
    </row>
    <row r="231">
      <c r="A231" s="72"/>
      <c r="B231" s="72"/>
      <c r="C231" s="73"/>
    </row>
    <row r="232">
      <c r="A232" s="72"/>
      <c r="B232" s="72"/>
      <c r="C232" s="73"/>
    </row>
    <row r="233">
      <c r="A233" s="72"/>
      <c r="B233" s="72"/>
      <c r="C233" s="73"/>
    </row>
    <row r="234">
      <c r="A234" s="72"/>
      <c r="B234" s="72"/>
      <c r="C234" s="73"/>
    </row>
    <row r="235">
      <c r="A235" s="72"/>
      <c r="B235" s="72"/>
      <c r="C235" s="73"/>
    </row>
    <row r="236">
      <c r="A236" s="72"/>
      <c r="B236" s="72"/>
      <c r="C236" s="73"/>
    </row>
    <row r="237">
      <c r="A237" s="72"/>
      <c r="B237" s="72"/>
      <c r="C237" s="73"/>
    </row>
    <row r="238">
      <c r="A238" s="72"/>
      <c r="B238" s="72"/>
      <c r="C238" s="73"/>
    </row>
    <row r="239">
      <c r="A239" s="72"/>
      <c r="B239" s="72"/>
      <c r="C239" s="73"/>
    </row>
    <row r="240">
      <c r="A240" s="72"/>
      <c r="B240" s="72"/>
      <c r="C240" s="73"/>
    </row>
    <row r="241">
      <c r="A241" s="72"/>
      <c r="B241" s="72"/>
      <c r="C241" s="73"/>
    </row>
    <row r="242">
      <c r="A242" s="72"/>
      <c r="B242" s="72"/>
      <c r="C242" s="73"/>
    </row>
    <row r="243">
      <c r="A243" s="72"/>
      <c r="B243" s="72"/>
      <c r="C243" s="73"/>
    </row>
    <row r="244">
      <c r="A244" s="72"/>
      <c r="B244" s="72"/>
      <c r="C244" s="73"/>
    </row>
    <row r="245">
      <c r="A245" s="72"/>
      <c r="B245" s="72"/>
      <c r="C245" s="73"/>
    </row>
    <row r="246">
      <c r="A246" s="72"/>
      <c r="B246" s="72"/>
      <c r="C246" s="73"/>
    </row>
    <row r="247">
      <c r="A247" s="72"/>
      <c r="B247" s="72"/>
      <c r="C247" s="73"/>
    </row>
    <row r="248">
      <c r="A248" s="72"/>
      <c r="B248" s="72"/>
      <c r="C248" s="73"/>
    </row>
    <row r="249">
      <c r="A249" s="72"/>
      <c r="B249" s="72"/>
      <c r="C249" s="73"/>
    </row>
    <row r="250">
      <c r="A250" s="72"/>
      <c r="B250" s="72"/>
      <c r="C250" s="73"/>
    </row>
    <row r="251">
      <c r="A251" s="72"/>
      <c r="B251" s="72"/>
      <c r="C251" s="73"/>
    </row>
    <row r="252">
      <c r="A252" s="72"/>
      <c r="B252" s="72"/>
      <c r="C252" s="73"/>
    </row>
    <row r="253">
      <c r="A253" s="72"/>
      <c r="B253" s="72"/>
      <c r="C253" s="73"/>
    </row>
    <row r="254">
      <c r="A254" s="72"/>
      <c r="B254" s="72"/>
      <c r="C254" s="73"/>
    </row>
    <row r="255">
      <c r="A255" s="72"/>
      <c r="B255" s="72"/>
      <c r="C255" s="73"/>
    </row>
    <row r="256">
      <c r="A256" s="72"/>
      <c r="B256" s="72"/>
      <c r="C256" s="73"/>
    </row>
    <row r="257">
      <c r="A257" s="72"/>
      <c r="B257" s="72"/>
      <c r="C257" s="73"/>
    </row>
    <row r="258">
      <c r="A258" s="72"/>
      <c r="B258" s="72"/>
      <c r="C258" s="73"/>
    </row>
    <row r="259">
      <c r="A259" s="72"/>
      <c r="B259" s="72"/>
      <c r="C259" s="73"/>
    </row>
    <row r="260">
      <c r="A260" s="72"/>
      <c r="B260" s="72"/>
      <c r="C260" s="73"/>
    </row>
    <row r="261">
      <c r="A261" s="72"/>
      <c r="B261" s="72"/>
      <c r="C261" s="73"/>
    </row>
    <row r="262">
      <c r="A262" s="72"/>
      <c r="B262" s="72"/>
      <c r="C262" s="73"/>
    </row>
    <row r="263">
      <c r="A263" s="72"/>
      <c r="B263" s="72"/>
      <c r="C263" s="73"/>
    </row>
    <row r="264">
      <c r="A264" s="72"/>
      <c r="B264" s="72"/>
      <c r="C264" s="73"/>
    </row>
    <row r="265">
      <c r="A265" s="72"/>
      <c r="B265" s="72"/>
      <c r="C265" s="73"/>
    </row>
    <row r="266">
      <c r="A266" s="72"/>
      <c r="B266" s="72"/>
      <c r="C266" s="73"/>
    </row>
    <row r="267">
      <c r="A267" s="72"/>
      <c r="B267" s="72"/>
      <c r="C267" s="73"/>
    </row>
    <row r="268">
      <c r="A268" s="72"/>
      <c r="B268" s="72"/>
      <c r="C268" s="73"/>
    </row>
    <row r="269">
      <c r="A269" s="72"/>
      <c r="B269" s="72"/>
      <c r="C269" s="73"/>
    </row>
    <row r="270">
      <c r="A270" s="72"/>
      <c r="B270" s="72"/>
      <c r="C270" s="73"/>
    </row>
    <row r="271">
      <c r="A271" s="72"/>
      <c r="B271" s="72"/>
      <c r="C271" s="73"/>
    </row>
    <row r="272">
      <c r="A272" s="72"/>
      <c r="B272" s="72"/>
      <c r="C272" s="73"/>
    </row>
    <row r="273">
      <c r="A273" s="72"/>
      <c r="B273" s="72"/>
      <c r="C273" s="73"/>
    </row>
    <row r="274">
      <c r="A274" s="72"/>
      <c r="B274" s="72"/>
      <c r="C274" s="73"/>
    </row>
    <row r="275">
      <c r="A275" s="72"/>
      <c r="B275" s="72"/>
      <c r="C275" s="73"/>
    </row>
    <row r="276">
      <c r="A276" s="72"/>
      <c r="B276" s="72"/>
      <c r="C276" s="73"/>
    </row>
    <row r="277">
      <c r="A277" s="72"/>
      <c r="B277" s="72"/>
      <c r="C277" s="73"/>
    </row>
    <row r="278">
      <c r="A278" s="72"/>
      <c r="B278" s="72"/>
      <c r="C278" s="73"/>
    </row>
    <row r="279">
      <c r="A279" s="72"/>
      <c r="B279" s="72"/>
      <c r="C279" s="73"/>
    </row>
    <row r="280">
      <c r="A280" s="72"/>
      <c r="B280" s="72"/>
      <c r="C280" s="73"/>
    </row>
    <row r="281">
      <c r="A281" s="72"/>
      <c r="B281" s="72"/>
      <c r="C281" s="73"/>
    </row>
    <row r="282">
      <c r="A282" s="72"/>
      <c r="B282" s="72"/>
      <c r="C282" s="73"/>
    </row>
    <row r="283">
      <c r="A283" s="72"/>
      <c r="B283" s="72"/>
      <c r="C283" s="73"/>
    </row>
    <row r="284">
      <c r="A284" s="72"/>
      <c r="B284" s="72"/>
      <c r="C284" s="73"/>
    </row>
    <row r="285">
      <c r="A285" s="72"/>
      <c r="B285" s="72"/>
      <c r="C285" s="73"/>
    </row>
    <row r="286">
      <c r="A286" s="72"/>
      <c r="B286" s="72"/>
      <c r="C286" s="73"/>
    </row>
    <row r="287">
      <c r="A287" s="72"/>
      <c r="B287" s="72"/>
      <c r="C287" s="73"/>
    </row>
    <row r="288">
      <c r="A288" s="72"/>
      <c r="B288" s="72"/>
      <c r="C288" s="73"/>
    </row>
    <row r="289">
      <c r="A289" s="72"/>
      <c r="B289" s="72"/>
      <c r="C289" s="73"/>
    </row>
    <row r="290">
      <c r="A290" s="72"/>
      <c r="B290" s="72"/>
      <c r="C290" s="73"/>
    </row>
    <row r="291">
      <c r="A291" s="72"/>
      <c r="B291" s="72"/>
      <c r="C291" s="73"/>
    </row>
    <row r="292">
      <c r="A292" s="72"/>
      <c r="B292" s="72"/>
      <c r="C292" s="73"/>
    </row>
    <row r="293">
      <c r="A293" s="72"/>
      <c r="B293" s="72"/>
      <c r="C293" s="73"/>
    </row>
    <row r="294">
      <c r="A294" s="72"/>
      <c r="B294" s="72"/>
      <c r="C294" s="73"/>
    </row>
    <row r="295">
      <c r="A295" s="72"/>
      <c r="B295" s="72"/>
      <c r="C295" s="73"/>
    </row>
    <row r="296">
      <c r="A296" s="72"/>
      <c r="B296" s="72"/>
      <c r="C296" s="73"/>
    </row>
    <row r="297">
      <c r="A297" s="72"/>
      <c r="B297" s="72"/>
      <c r="C297" s="73"/>
    </row>
    <row r="298">
      <c r="A298" s="72"/>
      <c r="B298" s="72"/>
      <c r="C298" s="73"/>
    </row>
    <row r="299">
      <c r="A299" s="72"/>
      <c r="B299" s="72"/>
      <c r="C299" s="73"/>
    </row>
    <row r="300">
      <c r="A300" s="72"/>
      <c r="B300" s="72"/>
      <c r="C300" s="73"/>
    </row>
    <row r="301">
      <c r="A301" s="72"/>
      <c r="B301" s="72"/>
      <c r="C301" s="73"/>
    </row>
    <row r="302">
      <c r="A302" s="72"/>
      <c r="B302" s="72"/>
      <c r="C302" s="73"/>
    </row>
    <row r="303">
      <c r="A303" s="72"/>
      <c r="B303" s="72"/>
      <c r="C303" s="73"/>
    </row>
    <row r="304">
      <c r="A304" s="72"/>
      <c r="B304" s="72"/>
      <c r="C304" s="73"/>
    </row>
    <row r="305">
      <c r="A305" s="72"/>
      <c r="B305" s="72"/>
      <c r="C305" s="73"/>
    </row>
    <row r="306">
      <c r="A306" s="72"/>
      <c r="B306" s="72"/>
      <c r="C306" s="73"/>
    </row>
    <row r="307">
      <c r="A307" s="72"/>
      <c r="B307" s="72"/>
      <c r="C307" s="73"/>
    </row>
    <row r="308">
      <c r="A308" s="72"/>
      <c r="B308" s="72"/>
      <c r="C308" s="73"/>
    </row>
    <row r="309">
      <c r="A309" s="72"/>
      <c r="B309" s="72"/>
      <c r="C309" s="73"/>
    </row>
    <row r="310">
      <c r="A310" s="72"/>
      <c r="B310" s="72"/>
      <c r="C310" s="73"/>
    </row>
    <row r="311">
      <c r="A311" s="72"/>
      <c r="B311" s="72"/>
      <c r="C311" s="73"/>
    </row>
    <row r="312">
      <c r="A312" s="72"/>
      <c r="B312" s="72"/>
      <c r="C312" s="73"/>
    </row>
    <row r="313">
      <c r="A313" s="72"/>
      <c r="B313" s="72"/>
      <c r="C313" s="73"/>
    </row>
    <row r="314">
      <c r="A314" s="72"/>
      <c r="B314" s="72"/>
      <c r="C314" s="73"/>
    </row>
    <row r="315">
      <c r="A315" s="72"/>
      <c r="B315" s="72"/>
      <c r="C315" s="73"/>
    </row>
    <row r="316">
      <c r="A316" s="72"/>
      <c r="B316" s="72"/>
      <c r="C316" s="73"/>
    </row>
    <row r="317">
      <c r="A317" s="72"/>
      <c r="B317" s="72"/>
      <c r="C317" s="73"/>
    </row>
    <row r="318">
      <c r="A318" s="72"/>
      <c r="B318" s="72"/>
      <c r="C318" s="73"/>
    </row>
    <row r="319">
      <c r="A319" s="72"/>
      <c r="B319" s="72"/>
      <c r="C319" s="73"/>
    </row>
    <row r="320">
      <c r="A320" s="72"/>
      <c r="B320" s="72"/>
      <c r="C320" s="73"/>
    </row>
    <row r="321">
      <c r="A321" s="72"/>
      <c r="B321" s="72"/>
      <c r="C321" s="73"/>
    </row>
    <row r="322">
      <c r="A322" s="72"/>
      <c r="B322" s="72"/>
      <c r="C322" s="73"/>
    </row>
    <row r="323">
      <c r="A323" s="72"/>
      <c r="B323" s="72"/>
      <c r="C323" s="73"/>
    </row>
    <row r="324">
      <c r="A324" s="72"/>
      <c r="B324" s="72"/>
      <c r="C324" s="73"/>
    </row>
    <row r="325">
      <c r="A325" s="72"/>
      <c r="B325" s="72"/>
      <c r="C325" s="73"/>
    </row>
    <row r="326">
      <c r="A326" s="72"/>
      <c r="B326" s="72"/>
      <c r="C326" s="73"/>
    </row>
    <row r="327">
      <c r="A327" s="72"/>
      <c r="B327" s="72"/>
      <c r="C327" s="73"/>
    </row>
    <row r="328">
      <c r="A328" s="72"/>
      <c r="B328" s="72"/>
      <c r="C328" s="73"/>
    </row>
    <row r="329">
      <c r="A329" s="72"/>
      <c r="B329" s="72"/>
      <c r="C329" s="73"/>
    </row>
    <row r="330">
      <c r="A330" s="72"/>
      <c r="B330" s="72"/>
      <c r="C330" s="73"/>
    </row>
    <row r="331">
      <c r="A331" s="72"/>
      <c r="B331" s="72"/>
      <c r="C331" s="73"/>
    </row>
    <row r="332">
      <c r="A332" s="72"/>
      <c r="B332" s="72"/>
      <c r="C332" s="73"/>
    </row>
    <row r="333">
      <c r="A333" s="72"/>
      <c r="B333" s="72"/>
      <c r="C333" s="73"/>
    </row>
    <row r="334">
      <c r="A334" s="72"/>
      <c r="B334" s="72"/>
      <c r="C334" s="73"/>
    </row>
    <row r="335">
      <c r="A335" s="72"/>
      <c r="B335" s="72"/>
      <c r="C335" s="73"/>
    </row>
    <row r="336">
      <c r="A336" s="72"/>
      <c r="B336" s="72"/>
      <c r="C336" s="73"/>
    </row>
    <row r="337">
      <c r="A337" s="72"/>
      <c r="B337" s="72"/>
      <c r="C337" s="73"/>
    </row>
    <row r="338">
      <c r="A338" s="72"/>
      <c r="B338" s="72"/>
      <c r="C338" s="73"/>
    </row>
    <row r="339">
      <c r="A339" s="72"/>
      <c r="B339" s="72"/>
      <c r="C339" s="73"/>
    </row>
    <row r="340">
      <c r="A340" s="72"/>
      <c r="B340" s="72"/>
      <c r="C340" s="73"/>
    </row>
    <row r="341">
      <c r="A341" s="72"/>
      <c r="B341" s="72"/>
      <c r="C341" s="73"/>
    </row>
    <row r="342">
      <c r="A342" s="72"/>
      <c r="B342" s="72"/>
      <c r="C342" s="73"/>
    </row>
    <row r="343">
      <c r="A343" s="72"/>
      <c r="B343" s="72"/>
      <c r="C343" s="73"/>
    </row>
    <row r="344">
      <c r="A344" s="72"/>
      <c r="B344" s="72"/>
      <c r="C344" s="73"/>
    </row>
    <row r="345">
      <c r="A345" s="72"/>
      <c r="B345" s="72"/>
      <c r="C345" s="73"/>
    </row>
    <row r="346">
      <c r="A346" s="72"/>
      <c r="B346" s="72"/>
      <c r="C346" s="73"/>
    </row>
    <row r="347">
      <c r="A347" s="72"/>
      <c r="B347" s="72"/>
      <c r="C347" s="73"/>
    </row>
    <row r="348">
      <c r="A348" s="72"/>
      <c r="B348" s="72"/>
      <c r="C348" s="73"/>
    </row>
    <row r="349">
      <c r="A349" s="72"/>
      <c r="B349" s="72"/>
      <c r="C349" s="73"/>
    </row>
    <row r="350">
      <c r="A350" s="72"/>
      <c r="B350" s="72"/>
      <c r="C350" s="73"/>
    </row>
    <row r="351">
      <c r="A351" s="72"/>
      <c r="B351" s="72"/>
      <c r="C351" s="73"/>
    </row>
    <row r="352">
      <c r="A352" s="72"/>
      <c r="B352" s="72"/>
      <c r="C352" s="73"/>
    </row>
    <row r="353">
      <c r="A353" s="72"/>
      <c r="B353" s="72"/>
      <c r="C353" s="73"/>
    </row>
    <row r="354">
      <c r="A354" s="72"/>
      <c r="B354" s="72"/>
      <c r="C354" s="73"/>
    </row>
    <row r="355">
      <c r="A355" s="72"/>
      <c r="B355" s="72"/>
      <c r="C355" s="73"/>
    </row>
    <row r="356">
      <c r="A356" s="72"/>
      <c r="B356" s="72"/>
      <c r="C356" s="73"/>
    </row>
    <row r="357">
      <c r="A357" s="72"/>
      <c r="B357" s="72"/>
      <c r="C357" s="73"/>
    </row>
    <row r="358">
      <c r="A358" s="72"/>
      <c r="B358" s="72"/>
      <c r="C358" s="73"/>
    </row>
    <row r="359">
      <c r="A359" s="72"/>
      <c r="B359" s="72"/>
      <c r="C359" s="73"/>
    </row>
    <row r="360">
      <c r="A360" s="72"/>
      <c r="B360" s="72"/>
      <c r="C360" s="73"/>
    </row>
    <row r="361">
      <c r="A361" s="72"/>
      <c r="B361" s="72"/>
      <c r="C361" s="73"/>
    </row>
    <row r="362">
      <c r="A362" s="72"/>
      <c r="B362" s="72"/>
      <c r="C362" s="73"/>
    </row>
    <row r="363">
      <c r="A363" s="72"/>
      <c r="B363" s="72"/>
      <c r="C363" s="73"/>
    </row>
    <row r="364">
      <c r="A364" s="72"/>
      <c r="B364" s="72"/>
      <c r="C364" s="73"/>
    </row>
    <row r="365">
      <c r="A365" s="72"/>
      <c r="B365" s="72"/>
      <c r="C365" s="73"/>
    </row>
    <row r="366">
      <c r="A366" s="72"/>
      <c r="B366" s="72"/>
      <c r="C366" s="73"/>
    </row>
    <row r="367">
      <c r="A367" s="72"/>
      <c r="B367" s="72"/>
      <c r="C367" s="73"/>
    </row>
    <row r="368">
      <c r="A368" s="72"/>
      <c r="B368" s="72"/>
      <c r="C368" s="73"/>
    </row>
    <row r="369">
      <c r="A369" s="72"/>
      <c r="B369" s="72"/>
      <c r="C369" s="73"/>
    </row>
    <row r="370">
      <c r="A370" s="72"/>
      <c r="B370" s="72"/>
      <c r="C370" s="73"/>
    </row>
    <row r="371">
      <c r="A371" s="72"/>
      <c r="B371" s="72"/>
      <c r="C371" s="73"/>
    </row>
    <row r="372">
      <c r="A372" s="72"/>
      <c r="B372" s="72"/>
      <c r="C372" s="73"/>
    </row>
    <row r="373">
      <c r="A373" s="72"/>
      <c r="B373" s="72"/>
      <c r="C373" s="73"/>
    </row>
    <row r="374">
      <c r="A374" s="72"/>
      <c r="B374" s="72"/>
      <c r="C374" s="73"/>
    </row>
    <row r="375">
      <c r="A375" s="72"/>
      <c r="B375" s="72"/>
      <c r="C375" s="73"/>
    </row>
    <row r="376">
      <c r="A376" s="72"/>
      <c r="B376" s="72"/>
      <c r="C376" s="73"/>
    </row>
    <row r="377">
      <c r="A377" s="72"/>
      <c r="B377" s="72"/>
      <c r="C377" s="73"/>
    </row>
    <row r="378">
      <c r="A378" s="72"/>
      <c r="B378" s="72"/>
      <c r="C378" s="73"/>
    </row>
    <row r="379">
      <c r="A379" s="72"/>
      <c r="B379" s="72"/>
      <c r="C379" s="73"/>
    </row>
    <row r="380">
      <c r="A380" s="72"/>
      <c r="B380" s="72"/>
      <c r="C380" s="73"/>
    </row>
    <row r="381">
      <c r="A381" s="72"/>
      <c r="B381" s="72"/>
      <c r="C381" s="73"/>
    </row>
    <row r="382">
      <c r="A382" s="72"/>
      <c r="B382" s="72"/>
      <c r="C382" s="73"/>
    </row>
    <row r="383">
      <c r="A383" s="72"/>
      <c r="B383" s="72"/>
      <c r="C383" s="73"/>
    </row>
    <row r="384">
      <c r="A384" s="72"/>
      <c r="B384" s="72"/>
      <c r="C384" s="73"/>
    </row>
    <row r="385">
      <c r="A385" s="72"/>
      <c r="B385" s="72"/>
      <c r="C385" s="73"/>
    </row>
    <row r="386">
      <c r="A386" s="72"/>
      <c r="B386" s="72"/>
      <c r="C386" s="73"/>
    </row>
    <row r="387">
      <c r="A387" s="72"/>
      <c r="B387" s="72"/>
      <c r="C387" s="73"/>
    </row>
    <row r="388">
      <c r="A388" s="72"/>
      <c r="B388" s="72"/>
      <c r="C388" s="73"/>
    </row>
    <row r="389">
      <c r="A389" s="72"/>
      <c r="B389" s="72"/>
      <c r="C389" s="73"/>
    </row>
    <row r="390">
      <c r="A390" s="72"/>
      <c r="B390" s="72"/>
      <c r="C390" s="73"/>
    </row>
    <row r="391">
      <c r="A391" s="72"/>
      <c r="B391" s="72"/>
      <c r="C391" s="73"/>
    </row>
    <row r="392">
      <c r="A392" s="72"/>
      <c r="B392" s="72"/>
      <c r="C392" s="73"/>
    </row>
    <row r="393">
      <c r="A393" s="72"/>
      <c r="B393" s="72"/>
      <c r="C393" s="73"/>
    </row>
    <row r="394">
      <c r="A394" s="72"/>
      <c r="B394" s="72"/>
      <c r="C394" s="73"/>
    </row>
    <row r="395">
      <c r="A395" s="72"/>
      <c r="B395" s="72"/>
      <c r="C395" s="73"/>
    </row>
    <row r="396">
      <c r="A396" s="72"/>
      <c r="B396" s="72"/>
      <c r="C396" s="73"/>
    </row>
    <row r="397">
      <c r="A397" s="72"/>
      <c r="B397" s="72"/>
      <c r="C397" s="73"/>
    </row>
    <row r="398">
      <c r="A398" s="72"/>
      <c r="B398" s="72"/>
      <c r="C398" s="73"/>
    </row>
    <row r="399">
      <c r="A399" s="72"/>
      <c r="B399" s="72"/>
      <c r="C399" s="73"/>
    </row>
    <row r="400">
      <c r="A400" s="72"/>
      <c r="B400" s="72"/>
      <c r="C400" s="73"/>
    </row>
    <row r="401">
      <c r="A401" s="72"/>
      <c r="B401" s="72"/>
      <c r="C401" s="73"/>
    </row>
    <row r="402">
      <c r="A402" s="72"/>
      <c r="B402" s="72"/>
      <c r="C402" s="73"/>
    </row>
    <row r="403">
      <c r="A403" s="72"/>
      <c r="B403" s="72"/>
      <c r="C403" s="73"/>
    </row>
    <row r="404">
      <c r="A404" s="72"/>
      <c r="B404" s="72"/>
      <c r="C404" s="73"/>
    </row>
    <row r="405">
      <c r="A405" s="72"/>
      <c r="B405" s="72"/>
      <c r="C405" s="73"/>
    </row>
    <row r="406">
      <c r="A406" s="72"/>
      <c r="B406" s="72"/>
      <c r="C406" s="73"/>
    </row>
    <row r="407">
      <c r="A407" s="72"/>
      <c r="B407" s="72"/>
      <c r="C407" s="73"/>
    </row>
    <row r="408">
      <c r="A408" s="72"/>
      <c r="B408" s="72"/>
      <c r="C408" s="73"/>
    </row>
    <row r="409">
      <c r="A409" s="72"/>
      <c r="B409" s="72"/>
      <c r="C409" s="73"/>
    </row>
    <row r="410">
      <c r="A410" s="72"/>
      <c r="B410" s="72"/>
      <c r="C410" s="73"/>
    </row>
    <row r="411">
      <c r="A411" s="72"/>
      <c r="B411" s="72"/>
      <c r="C411" s="73"/>
    </row>
    <row r="412">
      <c r="A412" s="72"/>
      <c r="B412" s="72"/>
      <c r="C412" s="73"/>
    </row>
    <row r="413">
      <c r="A413" s="72"/>
      <c r="B413" s="72"/>
      <c r="C413" s="73"/>
    </row>
    <row r="414">
      <c r="A414" s="72"/>
      <c r="B414" s="72"/>
      <c r="C414" s="73"/>
    </row>
    <row r="415">
      <c r="A415" s="72"/>
      <c r="B415" s="72"/>
      <c r="C415" s="73"/>
    </row>
    <row r="416">
      <c r="A416" s="72"/>
      <c r="B416" s="72"/>
      <c r="C416" s="73"/>
    </row>
    <row r="417">
      <c r="A417" s="72"/>
      <c r="B417" s="72"/>
      <c r="C417" s="73"/>
    </row>
    <row r="418">
      <c r="A418" s="72"/>
      <c r="B418" s="72"/>
      <c r="C418" s="73"/>
    </row>
    <row r="419">
      <c r="A419" s="72"/>
      <c r="B419" s="72"/>
      <c r="C419" s="73"/>
    </row>
    <row r="420">
      <c r="A420" s="72"/>
      <c r="B420" s="72"/>
      <c r="C420" s="73"/>
    </row>
    <row r="421">
      <c r="A421" s="72"/>
      <c r="B421" s="72"/>
      <c r="C421" s="73"/>
    </row>
    <row r="422">
      <c r="A422" s="72"/>
      <c r="B422" s="72"/>
      <c r="C422" s="73"/>
    </row>
    <row r="423">
      <c r="A423" s="72"/>
      <c r="B423" s="72"/>
      <c r="C423" s="73"/>
    </row>
    <row r="424">
      <c r="A424" s="72"/>
      <c r="B424" s="72"/>
      <c r="C424" s="73"/>
    </row>
    <row r="425">
      <c r="A425" s="72"/>
      <c r="B425" s="72"/>
      <c r="C425" s="73"/>
    </row>
    <row r="426">
      <c r="A426" s="72"/>
      <c r="B426" s="72"/>
      <c r="C426" s="73"/>
    </row>
    <row r="427">
      <c r="A427" s="72"/>
      <c r="B427" s="72"/>
      <c r="C427" s="73"/>
    </row>
    <row r="428">
      <c r="A428" s="72"/>
      <c r="B428" s="72"/>
      <c r="C428" s="73"/>
    </row>
    <row r="429">
      <c r="A429" s="72"/>
      <c r="B429" s="72"/>
      <c r="C429" s="73"/>
    </row>
    <row r="430">
      <c r="A430" s="72"/>
      <c r="B430" s="72"/>
      <c r="C430" s="73"/>
    </row>
    <row r="431">
      <c r="A431" s="72"/>
      <c r="B431" s="72"/>
      <c r="C431" s="73"/>
    </row>
    <row r="432">
      <c r="A432" s="72"/>
      <c r="B432" s="72"/>
      <c r="C432" s="73"/>
    </row>
    <row r="433">
      <c r="A433" s="72"/>
      <c r="B433" s="72"/>
      <c r="C433" s="73"/>
    </row>
    <row r="434">
      <c r="A434" s="72"/>
      <c r="B434" s="72"/>
      <c r="C434" s="73"/>
    </row>
    <row r="435">
      <c r="A435" s="72"/>
      <c r="B435" s="72"/>
      <c r="C435" s="73"/>
    </row>
    <row r="436">
      <c r="A436" s="72"/>
      <c r="B436" s="72"/>
      <c r="C436" s="73"/>
    </row>
    <row r="437">
      <c r="A437" s="72"/>
      <c r="B437" s="72"/>
      <c r="C437" s="73"/>
    </row>
    <row r="438">
      <c r="A438" s="72"/>
      <c r="B438" s="72"/>
      <c r="C438" s="73"/>
    </row>
    <row r="439">
      <c r="A439" s="72"/>
      <c r="B439" s="72"/>
      <c r="C439" s="73"/>
    </row>
    <row r="440">
      <c r="A440" s="72"/>
      <c r="B440" s="72"/>
      <c r="C440" s="73"/>
    </row>
    <row r="441">
      <c r="A441" s="72"/>
      <c r="B441" s="72"/>
      <c r="C441" s="73"/>
    </row>
    <row r="442">
      <c r="A442" s="72"/>
      <c r="B442" s="72"/>
      <c r="C442" s="73"/>
    </row>
    <row r="443">
      <c r="A443" s="72"/>
      <c r="B443" s="72"/>
      <c r="C443" s="73"/>
    </row>
    <row r="444">
      <c r="A444" s="72"/>
      <c r="B444" s="72"/>
      <c r="C444" s="73"/>
    </row>
    <row r="445">
      <c r="A445" s="72"/>
      <c r="B445" s="72"/>
      <c r="C445" s="73"/>
    </row>
    <row r="446">
      <c r="A446" s="72"/>
      <c r="B446" s="72"/>
      <c r="C446" s="73"/>
    </row>
    <row r="447">
      <c r="A447" s="72"/>
      <c r="B447" s="72"/>
      <c r="C447" s="73"/>
    </row>
    <row r="448">
      <c r="A448" s="72"/>
      <c r="B448" s="72"/>
      <c r="C448" s="73"/>
    </row>
    <row r="449">
      <c r="A449" s="72"/>
      <c r="B449" s="72"/>
      <c r="C449" s="73"/>
    </row>
    <row r="450">
      <c r="A450" s="72"/>
      <c r="B450" s="72"/>
      <c r="C450" s="73"/>
    </row>
    <row r="451">
      <c r="A451" s="72"/>
      <c r="B451" s="72"/>
      <c r="C451" s="73"/>
    </row>
    <row r="452">
      <c r="A452" s="72"/>
      <c r="B452" s="72"/>
      <c r="C452" s="73"/>
    </row>
    <row r="453">
      <c r="A453" s="72"/>
      <c r="B453" s="72"/>
      <c r="C453" s="73"/>
    </row>
    <row r="454">
      <c r="A454" s="72"/>
      <c r="B454" s="72"/>
      <c r="C454" s="73"/>
    </row>
    <row r="455">
      <c r="A455" s="72"/>
      <c r="B455" s="72"/>
      <c r="C455" s="73"/>
    </row>
    <row r="456">
      <c r="A456" s="72"/>
      <c r="B456" s="72"/>
      <c r="C456" s="73"/>
    </row>
    <row r="457">
      <c r="A457" s="72"/>
      <c r="B457" s="72"/>
      <c r="C457" s="73"/>
    </row>
    <row r="458">
      <c r="A458" s="72"/>
      <c r="B458" s="72"/>
      <c r="C458" s="73"/>
    </row>
    <row r="459">
      <c r="A459" s="72"/>
      <c r="B459" s="72"/>
      <c r="C459" s="73"/>
    </row>
    <row r="460">
      <c r="A460" s="72"/>
      <c r="B460" s="72"/>
      <c r="C460" s="73"/>
    </row>
    <row r="461">
      <c r="A461" s="72"/>
      <c r="B461" s="72"/>
      <c r="C461" s="73"/>
    </row>
    <row r="462">
      <c r="A462" s="72"/>
      <c r="B462" s="72"/>
      <c r="C462" s="73"/>
    </row>
    <row r="463">
      <c r="A463" s="72"/>
      <c r="B463" s="72"/>
      <c r="C463" s="73"/>
    </row>
    <row r="464">
      <c r="A464" s="72"/>
      <c r="B464" s="72"/>
      <c r="C464" s="73"/>
    </row>
    <row r="465">
      <c r="A465" s="72"/>
      <c r="B465" s="72"/>
      <c r="C465" s="73"/>
    </row>
    <row r="466">
      <c r="A466" s="72"/>
      <c r="B466" s="72"/>
      <c r="C466" s="73"/>
    </row>
    <row r="467">
      <c r="A467" s="72"/>
      <c r="B467" s="72"/>
      <c r="C467" s="73"/>
    </row>
    <row r="468">
      <c r="A468" s="72"/>
      <c r="B468" s="72"/>
      <c r="C468" s="73"/>
    </row>
    <row r="469">
      <c r="A469" s="72"/>
      <c r="B469" s="72"/>
      <c r="C469" s="73"/>
    </row>
    <row r="470">
      <c r="A470" s="72"/>
      <c r="B470" s="72"/>
      <c r="C470" s="73"/>
    </row>
    <row r="471">
      <c r="A471" s="72"/>
      <c r="B471" s="72"/>
      <c r="C471" s="73"/>
    </row>
    <row r="472">
      <c r="A472" s="72"/>
      <c r="B472" s="72"/>
      <c r="C472" s="73"/>
    </row>
    <row r="473">
      <c r="A473" s="72"/>
      <c r="B473" s="72"/>
      <c r="C473" s="73"/>
    </row>
    <row r="474">
      <c r="A474" s="72"/>
      <c r="B474" s="72"/>
      <c r="C474" s="73"/>
    </row>
    <row r="475">
      <c r="A475" s="72"/>
      <c r="B475" s="72"/>
      <c r="C475" s="73"/>
    </row>
    <row r="476">
      <c r="A476" s="72"/>
      <c r="B476" s="72"/>
      <c r="C476" s="73"/>
    </row>
    <row r="477">
      <c r="A477" s="72"/>
      <c r="B477" s="72"/>
      <c r="C477" s="73"/>
    </row>
    <row r="478">
      <c r="A478" s="72"/>
      <c r="B478" s="72"/>
      <c r="C478" s="73"/>
    </row>
    <row r="479">
      <c r="A479" s="72"/>
      <c r="B479" s="72"/>
      <c r="C479" s="73"/>
    </row>
    <row r="480">
      <c r="A480" s="72"/>
      <c r="B480" s="72"/>
      <c r="C480" s="73"/>
    </row>
    <row r="481">
      <c r="A481" s="72"/>
      <c r="B481" s="72"/>
      <c r="C481" s="73"/>
    </row>
    <row r="482">
      <c r="A482" s="72"/>
      <c r="B482" s="72"/>
      <c r="C482" s="73"/>
    </row>
    <row r="483">
      <c r="A483" s="72"/>
      <c r="B483" s="72"/>
      <c r="C483" s="73"/>
    </row>
    <row r="484">
      <c r="A484" s="72"/>
      <c r="B484" s="72"/>
      <c r="C484" s="73"/>
    </row>
    <row r="485">
      <c r="A485" s="72"/>
      <c r="B485" s="72"/>
      <c r="C485" s="73"/>
    </row>
    <row r="486">
      <c r="A486" s="72"/>
      <c r="B486" s="72"/>
      <c r="C486" s="73"/>
    </row>
    <row r="487">
      <c r="A487" s="72"/>
      <c r="B487" s="72"/>
      <c r="C487" s="73"/>
    </row>
    <row r="488">
      <c r="A488" s="72"/>
      <c r="B488" s="72"/>
      <c r="C488" s="73"/>
    </row>
    <row r="489">
      <c r="A489" s="72"/>
      <c r="B489" s="72"/>
      <c r="C489" s="73"/>
    </row>
    <row r="490">
      <c r="A490" s="72"/>
      <c r="B490" s="72"/>
      <c r="C490" s="73"/>
    </row>
    <row r="491">
      <c r="A491" s="72"/>
      <c r="B491" s="72"/>
      <c r="C491" s="73"/>
    </row>
    <row r="492">
      <c r="A492" s="72"/>
      <c r="B492" s="72"/>
      <c r="C492" s="73"/>
    </row>
    <row r="493">
      <c r="A493" s="72"/>
      <c r="B493" s="72"/>
      <c r="C493" s="73"/>
    </row>
    <row r="494">
      <c r="A494" s="72"/>
      <c r="B494" s="72"/>
      <c r="C494" s="73"/>
    </row>
    <row r="495">
      <c r="A495" s="72"/>
      <c r="B495" s="72"/>
      <c r="C495" s="73"/>
    </row>
    <row r="496">
      <c r="A496" s="72"/>
      <c r="B496" s="72"/>
      <c r="C496" s="73"/>
    </row>
    <row r="497">
      <c r="A497" s="72"/>
      <c r="B497" s="72"/>
      <c r="C497" s="73"/>
    </row>
    <row r="498">
      <c r="A498" s="72"/>
      <c r="B498" s="72"/>
      <c r="C498" s="73"/>
    </row>
    <row r="499">
      <c r="A499" s="72"/>
      <c r="B499" s="72"/>
      <c r="C499" s="73"/>
    </row>
    <row r="500">
      <c r="A500" s="72"/>
      <c r="B500" s="72"/>
      <c r="C500" s="73"/>
    </row>
    <row r="501">
      <c r="A501" s="72"/>
      <c r="B501" s="72"/>
      <c r="C501" s="73"/>
    </row>
    <row r="502">
      <c r="A502" s="72"/>
      <c r="B502" s="72"/>
      <c r="C502" s="73"/>
    </row>
    <row r="503">
      <c r="A503" s="72"/>
      <c r="B503" s="72"/>
      <c r="C503" s="73"/>
    </row>
    <row r="504">
      <c r="A504" s="72"/>
      <c r="B504" s="72"/>
      <c r="C504" s="73"/>
    </row>
    <row r="505">
      <c r="A505" s="72"/>
      <c r="B505" s="72"/>
      <c r="C505" s="73"/>
    </row>
    <row r="506">
      <c r="A506" s="72"/>
      <c r="B506" s="72"/>
      <c r="C506" s="73"/>
    </row>
    <row r="507">
      <c r="A507" s="72"/>
      <c r="B507" s="72"/>
      <c r="C507" s="73"/>
    </row>
    <row r="508">
      <c r="A508" s="72"/>
      <c r="B508" s="72"/>
      <c r="C508" s="73"/>
    </row>
    <row r="509">
      <c r="A509" s="72"/>
      <c r="B509" s="72"/>
      <c r="C509" s="73"/>
    </row>
    <row r="510">
      <c r="A510" s="72"/>
      <c r="B510" s="72"/>
      <c r="C510" s="73"/>
    </row>
    <row r="511">
      <c r="A511" s="72"/>
      <c r="B511" s="72"/>
      <c r="C511" s="73"/>
    </row>
    <row r="512">
      <c r="A512" s="72"/>
      <c r="B512" s="72"/>
      <c r="C512" s="73"/>
    </row>
    <row r="513">
      <c r="A513" s="72"/>
      <c r="B513" s="72"/>
      <c r="C513" s="73"/>
    </row>
    <row r="514">
      <c r="A514" s="72"/>
      <c r="B514" s="72"/>
      <c r="C514" s="73"/>
    </row>
    <row r="515">
      <c r="A515" s="72"/>
      <c r="B515" s="72"/>
      <c r="C515" s="73"/>
    </row>
    <row r="516">
      <c r="A516" s="72"/>
      <c r="B516" s="72"/>
      <c r="C516" s="73"/>
    </row>
    <row r="517">
      <c r="A517" s="72"/>
      <c r="B517" s="72"/>
      <c r="C517" s="73"/>
    </row>
    <row r="518">
      <c r="A518" s="72"/>
      <c r="B518" s="72"/>
      <c r="C518" s="73"/>
    </row>
    <row r="519">
      <c r="A519" s="72"/>
      <c r="B519" s="72"/>
      <c r="C519" s="73"/>
    </row>
    <row r="520">
      <c r="A520" s="72"/>
      <c r="B520" s="72"/>
      <c r="C520" s="73"/>
    </row>
    <row r="521">
      <c r="A521" s="72"/>
      <c r="B521" s="72"/>
      <c r="C521" s="73"/>
    </row>
    <row r="522">
      <c r="A522" s="72"/>
      <c r="B522" s="72"/>
      <c r="C522" s="73"/>
    </row>
    <row r="523">
      <c r="A523" s="72"/>
      <c r="B523" s="72"/>
      <c r="C523" s="73"/>
    </row>
    <row r="524">
      <c r="A524" s="72"/>
      <c r="B524" s="72"/>
      <c r="C524" s="73"/>
    </row>
    <row r="525">
      <c r="A525" s="72"/>
      <c r="B525" s="72"/>
      <c r="C525" s="73"/>
    </row>
    <row r="526">
      <c r="A526" s="72"/>
      <c r="B526" s="72"/>
      <c r="C526" s="73"/>
    </row>
    <row r="527">
      <c r="A527" s="72"/>
      <c r="B527" s="72"/>
      <c r="C527" s="73"/>
    </row>
    <row r="528">
      <c r="A528" s="72"/>
      <c r="B528" s="72"/>
      <c r="C528" s="73"/>
    </row>
    <row r="529">
      <c r="A529" s="72"/>
      <c r="B529" s="72"/>
      <c r="C529" s="73"/>
    </row>
    <row r="530">
      <c r="A530" s="72"/>
      <c r="B530" s="72"/>
      <c r="C530" s="73"/>
    </row>
    <row r="531">
      <c r="A531" s="72"/>
      <c r="B531" s="72"/>
      <c r="C531" s="73"/>
    </row>
    <row r="532">
      <c r="A532" s="72"/>
      <c r="B532" s="72"/>
      <c r="C532" s="73"/>
    </row>
    <row r="533">
      <c r="A533" s="72"/>
      <c r="B533" s="72"/>
      <c r="C533" s="73"/>
    </row>
    <row r="534">
      <c r="A534" s="72"/>
      <c r="B534" s="72"/>
      <c r="C534" s="73"/>
    </row>
    <row r="535">
      <c r="A535" s="72"/>
      <c r="B535" s="72"/>
      <c r="C535" s="73"/>
    </row>
    <row r="536">
      <c r="A536" s="72"/>
      <c r="B536" s="72"/>
      <c r="C536" s="73"/>
    </row>
    <row r="537">
      <c r="A537" s="72"/>
      <c r="B537" s="72"/>
      <c r="C537" s="73"/>
    </row>
    <row r="538">
      <c r="A538" s="72"/>
      <c r="B538" s="72"/>
      <c r="C538" s="73"/>
    </row>
    <row r="539">
      <c r="A539" s="72"/>
      <c r="B539" s="72"/>
      <c r="C539" s="73"/>
    </row>
    <row r="540">
      <c r="A540" s="72"/>
      <c r="B540" s="72"/>
      <c r="C540" s="73"/>
    </row>
    <row r="541">
      <c r="A541" s="72"/>
      <c r="B541" s="72"/>
      <c r="C541" s="73"/>
    </row>
    <row r="542">
      <c r="A542" s="72"/>
      <c r="B542" s="72"/>
      <c r="C542" s="73"/>
    </row>
    <row r="543">
      <c r="A543" s="72"/>
      <c r="B543" s="72"/>
      <c r="C543" s="73"/>
    </row>
    <row r="544">
      <c r="A544" s="72"/>
      <c r="B544" s="72"/>
      <c r="C544" s="73"/>
    </row>
    <row r="545">
      <c r="A545" s="72"/>
      <c r="B545" s="72"/>
      <c r="C545" s="73"/>
    </row>
    <row r="546">
      <c r="A546" s="72"/>
      <c r="B546" s="72"/>
      <c r="C546" s="73"/>
    </row>
    <row r="547">
      <c r="A547" s="72"/>
      <c r="B547" s="72"/>
      <c r="C547" s="73"/>
    </row>
    <row r="548">
      <c r="A548" s="72"/>
      <c r="B548" s="72"/>
      <c r="C548" s="73"/>
    </row>
    <row r="549">
      <c r="A549" s="72"/>
      <c r="B549" s="72"/>
      <c r="C549" s="73"/>
    </row>
    <row r="550">
      <c r="A550" s="72"/>
      <c r="B550" s="72"/>
      <c r="C550" s="73"/>
    </row>
    <row r="551">
      <c r="A551" s="72"/>
      <c r="B551" s="72"/>
      <c r="C551" s="73"/>
    </row>
    <row r="552">
      <c r="A552" s="72"/>
      <c r="B552" s="72"/>
      <c r="C552" s="73"/>
    </row>
    <row r="553">
      <c r="A553" s="72"/>
      <c r="B553" s="72"/>
      <c r="C553" s="73"/>
    </row>
    <row r="554">
      <c r="A554" s="72"/>
      <c r="B554" s="72"/>
      <c r="C554" s="73"/>
    </row>
    <row r="555">
      <c r="A555" s="72"/>
      <c r="B555" s="72"/>
      <c r="C555" s="73"/>
    </row>
    <row r="556">
      <c r="A556" s="72"/>
      <c r="B556" s="72"/>
      <c r="C556" s="73"/>
    </row>
    <row r="557">
      <c r="A557" s="72"/>
      <c r="B557" s="72"/>
      <c r="C557" s="73"/>
    </row>
    <row r="558">
      <c r="A558" s="72"/>
      <c r="B558" s="72"/>
      <c r="C558" s="73"/>
    </row>
    <row r="559">
      <c r="A559" s="72"/>
      <c r="B559" s="72"/>
      <c r="C559" s="73"/>
    </row>
    <row r="560">
      <c r="A560" s="72"/>
      <c r="B560" s="72"/>
      <c r="C560" s="73"/>
    </row>
    <row r="561">
      <c r="A561" s="72"/>
      <c r="B561" s="72"/>
      <c r="C561" s="73"/>
    </row>
    <row r="562">
      <c r="A562" s="72"/>
      <c r="B562" s="72"/>
      <c r="C562" s="73"/>
    </row>
    <row r="563">
      <c r="A563" s="72"/>
      <c r="B563" s="72"/>
      <c r="C563" s="73"/>
    </row>
    <row r="564">
      <c r="A564" s="72"/>
      <c r="B564" s="72"/>
      <c r="C564" s="73"/>
    </row>
    <row r="565">
      <c r="A565" s="72"/>
      <c r="B565" s="72"/>
      <c r="C565" s="73"/>
    </row>
    <row r="566">
      <c r="A566" s="72"/>
      <c r="B566" s="72"/>
      <c r="C566" s="73"/>
    </row>
    <row r="567">
      <c r="A567" s="72"/>
      <c r="B567" s="72"/>
      <c r="C567" s="73"/>
    </row>
    <row r="568">
      <c r="A568" s="72"/>
      <c r="B568" s="72"/>
      <c r="C568" s="73"/>
    </row>
    <row r="569">
      <c r="A569" s="72"/>
      <c r="B569" s="72"/>
      <c r="C569" s="73"/>
    </row>
    <row r="570">
      <c r="A570" s="72"/>
      <c r="B570" s="72"/>
      <c r="C570" s="73"/>
    </row>
    <row r="571">
      <c r="A571" s="72"/>
      <c r="B571" s="72"/>
      <c r="C571" s="73"/>
    </row>
    <row r="572">
      <c r="A572" s="72"/>
      <c r="B572" s="72"/>
      <c r="C572" s="73"/>
    </row>
    <row r="573">
      <c r="A573" s="72"/>
      <c r="B573" s="72"/>
      <c r="C573" s="73"/>
    </row>
    <row r="574">
      <c r="A574" s="72"/>
      <c r="B574" s="72"/>
      <c r="C574" s="73"/>
    </row>
    <row r="575">
      <c r="A575" s="72"/>
      <c r="B575" s="72"/>
      <c r="C575" s="73"/>
    </row>
    <row r="576">
      <c r="A576" s="72"/>
      <c r="B576" s="72"/>
      <c r="C576" s="73"/>
    </row>
    <row r="577">
      <c r="A577" s="72"/>
      <c r="B577" s="72"/>
      <c r="C577" s="73"/>
    </row>
    <row r="578">
      <c r="A578" s="72"/>
      <c r="B578" s="72"/>
      <c r="C578" s="73"/>
    </row>
    <row r="579">
      <c r="A579" s="72"/>
      <c r="B579" s="72"/>
      <c r="C579" s="73"/>
    </row>
    <row r="580">
      <c r="A580" s="72"/>
      <c r="B580" s="72"/>
      <c r="C580" s="73"/>
    </row>
    <row r="581">
      <c r="A581" s="72"/>
      <c r="B581" s="72"/>
      <c r="C581" s="73"/>
    </row>
    <row r="582">
      <c r="A582" s="72"/>
      <c r="B582" s="72"/>
      <c r="C582" s="73"/>
    </row>
    <row r="583">
      <c r="A583" s="72"/>
      <c r="B583" s="72"/>
      <c r="C583" s="73"/>
    </row>
    <row r="584">
      <c r="A584" s="72"/>
      <c r="B584" s="72"/>
      <c r="C584" s="73"/>
    </row>
    <row r="585">
      <c r="A585" s="72"/>
      <c r="B585" s="72"/>
      <c r="C585" s="73"/>
    </row>
    <row r="586">
      <c r="A586" s="72"/>
      <c r="B586" s="72"/>
      <c r="C586" s="73"/>
    </row>
    <row r="587">
      <c r="A587" s="72"/>
      <c r="B587" s="72"/>
      <c r="C587" s="73"/>
    </row>
    <row r="588">
      <c r="A588" s="72"/>
      <c r="B588" s="72"/>
      <c r="C588" s="73"/>
    </row>
    <row r="589">
      <c r="A589" s="72"/>
      <c r="B589" s="72"/>
      <c r="C589" s="73"/>
    </row>
    <row r="590">
      <c r="A590" s="72"/>
      <c r="B590" s="72"/>
      <c r="C590" s="73"/>
    </row>
    <row r="591">
      <c r="A591" s="72"/>
      <c r="B591" s="72"/>
      <c r="C591" s="73"/>
    </row>
    <row r="592">
      <c r="A592" s="72"/>
      <c r="B592" s="72"/>
      <c r="C592" s="73"/>
    </row>
    <row r="593">
      <c r="A593" s="72"/>
      <c r="B593" s="72"/>
      <c r="C593" s="73"/>
    </row>
    <row r="594">
      <c r="A594" s="72"/>
      <c r="B594" s="72"/>
      <c r="C594" s="73"/>
    </row>
    <row r="595">
      <c r="A595" s="72"/>
      <c r="B595" s="72"/>
      <c r="C595" s="73"/>
    </row>
    <row r="596">
      <c r="A596" s="72"/>
      <c r="B596" s="72"/>
      <c r="C596" s="73"/>
    </row>
    <row r="597">
      <c r="A597" s="72"/>
      <c r="B597" s="72"/>
      <c r="C597" s="73"/>
    </row>
    <row r="598">
      <c r="A598" s="72"/>
      <c r="B598" s="72"/>
      <c r="C598" s="73"/>
    </row>
    <row r="599">
      <c r="A599" s="72"/>
      <c r="B599" s="72"/>
      <c r="C599" s="73"/>
    </row>
    <row r="600">
      <c r="A600" s="72"/>
      <c r="B600" s="72"/>
      <c r="C600" s="73"/>
    </row>
    <row r="601">
      <c r="A601" s="72"/>
      <c r="B601" s="72"/>
      <c r="C601" s="73"/>
    </row>
    <row r="602">
      <c r="A602" s="72"/>
      <c r="B602" s="72"/>
      <c r="C602" s="73"/>
    </row>
    <row r="603">
      <c r="A603" s="72"/>
      <c r="B603" s="72"/>
      <c r="C603" s="73"/>
    </row>
    <row r="604">
      <c r="A604" s="72"/>
      <c r="B604" s="72"/>
      <c r="C604" s="73"/>
    </row>
    <row r="605">
      <c r="A605" s="72"/>
      <c r="B605" s="72"/>
      <c r="C605" s="73"/>
    </row>
    <row r="606">
      <c r="A606" s="72"/>
      <c r="B606" s="72"/>
      <c r="C606" s="73"/>
    </row>
    <row r="607">
      <c r="A607" s="72"/>
      <c r="B607" s="72"/>
      <c r="C607" s="73"/>
    </row>
    <row r="608">
      <c r="A608" s="72"/>
      <c r="B608" s="72"/>
      <c r="C608" s="73"/>
    </row>
    <row r="609">
      <c r="A609" s="72"/>
      <c r="B609" s="72"/>
      <c r="C609" s="73"/>
    </row>
    <row r="610">
      <c r="A610" s="72"/>
      <c r="B610" s="72"/>
      <c r="C610" s="73"/>
    </row>
    <row r="611">
      <c r="A611" s="72"/>
      <c r="B611" s="72"/>
      <c r="C611" s="73"/>
    </row>
    <row r="612">
      <c r="A612" s="72"/>
      <c r="B612" s="72"/>
      <c r="C612" s="73"/>
    </row>
    <row r="613">
      <c r="A613" s="72"/>
      <c r="B613" s="72"/>
      <c r="C613" s="73"/>
    </row>
    <row r="614">
      <c r="A614" s="72"/>
      <c r="B614" s="72"/>
      <c r="C614" s="73"/>
    </row>
    <row r="615">
      <c r="A615" s="72"/>
      <c r="B615" s="72"/>
      <c r="C615" s="73"/>
    </row>
    <row r="616">
      <c r="A616" s="72"/>
      <c r="B616" s="72"/>
      <c r="C616" s="73"/>
    </row>
    <row r="617">
      <c r="A617" s="72"/>
      <c r="B617" s="72"/>
      <c r="C617" s="73"/>
    </row>
    <row r="618">
      <c r="A618" s="72"/>
      <c r="B618" s="72"/>
      <c r="C618" s="73"/>
    </row>
    <row r="619">
      <c r="A619" s="72"/>
      <c r="B619" s="72"/>
      <c r="C619" s="73"/>
    </row>
    <row r="620">
      <c r="A620" s="72"/>
      <c r="B620" s="72"/>
      <c r="C620" s="73"/>
    </row>
    <row r="621">
      <c r="A621" s="72"/>
      <c r="B621" s="72"/>
      <c r="C621" s="73"/>
    </row>
    <row r="622">
      <c r="A622" s="72"/>
      <c r="B622" s="72"/>
      <c r="C622" s="73"/>
    </row>
    <row r="623">
      <c r="A623" s="72"/>
      <c r="B623" s="72"/>
      <c r="C623" s="73"/>
    </row>
    <row r="624">
      <c r="A624" s="72"/>
      <c r="B624" s="72"/>
      <c r="C624" s="73"/>
    </row>
    <row r="625">
      <c r="A625" s="72"/>
      <c r="B625" s="72"/>
      <c r="C625" s="73"/>
    </row>
    <row r="626">
      <c r="A626" s="72"/>
      <c r="B626" s="72"/>
      <c r="C626" s="73"/>
    </row>
    <row r="627">
      <c r="A627" s="72"/>
      <c r="B627" s="72"/>
      <c r="C627" s="73"/>
    </row>
    <row r="628">
      <c r="A628" s="72"/>
      <c r="B628" s="72"/>
      <c r="C628" s="73"/>
    </row>
    <row r="629">
      <c r="A629" s="72"/>
      <c r="B629" s="72"/>
      <c r="C629" s="73"/>
    </row>
    <row r="630">
      <c r="A630" s="72"/>
      <c r="B630" s="72"/>
      <c r="C630" s="73"/>
    </row>
    <row r="631">
      <c r="A631" s="72"/>
      <c r="B631" s="72"/>
      <c r="C631" s="73"/>
    </row>
    <row r="632">
      <c r="A632" s="72"/>
      <c r="B632" s="72"/>
      <c r="C632" s="73"/>
    </row>
    <row r="633">
      <c r="A633" s="72"/>
      <c r="B633" s="72"/>
      <c r="C633" s="73"/>
    </row>
    <row r="634">
      <c r="A634" s="72"/>
      <c r="B634" s="72"/>
      <c r="C634" s="73"/>
    </row>
    <row r="635">
      <c r="A635" s="72"/>
      <c r="B635" s="72"/>
      <c r="C635" s="73"/>
    </row>
    <row r="636">
      <c r="A636" s="72"/>
      <c r="B636" s="72"/>
      <c r="C636" s="73"/>
    </row>
    <row r="637">
      <c r="A637" s="72"/>
      <c r="B637" s="72"/>
      <c r="C637" s="73"/>
    </row>
    <row r="638">
      <c r="A638" s="72"/>
      <c r="B638" s="72"/>
      <c r="C638" s="73"/>
    </row>
    <row r="639">
      <c r="A639" s="72"/>
      <c r="B639" s="72"/>
      <c r="C639" s="73"/>
    </row>
    <row r="640">
      <c r="A640" s="72"/>
      <c r="B640" s="72"/>
      <c r="C640" s="73"/>
    </row>
    <row r="641">
      <c r="A641" s="72"/>
      <c r="B641" s="72"/>
      <c r="C641" s="73"/>
    </row>
    <row r="642">
      <c r="A642" s="72"/>
      <c r="B642" s="72"/>
      <c r="C642" s="73"/>
    </row>
    <row r="643">
      <c r="A643" s="72"/>
      <c r="B643" s="72"/>
      <c r="C643" s="73"/>
    </row>
    <row r="644">
      <c r="A644" s="72"/>
      <c r="B644" s="72"/>
      <c r="C644" s="73"/>
    </row>
    <row r="645">
      <c r="A645" s="72"/>
      <c r="B645" s="72"/>
      <c r="C645" s="73"/>
    </row>
    <row r="646">
      <c r="A646" s="72"/>
      <c r="B646" s="72"/>
      <c r="C646" s="73"/>
    </row>
    <row r="647">
      <c r="A647" s="72"/>
      <c r="B647" s="72"/>
      <c r="C647" s="73"/>
    </row>
    <row r="648">
      <c r="A648" s="72"/>
      <c r="B648" s="72"/>
      <c r="C648" s="73"/>
    </row>
    <row r="649">
      <c r="A649" s="72"/>
      <c r="B649" s="72"/>
      <c r="C649" s="73"/>
    </row>
    <row r="650">
      <c r="A650" s="72"/>
      <c r="B650" s="72"/>
      <c r="C650" s="73"/>
    </row>
    <row r="651">
      <c r="A651" s="72"/>
      <c r="B651" s="72"/>
      <c r="C651" s="73"/>
    </row>
    <row r="652">
      <c r="A652" s="72"/>
      <c r="B652" s="72"/>
      <c r="C652" s="73"/>
    </row>
    <row r="653">
      <c r="A653" s="72"/>
      <c r="B653" s="72"/>
      <c r="C653" s="73"/>
    </row>
    <row r="654">
      <c r="A654" s="72"/>
      <c r="B654" s="72"/>
      <c r="C654" s="73"/>
    </row>
    <row r="655">
      <c r="A655" s="72"/>
      <c r="B655" s="72"/>
      <c r="C655" s="73"/>
    </row>
    <row r="656">
      <c r="A656" s="72"/>
      <c r="B656" s="72"/>
      <c r="C656" s="73"/>
    </row>
    <row r="657">
      <c r="A657" s="72"/>
      <c r="B657" s="72"/>
      <c r="C657" s="73"/>
    </row>
    <row r="658">
      <c r="A658" s="72"/>
      <c r="B658" s="72"/>
      <c r="C658" s="73"/>
    </row>
    <row r="659">
      <c r="A659" s="72"/>
      <c r="B659" s="72"/>
      <c r="C659" s="73"/>
    </row>
    <row r="660">
      <c r="A660" s="72"/>
      <c r="B660" s="72"/>
      <c r="C660" s="73"/>
    </row>
    <row r="661">
      <c r="A661" s="72"/>
      <c r="B661" s="72"/>
      <c r="C661" s="73"/>
    </row>
    <row r="662">
      <c r="A662" s="72"/>
      <c r="B662" s="72"/>
      <c r="C662" s="73"/>
    </row>
    <row r="663">
      <c r="A663" s="72"/>
      <c r="B663" s="72"/>
      <c r="C663" s="73"/>
    </row>
    <row r="664">
      <c r="A664" s="72"/>
      <c r="B664" s="72"/>
      <c r="C664" s="73"/>
    </row>
    <row r="665">
      <c r="A665" s="72"/>
      <c r="B665" s="72"/>
      <c r="C665" s="73"/>
    </row>
    <row r="666">
      <c r="A666" s="72"/>
      <c r="B666" s="72"/>
      <c r="C666" s="73"/>
    </row>
    <row r="667">
      <c r="A667" s="72"/>
      <c r="B667" s="72"/>
      <c r="C667" s="73"/>
    </row>
    <row r="668">
      <c r="A668" s="72"/>
      <c r="B668" s="72"/>
      <c r="C668" s="73"/>
    </row>
    <row r="669">
      <c r="A669" s="72"/>
      <c r="B669" s="72"/>
      <c r="C669" s="73"/>
    </row>
    <row r="670">
      <c r="A670" s="72"/>
      <c r="B670" s="72"/>
      <c r="C670" s="73"/>
    </row>
    <row r="671">
      <c r="A671" s="72"/>
      <c r="B671" s="72"/>
      <c r="C671" s="73"/>
    </row>
    <row r="672">
      <c r="A672" s="72"/>
      <c r="B672" s="72"/>
      <c r="C672" s="73"/>
    </row>
    <row r="673">
      <c r="A673" s="72"/>
      <c r="B673" s="72"/>
      <c r="C673" s="73"/>
    </row>
    <row r="674">
      <c r="A674" s="72"/>
      <c r="B674" s="72"/>
      <c r="C674" s="73"/>
    </row>
    <row r="675">
      <c r="A675" s="72"/>
      <c r="B675" s="72"/>
      <c r="C675" s="73"/>
    </row>
    <row r="676">
      <c r="A676" s="72"/>
      <c r="B676" s="72"/>
      <c r="C676" s="73"/>
    </row>
    <row r="677">
      <c r="A677" s="72"/>
      <c r="B677" s="72"/>
      <c r="C677" s="73"/>
    </row>
    <row r="678">
      <c r="A678" s="72"/>
      <c r="B678" s="72"/>
      <c r="C678" s="73"/>
    </row>
    <row r="679">
      <c r="A679" s="72"/>
      <c r="B679" s="72"/>
      <c r="C679" s="73"/>
    </row>
    <row r="680">
      <c r="A680" s="72"/>
      <c r="B680" s="72"/>
      <c r="C680" s="73"/>
    </row>
    <row r="681">
      <c r="A681" s="72"/>
      <c r="B681" s="72"/>
      <c r="C681" s="73"/>
    </row>
    <row r="682">
      <c r="A682" s="72"/>
      <c r="B682" s="72"/>
      <c r="C682" s="73"/>
    </row>
    <row r="683">
      <c r="A683" s="72"/>
      <c r="B683" s="72"/>
      <c r="C683" s="73"/>
    </row>
    <row r="684">
      <c r="A684" s="72"/>
      <c r="B684" s="72"/>
      <c r="C684" s="73"/>
    </row>
    <row r="685">
      <c r="A685" s="72"/>
      <c r="B685" s="72"/>
      <c r="C685" s="73"/>
    </row>
    <row r="686">
      <c r="A686" s="72"/>
      <c r="B686" s="72"/>
      <c r="C686" s="73"/>
    </row>
    <row r="687">
      <c r="A687" s="72"/>
      <c r="B687" s="72"/>
      <c r="C687" s="73"/>
    </row>
    <row r="688">
      <c r="A688" s="72"/>
      <c r="B688" s="72"/>
      <c r="C688" s="73"/>
    </row>
    <row r="689">
      <c r="A689" s="72"/>
      <c r="B689" s="72"/>
      <c r="C689" s="73"/>
    </row>
    <row r="690">
      <c r="A690" s="72"/>
      <c r="B690" s="72"/>
      <c r="C690" s="73"/>
    </row>
    <row r="691">
      <c r="A691" s="72"/>
      <c r="B691" s="72"/>
      <c r="C691" s="73"/>
    </row>
    <row r="692">
      <c r="A692" s="72"/>
      <c r="B692" s="72"/>
      <c r="C692" s="73"/>
    </row>
    <row r="693">
      <c r="A693" s="72"/>
      <c r="B693" s="72"/>
      <c r="C693" s="73"/>
    </row>
    <row r="694">
      <c r="A694" s="72"/>
      <c r="B694" s="72"/>
      <c r="C694" s="73"/>
    </row>
    <row r="695">
      <c r="A695" s="72"/>
      <c r="B695" s="72"/>
      <c r="C695" s="73"/>
    </row>
    <row r="696">
      <c r="A696" s="72"/>
      <c r="B696" s="72"/>
      <c r="C696" s="73"/>
    </row>
    <row r="697">
      <c r="A697" s="72"/>
      <c r="B697" s="72"/>
      <c r="C697" s="73"/>
    </row>
    <row r="698">
      <c r="A698" s="72"/>
      <c r="B698" s="72"/>
      <c r="C698" s="73"/>
    </row>
    <row r="699">
      <c r="A699" s="72"/>
      <c r="B699" s="72"/>
      <c r="C699" s="73"/>
    </row>
    <row r="700">
      <c r="A700" s="72"/>
      <c r="B700" s="72"/>
      <c r="C700" s="73"/>
    </row>
    <row r="701">
      <c r="A701" s="72"/>
      <c r="B701" s="72"/>
      <c r="C701" s="73"/>
    </row>
    <row r="702">
      <c r="A702" s="72"/>
      <c r="B702" s="72"/>
      <c r="C702" s="73"/>
    </row>
    <row r="703">
      <c r="A703" s="72"/>
      <c r="B703" s="72"/>
      <c r="C703" s="73"/>
    </row>
    <row r="704">
      <c r="A704" s="72"/>
      <c r="B704" s="72"/>
      <c r="C704" s="73"/>
    </row>
    <row r="705">
      <c r="A705" s="72"/>
      <c r="B705" s="72"/>
      <c r="C705" s="73"/>
    </row>
    <row r="706">
      <c r="A706" s="72"/>
      <c r="B706" s="72"/>
      <c r="C706" s="73"/>
    </row>
    <row r="707">
      <c r="A707" s="72"/>
      <c r="B707" s="72"/>
      <c r="C707" s="73"/>
    </row>
    <row r="708">
      <c r="A708" s="72"/>
      <c r="B708" s="72"/>
      <c r="C708" s="73"/>
    </row>
    <row r="709">
      <c r="A709" s="72"/>
      <c r="B709" s="72"/>
      <c r="C709" s="73"/>
    </row>
    <row r="710">
      <c r="A710" s="72"/>
      <c r="B710" s="72"/>
      <c r="C710" s="73"/>
    </row>
    <row r="711">
      <c r="A711" s="72"/>
      <c r="B711" s="72"/>
      <c r="C711" s="73"/>
    </row>
    <row r="712">
      <c r="A712" s="72"/>
      <c r="B712" s="72"/>
      <c r="C712" s="73"/>
    </row>
    <row r="713">
      <c r="A713" s="72"/>
      <c r="B713" s="72"/>
      <c r="C713" s="73"/>
    </row>
    <row r="714">
      <c r="A714" s="72"/>
      <c r="B714" s="72"/>
      <c r="C714" s="73"/>
    </row>
    <row r="715">
      <c r="A715" s="72"/>
      <c r="B715" s="72"/>
      <c r="C715" s="73"/>
    </row>
    <row r="716">
      <c r="A716" s="72"/>
      <c r="B716" s="72"/>
      <c r="C716" s="73"/>
    </row>
    <row r="717">
      <c r="A717" s="72"/>
      <c r="B717" s="72"/>
      <c r="C717" s="73"/>
    </row>
    <row r="718">
      <c r="A718" s="72"/>
      <c r="B718" s="72"/>
      <c r="C718" s="73"/>
    </row>
    <row r="719">
      <c r="A719" s="72"/>
      <c r="B719" s="72"/>
      <c r="C719" s="73"/>
    </row>
    <row r="720">
      <c r="A720" s="72"/>
      <c r="B720" s="72"/>
      <c r="C720" s="73"/>
    </row>
    <row r="721">
      <c r="A721" s="72"/>
      <c r="B721" s="72"/>
      <c r="C721" s="73"/>
    </row>
    <row r="722">
      <c r="A722" s="72"/>
      <c r="B722" s="72"/>
      <c r="C722" s="73"/>
    </row>
    <row r="723">
      <c r="A723" s="72"/>
      <c r="B723" s="72"/>
      <c r="C723" s="73"/>
    </row>
    <row r="724">
      <c r="A724" s="72"/>
      <c r="B724" s="72"/>
      <c r="C724" s="73"/>
    </row>
    <row r="725">
      <c r="A725" s="72"/>
      <c r="B725" s="72"/>
      <c r="C725" s="73"/>
    </row>
    <row r="726">
      <c r="A726" s="72"/>
      <c r="B726" s="72"/>
      <c r="C726" s="73"/>
    </row>
    <row r="727">
      <c r="A727" s="72"/>
      <c r="B727" s="72"/>
      <c r="C727" s="73"/>
    </row>
    <row r="728">
      <c r="A728" s="72"/>
      <c r="B728" s="72"/>
      <c r="C728" s="73"/>
    </row>
    <row r="729">
      <c r="A729" s="72"/>
      <c r="B729" s="72"/>
      <c r="C729" s="73"/>
    </row>
    <row r="730">
      <c r="A730" s="72"/>
      <c r="B730" s="72"/>
      <c r="C730" s="73"/>
    </row>
    <row r="731">
      <c r="A731" s="72"/>
      <c r="B731" s="72"/>
      <c r="C731" s="73"/>
    </row>
    <row r="732">
      <c r="A732" s="72"/>
      <c r="B732" s="72"/>
      <c r="C732" s="73"/>
    </row>
    <row r="733">
      <c r="A733" s="72"/>
      <c r="B733" s="72"/>
      <c r="C733" s="73"/>
    </row>
    <row r="734">
      <c r="A734" s="72"/>
      <c r="B734" s="72"/>
      <c r="C734" s="73"/>
    </row>
    <row r="735">
      <c r="A735" s="72"/>
      <c r="B735" s="72"/>
      <c r="C735" s="73"/>
    </row>
    <row r="736">
      <c r="A736" s="72"/>
      <c r="B736" s="72"/>
      <c r="C736" s="73"/>
    </row>
    <row r="737">
      <c r="A737" s="72"/>
      <c r="B737" s="72"/>
      <c r="C737" s="73"/>
    </row>
    <row r="738">
      <c r="A738" s="72"/>
      <c r="B738" s="72"/>
      <c r="C738" s="73"/>
    </row>
    <row r="739">
      <c r="A739" s="72"/>
      <c r="B739" s="72"/>
      <c r="C739" s="73"/>
    </row>
    <row r="740">
      <c r="A740" s="72"/>
      <c r="B740" s="72"/>
      <c r="C740" s="73"/>
    </row>
    <row r="741">
      <c r="A741" s="72"/>
      <c r="B741" s="72"/>
      <c r="C741" s="73"/>
    </row>
    <row r="742">
      <c r="A742" s="72"/>
      <c r="B742" s="72"/>
      <c r="C742" s="73"/>
    </row>
    <row r="743">
      <c r="A743" s="72"/>
      <c r="B743" s="72"/>
      <c r="C743" s="73"/>
    </row>
    <row r="744">
      <c r="A744" s="72"/>
      <c r="B744" s="72"/>
      <c r="C744" s="73"/>
    </row>
    <row r="745">
      <c r="A745" s="72"/>
      <c r="B745" s="72"/>
      <c r="C745" s="73"/>
    </row>
    <row r="746">
      <c r="A746" s="72"/>
      <c r="B746" s="72"/>
      <c r="C746" s="73"/>
    </row>
    <row r="747">
      <c r="A747" s="72"/>
      <c r="B747" s="72"/>
      <c r="C747" s="73"/>
    </row>
    <row r="748">
      <c r="A748" s="72"/>
      <c r="B748" s="72"/>
      <c r="C748" s="73"/>
    </row>
    <row r="749">
      <c r="A749" s="72"/>
      <c r="B749" s="72"/>
      <c r="C749" s="73"/>
    </row>
    <row r="750">
      <c r="A750" s="72"/>
      <c r="B750" s="72"/>
      <c r="C750" s="73"/>
    </row>
    <row r="751">
      <c r="A751" s="72"/>
      <c r="B751" s="72"/>
      <c r="C751" s="73"/>
    </row>
    <row r="752">
      <c r="A752" s="72"/>
      <c r="B752" s="72"/>
      <c r="C752" s="73"/>
    </row>
    <row r="753">
      <c r="A753" s="72"/>
      <c r="B753" s="72"/>
      <c r="C753" s="73"/>
    </row>
    <row r="754">
      <c r="A754" s="72"/>
      <c r="B754" s="72"/>
      <c r="C754" s="73"/>
    </row>
    <row r="755">
      <c r="A755" s="72"/>
      <c r="B755" s="72"/>
      <c r="C755" s="73"/>
    </row>
    <row r="756">
      <c r="A756" s="72"/>
      <c r="B756" s="72"/>
      <c r="C756" s="73"/>
    </row>
    <row r="757">
      <c r="A757" s="72"/>
      <c r="B757" s="72"/>
      <c r="C757" s="73"/>
    </row>
    <row r="758">
      <c r="A758" s="72"/>
      <c r="B758" s="72"/>
      <c r="C758" s="73"/>
    </row>
    <row r="759">
      <c r="A759" s="72"/>
      <c r="B759" s="72"/>
      <c r="C759" s="73"/>
    </row>
    <row r="760">
      <c r="A760" s="72"/>
      <c r="B760" s="72"/>
      <c r="C760" s="73"/>
    </row>
    <row r="761">
      <c r="A761" s="72"/>
      <c r="B761" s="72"/>
      <c r="C761" s="73"/>
    </row>
    <row r="762">
      <c r="A762" s="72"/>
      <c r="B762" s="72"/>
      <c r="C762" s="73"/>
    </row>
    <row r="763">
      <c r="A763" s="72"/>
      <c r="B763" s="72"/>
      <c r="C763" s="73"/>
    </row>
    <row r="764">
      <c r="A764" s="72"/>
      <c r="B764" s="72"/>
      <c r="C764" s="73"/>
    </row>
    <row r="765">
      <c r="A765" s="72"/>
      <c r="B765" s="72"/>
      <c r="C765" s="73"/>
    </row>
    <row r="766">
      <c r="A766" s="72"/>
      <c r="B766" s="72"/>
      <c r="C766" s="73"/>
    </row>
    <row r="767">
      <c r="A767" s="72"/>
      <c r="B767" s="72"/>
      <c r="C767" s="73"/>
    </row>
    <row r="768">
      <c r="A768" s="72"/>
      <c r="B768" s="72"/>
      <c r="C768" s="73"/>
    </row>
    <row r="769">
      <c r="A769" s="72"/>
      <c r="B769" s="72"/>
      <c r="C769" s="73"/>
    </row>
    <row r="770">
      <c r="A770" s="72"/>
      <c r="B770" s="72"/>
      <c r="C770" s="73"/>
    </row>
    <row r="771">
      <c r="A771" s="72"/>
      <c r="B771" s="72"/>
      <c r="C771" s="73"/>
    </row>
    <row r="772">
      <c r="A772" s="72"/>
      <c r="B772" s="72"/>
      <c r="C772" s="73"/>
    </row>
    <row r="773">
      <c r="A773" s="72"/>
      <c r="B773" s="72"/>
      <c r="C773" s="73"/>
    </row>
    <row r="774">
      <c r="A774" s="72"/>
      <c r="B774" s="72"/>
      <c r="C774" s="73"/>
    </row>
    <row r="775">
      <c r="A775" s="72"/>
      <c r="B775" s="72"/>
      <c r="C775" s="73"/>
    </row>
    <row r="776">
      <c r="A776" s="72"/>
      <c r="B776" s="72"/>
      <c r="C776" s="73"/>
    </row>
    <row r="777">
      <c r="A777" s="72"/>
      <c r="B777" s="72"/>
      <c r="C777" s="73"/>
    </row>
    <row r="778">
      <c r="A778" s="72"/>
      <c r="B778" s="72"/>
      <c r="C778" s="73"/>
    </row>
    <row r="779">
      <c r="A779" s="72"/>
      <c r="B779" s="72"/>
      <c r="C779" s="73"/>
    </row>
    <row r="780">
      <c r="A780" s="72"/>
      <c r="B780" s="72"/>
      <c r="C780" s="73"/>
    </row>
    <row r="781">
      <c r="A781" s="72"/>
      <c r="B781" s="72"/>
      <c r="C781" s="73"/>
    </row>
    <row r="782">
      <c r="A782" s="72"/>
      <c r="B782" s="72"/>
      <c r="C782" s="73"/>
    </row>
    <row r="783">
      <c r="A783" s="72"/>
      <c r="B783" s="72"/>
      <c r="C783" s="73"/>
    </row>
    <row r="784">
      <c r="A784" s="72"/>
      <c r="B784" s="72"/>
      <c r="C784" s="73"/>
    </row>
    <row r="785">
      <c r="A785" s="72"/>
      <c r="B785" s="72"/>
      <c r="C785" s="73"/>
    </row>
    <row r="786">
      <c r="A786" s="72"/>
      <c r="B786" s="72"/>
      <c r="C786" s="73"/>
    </row>
    <row r="787">
      <c r="A787" s="72"/>
      <c r="B787" s="72"/>
      <c r="C787" s="73"/>
    </row>
    <row r="788">
      <c r="A788" s="72"/>
      <c r="B788" s="72"/>
      <c r="C788" s="73"/>
    </row>
    <row r="789">
      <c r="A789" s="72"/>
      <c r="B789" s="72"/>
      <c r="C789" s="73"/>
    </row>
    <row r="790">
      <c r="A790" s="72"/>
      <c r="B790" s="72"/>
      <c r="C790" s="73"/>
    </row>
    <row r="791">
      <c r="A791" s="72"/>
      <c r="B791" s="72"/>
      <c r="C791" s="73"/>
    </row>
    <row r="792">
      <c r="A792" s="72"/>
      <c r="B792" s="72"/>
      <c r="C792" s="73"/>
    </row>
    <row r="793">
      <c r="A793" s="72"/>
      <c r="B793" s="72"/>
      <c r="C793" s="73"/>
    </row>
    <row r="794">
      <c r="A794" s="72"/>
      <c r="B794" s="72"/>
      <c r="C794" s="73"/>
    </row>
    <row r="795">
      <c r="A795" s="72"/>
      <c r="B795" s="72"/>
      <c r="C795" s="73"/>
    </row>
    <row r="796">
      <c r="A796" s="72"/>
      <c r="B796" s="72"/>
      <c r="C796" s="73"/>
    </row>
    <row r="797">
      <c r="A797" s="72"/>
      <c r="B797" s="72"/>
      <c r="C797" s="73"/>
    </row>
    <row r="798">
      <c r="A798" s="72"/>
      <c r="B798" s="72"/>
      <c r="C798" s="73"/>
    </row>
    <row r="799">
      <c r="A799" s="72"/>
      <c r="B799" s="72"/>
      <c r="C799" s="73"/>
    </row>
    <row r="800">
      <c r="A800" s="72"/>
      <c r="B800" s="72"/>
      <c r="C800" s="73"/>
    </row>
    <row r="801">
      <c r="A801" s="72"/>
      <c r="B801" s="72"/>
      <c r="C801" s="73"/>
    </row>
    <row r="802">
      <c r="A802" s="72"/>
      <c r="B802" s="72"/>
      <c r="C802" s="73"/>
    </row>
    <row r="803">
      <c r="A803" s="72"/>
      <c r="B803" s="72"/>
      <c r="C803" s="73"/>
    </row>
    <row r="804">
      <c r="A804" s="72"/>
      <c r="B804" s="72"/>
      <c r="C804" s="73"/>
    </row>
    <row r="805">
      <c r="A805" s="72"/>
      <c r="B805" s="72"/>
      <c r="C805" s="73"/>
    </row>
    <row r="806">
      <c r="A806" s="72"/>
      <c r="B806" s="72"/>
      <c r="C806" s="73"/>
    </row>
    <row r="807">
      <c r="A807" s="72"/>
      <c r="B807" s="72"/>
      <c r="C807" s="73"/>
    </row>
    <row r="808">
      <c r="A808" s="72"/>
      <c r="B808" s="72"/>
      <c r="C808" s="73"/>
    </row>
    <row r="809">
      <c r="A809" s="72"/>
      <c r="B809" s="72"/>
      <c r="C809" s="73"/>
    </row>
    <row r="810">
      <c r="A810" s="72"/>
      <c r="B810" s="72"/>
      <c r="C810" s="73"/>
    </row>
    <row r="811">
      <c r="A811" s="72"/>
      <c r="B811" s="72"/>
      <c r="C811" s="73"/>
    </row>
    <row r="812">
      <c r="A812" s="72"/>
      <c r="B812" s="72"/>
      <c r="C812" s="73"/>
    </row>
    <row r="813">
      <c r="A813" s="72"/>
      <c r="B813" s="72"/>
      <c r="C813" s="73"/>
    </row>
    <row r="814">
      <c r="A814" s="72"/>
      <c r="B814" s="72"/>
      <c r="C814" s="73"/>
    </row>
    <row r="815">
      <c r="A815" s="72"/>
      <c r="B815" s="72"/>
      <c r="C815" s="73"/>
    </row>
    <row r="816">
      <c r="A816" s="72"/>
      <c r="B816" s="72"/>
      <c r="C816" s="73"/>
    </row>
    <row r="817">
      <c r="A817" s="72"/>
      <c r="B817" s="72"/>
      <c r="C817" s="73"/>
    </row>
    <row r="818">
      <c r="A818" s="72"/>
      <c r="B818" s="72"/>
      <c r="C818" s="73"/>
    </row>
    <row r="819">
      <c r="A819" s="72"/>
      <c r="B819" s="72"/>
      <c r="C819" s="73"/>
    </row>
    <row r="820">
      <c r="A820" s="72"/>
      <c r="B820" s="72"/>
      <c r="C820" s="73"/>
    </row>
    <row r="821">
      <c r="A821" s="72"/>
      <c r="B821" s="72"/>
      <c r="C821" s="73"/>
    </row>
    <row r="822">
      <c r="A822" s="72"/>
      <c r="B822" s="72"/>
      <c r="C822" s="73"/>
    </row>
    <row r="823">
      <c r="A823" s="72"/>
      <c r="B823" s="72"/>
      <c r="C823" s="73"/>
    </row>
    <row r="824">
      <c r="A824" s="72"/>
      <c r="B824" s="72"/>
      <c r="C824" s="73"/>
    </row>
    <row r="825">
      <c r="A825" s="72"/>
      <c r="B825" s="72"/>
      <c r="C825" s="73"/>
    </row>
    <row r="826">
      <c r="A826" s="72"/>
      <c r="B826" s="72"/>
      <c r="C826" s="73"/>
    </row>
    <row r="827">
      <c r="A827" s="72"/>
      <c r="B827" s="72"/>
      <c r="C827" s="73"/>
    </row>
    <row r="828">
      <c r="A828" s="72"/>
      <c r="B828" s="72"/>
      <c r="C828" s="73"/>
    </row>
    <row r="829">
      <c r="A829" s="72"/>
      <c r="B829" s="72"/>
      <c r="C829" s="73"/>
    </row>
    <row r="830">
      <c r="A830" s="72"/>
      <c r="B830" s="72"/>
      <c r="C830" s="73"/>
    </row>
    <row r="831">
      <c r="A831" s="72"/>
      <c r="B831" s="72"/>
      <c r="C831" s="73"/>
    </row>
    <row r="832">
      <c r="A832" s="72"/>
      <c r="B832" s="72"/>
      <c r="C832" s="73"/>
    </row>
    <row r="833">
      <c r="A833" s="72"/>
      <c r="B833" s="72"/>
      <c r="C833" s="73"/>
    </row>
    <row r="834">
      <c r="A834" s="72"/>
      <c r="B834" s="72"/>
      <c r="C834" s="73"/>
    </row>
    <row r="835">
      <c r="A835" s="72"/>
      <c r="B835" s="72"/>
      <c r="C835" s="73"/>
    </row>
    <row r="836">
      <c r="A836" s="72"/>
      <c r="B836" s="72"/>
      <c r="C836" s="73"/>
    </row>
    <row r="837">
      <c r="A837" s="72"/>
      <c r="B837" s="72"/>
      <c r="C837" s="73"/>
    </row>
    <row r="838">
      <c r="A838" s="72"/>
      <c r="B838" s="72"/>
      <c r="C838" s="73"/>
    </row>
    <row r="839">
      <c r="A839" s="72"/>
      <c r="B839" s="72"/>
      <c r="C839" s="73"/>
    </row>
    <row r="840">
      <c r="A840" s="72"/>
      <c r="B840" s="72"/>
      <c r="C840" s="73"/>
    </row>
    <row r="841">
      <c r="A841" s="72"/>
      <c r="B841" s="72"/>
      <c r="C841" s="73"/>
    </row>
    <row r="842">
      <c r="A842" s="72"/>
      <c r="B842" s="72"/>
      <c r="C842" s="73"/>
    </row>
    <row r="843">
      <c r="A843" s="72"/>
      <c r="B843" s="72"/>
      <c r="C843" s="73"/>
    </row>
    <row r="844">
      <c r="A844" s="72"/>
      <c r="B844" s="72"/>
      <c r="C844" s="73"/>
    </row>
    <row r="845">
      <c r="A845" s="72"/>
      <c r="B845" s="72"/>
      <c r="C845" s="73"/>
    </row>
    <row r="846">
      <c r="A846" s="72"/>
      <c r="B846" s="72"/>
      <c r="C846" s="73"/>
    </row>
    <row r="847">
      <c r="A847" s="72"/>
      <c r="B847" s="72"/>
      <c r="C847" s="73"/>
    </row>
    <row r="848">
      <c r="A848" s="72"/>
      <c r="B848" s="72"/>
      <c r="C848" s="73"/>
    </row>
    <row r="849">
      <c r="A849" s="72"/>
      <c r="B849" s="72"/>
      <c r="C849" s="73"/>
    </row>
    <row r="850">
      <c r="A850" s="72"/>
      <c r="B850" s="72"/>
      <c r="C850" s="73"/>
    </row>
    <row r="851">
      <c r="A851" s="72"/>
      <c r="B851" s="72"/>
      <c r="C851" s="73"/>
    </row>
    <row r="852">
      <c r="A852" s="72"/>
      <c r="B852" s="72"/>
      <c r="C852" s="73"/>
    </row>
    <row r="853">
      <c r="A853" s="72"/>
      <c r="B853" s="72"/>
      <c r="C853" s="73"/>
    </row>
    <row r="854">
      <c r="A854" s="72"/>
      <c r="B854" s="72"/>
      <c r="C854" s="73"/>
    </row>
    <row r="855">
      <c r="A855" s="72"/>
      <c r="B855" s="72"/>
      <c r="C855" s="73"/>
    </row>
    <row r="856">
      <c r="A856" s="72"/>
      <c r="B856" s="72"/>
      <c r="C856" s="73"/>
    </row>
    <row r="857">
      <c r="A857" s="72"/>
      <c r="B857" s="72"/>
      <c r="C857" s="73"/>
    </row>
    <row r="858">
      <c r="A858" s="72"/>
      <c r="B858" s="72"/>
      <c r="C858" s="73"/>
    </row>
    <row r="859">
      <c r="A859" s="72"/>
      <c r="B859" s="72"/>
      <c r="C859" s="73"/>
    </row>
    <row r="860">
      <c r="A860" s="72"/>
      <c r="B860" s="72"/>
      <c r="C860" s="73"/>
    </row>
    <row r="861">
      <c r="A861" s="72"/>
      <c r="B861" s="72"/>
      <c r="C861" s="73"/>
    </row>
    <row r="862">
      <c r="A862" s="72"/>
      <c r="B862" s="72"/>
      <c r="C862" s="73"/>
    </row>
    <row r="863">
      <c r="A863" s="72"/>
      <c r="B863" s="72"/>
      <c r="C863" s="73"/>
    </row>
    <row r="864">
      <c r="A864" s="72"/>
      <c r="B864" s="72"/>
      <c r="C864" s="73"/>
    </row>
    <row r="865">
      <c r="A865" s="72"/>
      <c r="B865" s="72"/>
      <c r="C865" s="73"/>
    </row>
    <row r="866">
      <c r="A866" s="72"/>
      <c r="B866" s="72"/>
      <c r="C866" s="73"/>
    </row>
    <row r="867">
      <c r="A867" s="72"/>
      <c r="B867" s="72"/>
      <c r="C867" s="73"/>
    </row>
    <row r="868">
      <c r="A868" s="72"/>
      <c r="B868" s="72"/>
      <c r="C868" s="73"/>
    </row>
    <row r="869">
      <c r="A869" s="72"/>
      <c r="B869" s="72"/>
      <c r="C869" s="73"/>
    </row>
    <row r="870">
      <c r="A870" s="72"/>
      <c r="B870" s="72"/>
      <c r="C870" s="73"/>
    </row>
    <row r="871">
      <c r="A871" s="72"/>
      <c r="B871" s="72"/>
      <c r="C871" s="73"/>
    </row>
    <row r="872">
      <c r="A872" s="72"/>
      <c r="B872" s="72"/>
      <c r="C872" s="73"/>
    </row>
    <row r="873">
      <c r="A873" s="72"/>
      <c r="B873" s="72"/>
      <c r="C873" s="73"/>
    </row>
    <row r="874">
      <c r="A874" s="72"/>
      <c r="B874" s="72"/>
      <c r="C874" s="73"/>
    </row>
    <row r="875">
      <c r="A875" s="72"/>
      <c r="B875" s="72"/>
      <c r="C875" s="73"/>
    </row>
    <row r="876">
      <c r="A876" s="72"/>
      <c r="B876" s="72"/>
      <c r="C876" s="73"/>
    </row>
    <row r="877">
      <c r="A877" s="72"/>
      <c r="B877" s="72"/>
      <c r="C877" s="73"/>
    </row>
    <row r="878">
      <c r="A878" s="72"/>
      <c r="B878" s="72"/>
      <c r="C878" s="73"/>
    </row>
    <row r="879">
      <c r="A879" s="72"/>
      <c r="B879" s="72"/>
      <c r="C879" s="73"/>
    </row>
    <row r="880">
      <c r="A880" s="72"/>
      <c r="B880" s="72"/>
      <c r="C880" s="73"/>
    </row>
    <row r="881">
      <c r="A881" s="72"/>
      <c r="B881" s="72"/>
      <c r="C881" s="73"/>
    </row>
    <row r="882">
      <c r="A882" s="72"/>
      <c r="B882" s="72"/>
      <c r="C882" s="73"/>
    </row>
    <row r="883">
      <c r="A883" s="72"/>
      <c r="B883" s="72"/>
      <c r="C883" s="73"/>
    </row>
    <row r="884">
      <c r="A884" s="72"/>
      <c r="B884" s="72"/>
      <c r="C884" s="73"/>
    </row>
    <row r="885">
      <c r="A885" s="72"/>
      <c r="B885" s="72"/>
      <c r="C885" s="73"/>
    </row>
    <row r="886">
      <c r="A886" s="72"/>
      <c r="B886" s="72"/>
      <c r="C886" s="73"/>
    </row>
    <row r="887">
      <c r="A887" s="72"/>
      <c r="B887" s="72"/>
      <c r="C887" s="73"/>
    </row>
    <row r="888">
      <c r="A888" s="72"/>
      <c r="B888" s="72"/>
      <c r="C888" s="73"/>
    </row>
    <row r="889">
      <c r="A889" s="72"/>
      <c r="B889" s="72"/>
      <c r="C889" s="73"/>
    </row>
    <row r="890">
      <c r="A890" s="72"/>
      <c r="B890" s="72"/>
      <c r="C890" s="73"/>
    </row>
    <row r="891">
      <c r="A891" s="72"/>
      <c r="B891" s="72"/>
      <c r="C891" s="73"/>
    </row>
    <row r="892">
      <c r="A892" s="72"/>
      <c r="B892" s="72"/>
      <c r="C892" s="73"/>
    </row>
    <row r="893">
      <c r="A893" s="72"/>
      <c r="B893" s="72"/>
      <c r="C893" s="73"/>
    </row>
    <row r="894">
      <c r="A894" s="72"/>
      <c r="B894" s="72"/>
      <c r="C894" s="73"/>
    </row>
    <row r="895">
      <c r="A895" s="72"/>
      <c r="B895" s="72"/>
      <c r="C895" s="73"/>
    </row>
    <row r="896">
      <c r="A896" s="72"/>
      <c r="B896" s="72"/>
      <c r="C896" s="73"/>
    </row>
    <row r="897">
      <c r="A897" s="72"/>
      <c r="B897" s="72"/>
      <c r="C897" s="73"/>
    </row>
    <row r="898">
      <c r="A898" s="72"/>
      <c r="B898" s="72"/>
      <c r="C898" s="73"/>
    </row>
    <row r="899">
      <c r="A899" s="72"/>
      <c r="B899" s="72"/>
      <c r="C899" s="73"/>
    </row>
    <row r="900">
      <c r="A900" s="72"/>
      <c r="B900" s="72"/>
      <c r="C900" s="73"/>
    </row>
    <row r="901">
      <c r="A901" s="72"/>
      <c r="B901" s="72"/>
      <c r="C901" s="73"/>
    </row>
    <row r="902">
      <c r="A902" s="72"/>
      <c r="B902" s="72"/>
      <c r="C902" s="73"/>
    </row>
    <row r="903">
      <c r="A903" s="72"/>
      <c r="B903" s="72"/>
      <c r="C903" s="73"/>
    </row>
    <row r="904">
      <c r="A904" s="72"/>
      <c r="B904" s="72"/>
      <c r="C904" s="73"/>
    </row>
    <row r="905">
      <c r="A905" s="72"/>
      <c r="B905" s="72"/>
      <c r="C905" s="73"/>
    </row>
    <row r="906">
      <c r="A906" s="72"/>
      <c r="B906" s="72"/>
      <c r="C906" s="73"/>
    </row>
    <row r="907">
      <c r="A907" s="72"/>
      <c r="B907" s="72"/>
      <c r="C907" s="73"/>
    </row>
    <row r="908">
      <c r="A908" s="72"/>
      <c r="B908" s="72"/>
      <c r="C908" s="73"/>
    </row>
    <row r="909">
      <c r="A909" s="72"/>
      <c r="B909" s="72"/>
      <c r="C909" s="73"/>
    </row>
    <row r="910">
      <c r="A910" s="72"/>
      <c r="B910" s="72"/>
      <c r="C910" s="73"/>
    </row>
    <row r="911">
      <c r="A911" s="72"/>
      <c r="B911" s="72"/>
      <c r="C911" s="73"/>
    </row>
    <row r="912">
      <c r="A912" s="72"/>
      <c r="B912" s="72"/>
      <c r="C912" s="73"/>
    </row>
    <row r="913">
      <c r="A913" s="72"/>
      <c r="B913" s="72"/>
      <c r="C913" s="73"/>
    </row>
    <row r="914">
      <c r="A914" s="72"/>
      <c r="B914" s="72"/>
      <c r="C914" s="73"/>
    </row>
    <row r="915">
      <c r="A915" s="72"/>
      <c r="B915" s="72"/>
      <c r="C915" s="73"/>
    </row>
    <row r="916">
      <c r="A916" s="72"/>
      <c r="B916" s="72"/>
      <c r="C916" s="73"/>
    </row>
    <row r="917">
      <c r="A917" s="72"/>
      <c r="B917" s="72"/>
      <c r="C917" s="73"/>
    </row>
    <row r="918">
      <c r="A918" s="72"/>
      <c r="B918" s="72"/>
      <c r="C918" s="73"/>
    </row>
    <row r="919">
      <c r="A919" s="72"/>
      <c r="B919" s="72"/>
      <c r="C919" s="73"/>
    </row>
    <row r="920">
      <c r="A920" s="72"/>
      <c r="B920" s="72"/>
      <c r="C920" s="73"/>
    </row>
    <row r="921">
      <c r="A921" s="72"/>
      <c r="B921" s="72"/>
      <c r="C921" s="73"/>
    </row>
    <row r="922">
      <c r="A922" s="72"/>
      <c r="B922" s="72"/>
      <c r="C922" s="73"/>
    </row>
    <row r="923">
      <c r="A923" s="72"/>
      <c r="B923" s="72"/>
      <c r="C923" s="73"/>
    </row>
    <row r="924">
      <c r="A924" s="72"/>
      <c r="B924" s="72"/>
      <c r="C924" s="73"/>
    </row>
    <row r="925">
      <c r="A925" s="72"/>
      <c r="B925" s="72"/>
      <c r="C925" s="73"/>
    </row>
    <row r="926">
      <c r="A926" s="72"/>
      <c r="B926" s="72"/>
      <c r="C926" s="73"/>
    </row>
    <row r="927">
      <c r="A927" s="72"/>
      <c r="B927" s="72"/>
      <c r="C927" s="73"/>
    </row>
    <row r="928">
      <c r="A928" s="72"/>
      <c r="B928" s="72"/>
      <c r="C928" s="73"/>
    </row>
    <row r="929">
      <c r="A929" s="72"/>
      <c r="B929" s="72"/>
      <c r="C929" s="73"/>
    </row>
    <row r="930">
      <c r="A930" s="72"/>
      <c r="B930" s="72"/>
      <c r="C930" s="73"/>
    </row>
    <row r="931">
      <c r="A931" s="72"/>
      <c r="B931" s="72"/>
      <c r="C931" s="73"/>
    </row>
    <row r="932">
      <c r="A932" s="72"/>
      <c r="B932" s="72"/>
      <c r="C932" s="73"/>
    </row>
    <row r="933">
      <c r="A933" s="72"/>
      <c r="B933" s="72"/>
      <c r="C933" s="73"/>
    </row>
    <row r="934">
      <c r="A934" s="72"/>
      <c r="B934" s="72"/>
      <c r="C934" s="73"/>
    </row>
    <row r="935">
      <c r="A935" s="72"/>
      <c r="B935" s="72"/>
      <c r="C935" s="73"/>
    </row>
    <row r="936">
      <c r="A936" s="72"/>
      <c r="B936" s="72"/>
      <c r="C936" s="73"/>
    </row>
    <row r="937">
      <c r="A937" s="72"/>
      <c r="B937" s="72"/>
      <c r="C937" s="73"/>
    </row>
    <row r="938">
      <c r="A938" s="72"/>
      <c r="B938" s="72"/>
      <c r="C938" s="73"/>
    </row>
    <row r="939">
      <c r="A939" s="72"/>
      <c r="B939" s="72"/>
      <c r="C939" s="73"/>
    </row>
    <row r="940">
      <c r="A940" s="72"/>
      <c r="B940" s="72"/>
      <c r="C940" s="73"/>
    </row>
    <row r="941">
      <c r="A941" s="72"/>
      <c r="B941" s="72"/>
      <c r="C941" s="73"/>
    </row>
    <row r="942">
      <c r="A942" s="72"/>
      <c r="B942" s="72"/>
      <c r="C942" s="73"/>
    </row>
    <row r="943">
      <c r="A943" s="72"/>
      <c r="B943" s="72"/>
      <c r="C943" s="73"/>
    </row>
    <row r="944">
      <c r="A944" s="72"/>
      <c r="B944" s="72"/>
      <c r="C944" s="73"/>
    </row>
    <row r="945">
      <c r="A945" s="72"/>
      <c r="B945" s="72"/>
      <c r="C945" s="73"/>
    </row>
    <row r="946">
      <c r="A946" s="72"/>
      <c r="B946" s="72"/>
      <c r="C946" s="73"/>
    </row>
    <row r="947">
      <c r="A947" s="72"/>
      <c r="B947" s="72"/>
      <c r="C947" s="73"/>
    </row>
    <row r="948">
      <c r="A948" s="72"/>
      <c r="B948" s="72"/>
      <c r="C948" s="73"/>
    </row>
    <row r="949">
      <c r="A949" s="72"/>
      <c r="B949" s="72"/>
      <c r="C949" s="73"/>
    </row>
    <row r="950">
      <c r="A950" s="72"/>
      <c r="B950" s="72"/>
      <c r="C950" s="73"/>
    </row>
    <row r="951">
      <c r="A951" s="72"/>
      <c r="B951" s="72"/>
      <c r="C951" s="73"/>
    </row>
    <row r="952">
      <c r="A952" s="72"/>
      <c r="B952" s="72"/>
      <c r="C952" s="73"/>
    </row>
    <row r="953">
      <c r="A953" s="72"/>
      <c r="B953" s="72"/>
      <c r="C953" s="73"/>
    </row>
    <row r="954">
      <c r="A954" s="72"/>
      <c r="B954" s="72"/>
      <c r="C954" s="73"/>
    </row>
    <row r="955">
      <c r="A955" s="72"/>
      <c r="B955" s="72"/>
      <c r="C955" s="73"/>
    </row>
    <row r="956">
      <c r="A956" s="72"/>
      <c r="B956" s="72"/>
      <c r="C956" s="73"/>
    </row>
    <row r="957">
      <c r="A957" s="72"/>
      <c r="B957" s="72"/>
      <c r="C957" s="73"/>
    </row>
    <row r="958">
      <c r="A958" s="72"/>
      <c r="B958" s="72"/>
      <c r="C958" s="73"/>
    </row>
    <row r="959">
      <c r="A959" s="72"/>
      <c r="B959" s="72"/>
      <c r="C959" s="73"/>
    </row>
    <row r="960">
      <c r="A960" s="72"/>
      <c r="B960" s="72"/>
      <c r="C960" s="73"/>
    </row>
    <row r="961">
      <c r="A961" s="72"/>
      <c r="B961" s="72"/>
      <c r="C961" s="73"/>
    </row>
    <row r="962">
      <c r="A962" s="72"/>
      <c r="B962" s="72"/>
      <c r="C962" s="73"/>
    </row>
    <row r="963">
      <c r="A963" s="72"/>
      <c r="B963" s="72"/>
      <c r="C963" s="73"/>
    </row>
    <row r="964">
      <c r="A964" s="72"/>
      <c r="B964" s="72"/>
      <c r="C964" s="73"/>
    </row>
    <row r="965">
      <c r="A965" s="72"/>
      <c r="B965" s="72"/>
      <c r="C965" s="73"/>
    </row>
    <row r="966">
      <c r="A966" s="72"/>
      <c r="B966" s="72"/>
      <c r="C966" s="73"/>
    </row>
    <row r="967">
      <c r="A967" s="72"/>
      <c r="B967" s="72"/>
      <c r="C967" s="73"/>
    </row>
    <row r="968">
      <c r="A968" s="72"/>
      <c r="B968" s="72"/>
      <c r="C968" s="73"/>
    </row>
    <row r="969">
      <c r="A969" s="72"/>
      <c r="B969" s="72"/>
      <c r="C969" s="73"/>
    </row>
    <row r="970">
      <c r="A970" s="72"/>
      <c r="B970" s="72"/>
      <c r="C970" s="73"/>
    </row>
    <row r="971">
      <c r="A971" s="72"/>
      <c r="B971" s="72"/>
      <c r="C971" s="73"/>
    </row>
    <row r="972">
      <c r="A972" s="72"/>
      <c r="B972" s="72"/>
      <c r="C972" s="73"/>
    </row>
    <row r="973">
      <c r="A973" s="72"/>
      <c r="B973" s="72"/>
      <c r="C973" s="73"/>
    </row>
    <row r="974">
      <c r="A974" s="72"/>
      <c r="B974" s="72"/>
      <c r="C974" s="73"/>
    </row>
    <row r="975">
      <c r="A975" s="72"/>
      <c r="B975" s="72"/>
      <c r="C975" s="73"/>
    </row>
    <row r="976">
      <c r="A976" s="72"/>
      <c r="B976" s="72"/>
      <c r="C976" s="73"/>
    </row>
    <row r="977">
      <c r="A977" s="72"/>
      <c r="B977" s="72"/>
      <c r="C977" s="73"/>
    </row>
    <row r="978">
      <c r="A978" s="72"/>
      <c r="B978" s="72"/>
      <c r="C978" s="73"/>
    </row>
    <row r="979">
      <c r="A979" s="72"/>
      <c r="B979" s="72"/>
      <c r="C979" s="73"/>
    </row>
    <row r="980">
      <c r="A980" s="72"/>
      <c r="B980" s="72"/>
      <c r="C980" s="73"/>
    </row>
    <row r="981">
      <c r="A981" s="72"/>
      <c r="B981" s="72"/>
      <c r="C981" s="73"/>
    </row>
    <row r="982">
      <c r="A982" s="72"/>
      <c r="B982" s="72"/>
      <c r="C982" s="73"/>
    </row>
    <row r="983">
      <c r="A983" s="72"/>
      <c r="B983" s="72"/>
      <c r="C983" s="73"/>
    </row>
    <row r="984">
      <c r="A984" s="72"/>
      <c r="B984" s="72"/>
      <c r="C984" s="73"/>
    </row>
    <row r="985">
      <c r="A985" s="72"/>
      <c r="B985" s="72"/>
      <c r="C985" s="73"/>
    </row>
    <row r="986">
      <c r="A986" s="72"/>
      <c r="B986" s="72"/>
      <c r="C986" s="73"/>
    </row>
    <row r="987">
      <c r="A987" s="72"/>
      <c r="B987" s="72"/>
      <c r="C987" s="73"/>
    </row>
    <row r="988">
      <c r="A988" s="72"/>
      <c r="B988" s="72"/>
      <c r="C988" s="73"/>
    </row>
    <row r="989">
      <c r="A989" s="72"/>
      <c r="B989" s="72"/>
      <c r="C989" s="73"/>
    </row>
    <row r="990">
      <c r="A990" s="72"/>
      <c r="B990" s="72"/>
      <c r="C990" s="73"/>
    </row>
    <row r="991">
      <c r="A991" s="72"/>
      <c r="B991" s="72"/>
      <c r="C991" s="73"/>
    </row>
    <row r="992">
      <c r="A992" s="72"/>
      <c r="B992" s="72"/>
      <c r="C992" s="73"/>
    </row>
    <row r="993">
      <c r="A993" s="72"/>
      <c r="B993" s="72"/>
      <c r="C993" s="73"/>
    </row>
  </sheetData>
  <autoFilter ref="$A$2:$C$40">
    <sortState ref="A2:C40">
      <sortCondition ref="B2:B40"/>
    </sortState>
  </autoFilter>
  <mergeCells count="1">
    <mergeCell ref="A1:C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A1" s="68" t="s">
        <v>760</v>
      </c>
      <c r="B1" s="6"/>
      <c r="C1" s="7"/>
    </row>
    <row r="2">
      <c r="A2" s="58" t="s">
        <v>608</v>
      </c>
      <c r="B2" s="59" t="s">
        <v>609</v>
      </c>
      <c r="C2" s="69" t="s">
        <v>249</v>
      </c>
    </row>
    <row r="3">
      <c r="A3" s="70"/>
      <c r="B3" s="71" t="s">
        <v>761</v>
      </c>
      <c r="C3" s="63">
        <v>-17743.0</v>
      </c>
    </row>
    <row r="4">
      <c r="A4" s="70"/>
      <c r="B4" s="71" t="s">
        <v>762</v>
      </c>
      <c r="C4" s="63">
        <v>-5403.0</v>
      </c>
    </row>
    <row r="5">
      <c r="A5" s="70">
        <v>46185.0</v>
      </c>
      <c r="B5" s="71" t="s">
        <v>763</v>
      </c>
      <c r="C5" s="63">
        <f>279645-200000</f>
        <v>79645</v>
      </c>
    </row>
    <row r="6">
      <c r="A6" s="70">
        <v>46186.0</v>
      </c>
      <c r="B6" s="71" t="s">
        <v>764</v>
      </c>
      <c r="C6" s="63">
        <f>367074-123000-100000</f>
        <v>144074</v>
      </c>
    </row>
    <row r="7">
      <c r="A7" s="70">
        <v>46186.0</v>
      </c>
      <c r="B7" s="71" t="s">
        <v>765</v>
      </c>
      <c r="C7" s="63">
        <f>766440-201007</f>
        <v>565433</v>
      </c>
    </row>
    <row r="8">
      <c r="A8" s="70">
        <v>46190.0</v>
      </c>
      <c r="B8" s="71" t="s">
        <v>766</v>
      </c>
      <c r="C8" s="63">
        <f>2030627-614073</f>
        <v>1416554</v>
      </c>
    </row>
    <row r="9">
      <c r="A9" s="70">
        <v>46190.0</v>
      </c>
      <c r="B9" s="71" t="s">
        <v>767</v>
      </c>
      <c r="C9" s="63">
        <v>786321.0</v>
      </c>
    </row>
    <row r="10">
      <c r="A10" s="70">
        <v>46192.0</v>
      </c>
      <c r="B10" s="71" t="s">
        <v>768</v>
      </c>
      <c r="C10" s="63">
        <v>495363.0</v>
      </c>
    </row>
    <row r="11">
      <c r="A11" s="70">
        <v>46192.0</v>
      </c>
      <c r="B11" s="71" t="s">
        <v>769</v>
      </c>
      <c r="C11" s="63">
        <v>317522.0</v>
      </c>
    </row>
    <row r="12">
      <c r="A12" s="70">
        <v>46192.0</v>
      </c>
      <c r="B12" s="71" t="s">
        <v>770</v>
      </c>
      <c r="C12" s="63">
        <v>256631.0</v>
      </c>
    </row>
    <row r="13">
      <c r="A13" s="70">
        <v>46192.0</v>
      </c>
      <c r="B13" s="71" t="s">
        <v>771</v>
      </c>
      <c r="C13" s="63">
        <v>347998.0</v>
      </c>
    </row>
    <row r="14">
      <c r="A14" s="70">
        <v>46197.0</v>
      </c>
      <c r="B14" s="71" t="s">
        <v>772</v>
      </c>
      <c r="C14" s="63">
        <f>698625-35000</f>
        <v>663625</v>
      </c>
    </row>
    <row r="15">
      <c r="A15" s="70">
        <v>46197.0</v>
      </c>
      <c r="B15" s="71" t="s">
        <v>773</v>
      </c>
      <c r="C15" s="63">
        <f>816187-700000</f>
        <v>116187</v>
      </c>
    </row>
    <row r="16">
      <c r="A16" s="70">
        <v>46197.0</v>
      </c>
      <c r="B16" s="71" t="s">
        <v>774</v>
      </c>
      <c r="C16" s="63">
        <v>276327.0</v>
      </c>
    </row>
    <row r="17">
      <c r="A17" s="70">
        <v>46197.0</v>
      </c>
      <c r="B17" s="71" t="s">
        <v>130</v>
      </c>
      <c r="C17" s="34">
        <f>206415-31810</f>
        <v>174605</v>
      </c>
    </row>
    <row r="18">
      <c r="A18" s="70">
        <v>46197.0</v>
      </c>
      <c r="B18" s="71" t="s">
        <v>775</v>
      </c>
      <c r="C18" s="63">
        <v>730483.0</v>
      </c>
    </row>
    <row r="19">
      <c r="A19" s="70">
        <v>46199.0</v>
      </c>
      <c r="B19" s="71" t="s">
        <v>776</v>
      </c>
      <c r="C19" s="63">
        <v>252674.0</v>
      </c>
    </row>
    <row r="20">
      <c r="A20" s="70">
        <v>46107.0</v>
      </c>
      <c r="B20" s="71" t="s">
        <v>777</v>
      </c>
      <c r="C20" s="63">
        <f>162627-19158</f>
        <v>143469</v>
      </c>
    </row>
    <row r="21">
      <c r="A21" s="70">
        <v>46199.0</v>
      </c>
      <c r="B21" s="71" t="s">
        <v>778</v>
      </c>
      <c r="C21" s="63">
        <v>779223.0</v>
      </c>
    </row>
    <row r="22">
      <c r="A22" s="70">
        <v>46199.0</v>
      </c>
      <c r="B22" s="71" t="s">
        <v>779</v>
      </c>
      <c r="C22" s="63">
        <f>191571-160000</f>
        <v>31571</v>
      </c>
    </row>
    <row r="23">
      <c r="A23" s="70">
        <v>46199.0</v>
      </c>
      <c r="B23" s="71" t="s">
        <v>765</v>
      </c>
      <c r="C23" s="63">
        <v>399641.0</v>
      </c>
    </row>
    <row r="24">
      <c r="A24" s="70">
        <v>46199.0</v>
      </c>
      <c r="B24" s="71" t="s">
        <v>780</v>
      </c>
      <c r="C24" s="63">
        <v>532638.0</v>
      </c>
    </row>
    <row r="25">
      <c r="A25" s="70">
        <v>46199.0</v>
      </c>
      <c r="B25" s="71" t="s">
        <v>781</v>
      </c>
      <c r="C25" s="63">
        <v>532638.0</v>
      </c>
    </row>
    <row r="26">
      <c r="A26" s="70">
        <v>46199.0</v>
      </c>
      <c r="B26" s="71" t="s">
        <v>782</v>
      </c>
      <c r="C26" s="63">
        <v>96187.0</v>
      </c>
    </row>
    <row r="27">
      <c r="A27" s="70">
        <v>46199.0</v>
      </c>
      <c r="B27" s="71" t="s">
        <v>783</v>
      </c>
      <c r="C27" s="63">
        <v>468178.0</v>
      </c>
    </row>
    <row r="28">
      <c r="A28" s="70">
        <v>46199.0</v>
      </c>
      <c r="B28" s="71" t="s">
        <v>784</v>
      </c>
      <c r="C28" s="63">
        <v>229388.0</v>
      </c>
    </row>
    <row r="29">
      <c r="A29" s="70">
        <v>46199.0</v>
      </c>
      <c r="B29" s="71" t="s">
        <v>785</v>
      </c>
      <c r="C29" s="63">
        <v>363667.0</v>
      </c>
    </row>
    <row r="30">
      <c r="A30" s="70">
        <v>46200.0</v>
      </c>
      <c r="B30" s="71" t="s">
        <v>786</v>
      </c>
      <c r="C30" s="63">
        <v>610727.0</v>
      </c>
    </row>
    <row r="31">
      <c r="A31" s="70">
        <v>46200.0</v>
      </c>
      <c r="B31" s="71" t="s">
        <v>787</v>
      </c>
      <c r="C31" s="63">
        <v>409542.0</v>
      </c>
    </row>
    <row r="32">
      <c r="A32" s="70">
        <v>46200.0</v>
      </c>
      <c r="B32" s="71" t="s">
        <v>788</v>
      </c>
      <c r="C32" s="63">
        <v>161628.0</v>
      </c>
    </row>
    <row r="33">
      <c r="A33" s="70">
        <v>46200.0</v>
      </c>
      <c r="B33" s="71" t="s">
        <v>763</v>
      </c>
      <c r="C33" s="63">
        <v>7964.0</v>
      </c>
    </row>
    <row r="34">
      <c r="A34" s="70">
        <v>46200.0</v>
      </c>
      <c r="B34" s="71" t="s">
        <v>764</v>
      </c>
      <c r="C34" s="63">
        <v>36707.0</v>
      </c>
    </row>
    <row r="35">
      <c r="A35" s="70"/>
      <c r="B35" s="71"/>
      <c r="C35" s="63"/>
    </row>
    <row r="36">
      <c r="A36" s="74"/>
      <c r="B36" s="71"/>
      <c r="C36" s="75"/>
    </row>
    <row r="37">
      <c r="A37" s="70"/>
      <c r="B37" s="71"/>
      <c r="C37" s="63"/>
    </row>
    <row r="38">
      <c r="A38" s="70"/>
      <c r="B38" s="71"/>
      <c r="C38" s="63"/>
    </row>
    <row r="39">
      <c r="A39" s="74"/>
      <c r="B39" s="71"/>
      <c r="C39" s="75"/>
    </row>
    <row r="40">
      <c r="A40" s="70"/>
      <c r="B40" s="71"/>
      <c r="C40" s="63"/>
    </row>
    <row r="41">
      <c r="A41" s="76"/>
      <c r="B41" s="71"/>
      <c r="C41" s="63"/>
    </row>
    <row r="42">
      <c r="A42" s="70"/>
      <c r="B42" s="71"/>
      <c r="C42" s="63"/>
    </row>
    <row r="43">
      <c r="A43" s="70"/>
      <c r="B43" s="71"/>
      <c r="C43" s="63"/>
    </row>
    <row r="44">
      <c r="A44" s="70"/>
      <c r="B44" s="71"/>
      <c r="C44" s="63"/>
    </row>
    <row r="45">
      <c r="A45" s="74"/>
      <c r="B45" s="71"/>
      <c r="C45" s="75"/>
    </row>
    <row r="46">
      <c r="A46" s="70"/>
      <c r="B46" s="71"/>
      <c r="C46" s="63"/>
    </row>
    <row r="47">
      <c r="A47" s="77"/>
      <c r="B47" s="78"/>
      <c r="C47" s="79"/>
    </row>
    <row r="48">
      <c r="A48" s="77"/>
      <c r="B48" s="78"/>
      <c r="C48" s="79"/>
    </row>
    <row r="49">
      <c r="A49" s="77"/>
      <c r="B49" s="78"/>
      <c r="C49" s="79"/>
    </row>
    <row r="50">
      <c r="A50" s="72"/>
      <c r="B50" s="72"/>
      <c r="C50" s="73"/>
    </row>
    <row r="51">
      <c r="A51" s="72"/>
      <c r="B51" s="72"/>
      <c r="C51" s="73"/>
    </row>
    <row r="52">
      <c r="A52" s="72"/>
      <c r="B52" s="72"/>
      <c r="C52" s="73">
        <f>SUM(C3:C46)</f>
        <v>11403464</v>
      </c>
    </row>
  </sheetData>
  <autoFilter ref="$A$2:$C$49">
    <sortState ref="A2:C49">
      <sortCondition ref="B2:B49"/>
    </sortState>
  </autoFilter>
  <mergeCells count="1">
    <mergeCell ref="A1:C1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>
        <v>73.0</v>
      </c>
      <c r="B1" s="23">
        <v>3.0</v>
      </c>
      <c r="C1" s="3" t="s">
        <v>238</v>
      </c>
    </row>
    <row r="2">
      <c r="A2" s="80">
        <v>19.0</v>
      </c>
      <c r="B2" s="23">
        <v>3.0</v>
      </c>
      <c r="C2" s="3" t="s">
        <v>238</v>
      </c>
    </row>
    <row r="3">
      <c r="A3" s="80">
        <v>333.0</v>
      </c>
      <c r="B3" s="23">
        <v>3.0</v>
      </c>
      <c r="C3" s="3" t="s">
        <v>238</v>
      </c>
    </row>
    <row r="4">
      <c r="A4" s="80">
        <v>188.0</v>
      </c>
      <c r="B4" s="23">
        <v>3.0</v>
      </c>
      <c r="C4" s="3" t="s">
        <v>238</v>
      </c>
    </row>
    <row r="5">
      <c r="A5" s="80">
        <v>65.0</v>
      </c>
      <c r="B5" s="23">
        <v>3.0</v>
      </c>
      <c r="C5" s="3" t="s">
        <v>238</v>
      </c>
    </row>
    <row r="6">
      <c r="A6" s="80">
        <v>160.0</v>
      </c>
      <c r="B6" s="23">
        <v>3.0</v>
      </c>
      <c r="C6" s="3" t="s">
        <v>238</v>
      </c>
    </row>
    <row r="7">
      <c r="A7" s="80">
        <v>780.0</v>
      </c>
      <c r="B7" s="23">
        <v>3.0</v>
      </c>
      <c r="C7" s="3" t="s">
        <v>238</v>
      </c>
    </row>
    <row r="8">
      <c r="A8" s="80">
        <v>448.0</v>
      </c>
      <c r="B8" s="23">
        <v>3.0</v>
      </c>
      <c r="C8" s="3" t="s">
        <v>238</v>
      </c>
    </row>
    <row r="9">
      <c r="A9" s="80">
        <v>109.0</v>
      </c>
      <c r="B9" s="23">
        <v>12.0</v>
      </c>
      <c r="C9" s="3" t="s">
        <v>237</v>
      </c>
    </row>
    <row r="10">
      <c r="A10" s="80">
        <v>66.0</v>
      </c>
      <c r="B10" s="23">
        <v>3.0</v>
      </c>
      <c r="C10" s="3" t="s">
        <v>238</v>
      </c>
    </row>
    <row r="11">
      <c r="A11" s="80">
        <v>442.0</v>
      </c>
      <c r="B11" s="23">
        <v>3.0</v>
      </c>
      <c r="C11" s="3" t="s">
        <v>238</v>
      </c>
    </row>
    <row r="12">
      <c r="A12" s="80">
        <v>733.0</v>
      </c>
      <c r="B12" s="23">
        <v>3.0</v>
      </c>
      <c r="C12" s="3" t="s">
        <v>238</v>
      </c>
    </row>
    <row r="13">
      <c r="A13" s="80">
        <v>234.0</v>
      </c>
      <c r="B13" s="23">
        <v>3.0</v>
      </c>
      <c r="C13" s="3" t="s">
        <v>238</v>
      </c>
    </row>
    <row r="14">
      <c r="A14" s="80">
        <v>692.0</v>
      </c>
      <c r="B14" s="23">
        <v>3.0</v>
      </c>
      <c r="C14" s="3" t="s">
        <v>238</v>
      </c>
    </row>
    <row r="15">
      <c r="A15" s="80">
        <v>815.0</v>
      </c>
      <c r="B15" s="23">
        <v>3.0</v>
      </c>
      <c r="C15" s="3" t="s">
        <v>238</v>
      </c>
    </row>
    <row r="16">
      <c r="A16" s="80">
        <v>96.0</v>
      </c>
      <c r="B16" s="23">
        <v>12.0</v>
      </c>
      <c r="C16" s="3" t="s">
        <v>237</v>
      </c>
    </row>
    <row r="17">
      <c r="A17" s="80">
        <v>526.0</v>
      </c>
      <c r="B17" s="23">
        <v>12.0</v>
      </c>
      <c r="C17" s="3" t="s">
        <v>237</v>
      </c>
    </row>
    <row r="18">
      <c r="A18" s="80">
        <v>523.0</v>
      </c>
      <c r="B18" s="23">
        <v>12.0</v>
      </c>
      <c r="C18" s="3" t="s">
        <v>237</v>
      </c>
    </row>
    <row r="19">
      <c r="A19" s="80">
        <v>146.0</v>
      </c>
      <c r="B19" s="23">
        <v>12.0</v>
      </c>
      <c r="C19" s="3" t="s">
        <v>237</v>
      </c>
    </row>
    <row r="20">
      <c r="A20" s="80">
        <v>544.0</v>
      </c>
      <c r="B20" s="23">
        <v>12.0</v>
      </c>
      <c r="C20" s="3" t="s">
        <v>237</v>
      </c>
    </row>
    <row r="21">
      <c r="A21" s="80">
        <v>993.0</v>
      </c>
      <c r="B21" s="23">
        <v>12.0</v>
      </c>
      <c r="C21" s="3" t="s">
        <v>237</v>
      </c>
    </row>
    <row r="22">
      <c r="A22" s="80">
        <v>101.0</v>
      </c>
      <c r="B22" s="23">
        <v>12.0</v>
      </c>
      <c r="C22" s="3" t="s">
        <v>237</v>
      </c>
    </row>
    <row r="23">
      <c r="A23" s="80">
        <v>327.0</v>
      </c>
      <c r="B23" s="23">
        <v>12.0</v>
      </c>
      <c r="C23" s="3" t="s">
        <v>237</v>
      </c>
    </row>
    <row r="24">
      <c r="A24" s="80">
        <v>161.0</v>
      </c>
      <c r="B24" s="23">
        <v>12.0</v>
      </c>
      <c r="C24" s="3" t="s">
        <v>237</v>
      </c>
    </row>
    <row r="25">
      <c r="A25" s="80">
        <v>746.0</v>
      </c>
      <c r="B25" s="23">
        <v>12.0</v>
      </c>
      <c r="C25" s="3" t="s">
        <v>237</v>
      </c>
    </row>
    <row r="26">
      <c r="A26" s="80">
        <v>735.0</v>
      </c>
      <c r="B26" s="23">
        <v>12.0</v>
      </c>
      <c r="C26" s="3" t="s">
        <v>237</v>
      </c>
    </row>
    <row r="27">
      <c r="A27" s="80">
        <v>175.0</v>
      </c>
      <c r="B27" s="23">
        <v>12.0</v>
      </c>
      <c r="C27" s="3" t="s">
        <v>237</v>
      </c>
    </row>
    <row r="28">
      <c r="A28" s="80">
        <v>535.0</v>
      </c>
      <c r="B28" s="23">
        <v>12.0</v>
      </c>
      <c r="C28" s="3" t="s">
        <v>237</v>
      </c>
    </row>
    <row r="29">
      <c r="A29" s="80">
        <v>589.0</v>
      </c>
      <c r="B29" s="23">
        <v>12.0</v>
      </c>
      <c r="C29" s="3" t="s">
        <v>237</v>
      </c>
    </row>
    <row r="30">
      <c r="A30" s="80">
        <v>271.0</v>
      </c>
      <c r="B30" s="23">
        <v>12.0</v>
      </c>
      <c r="C30" s="3" t="s">
        <v>237</v>
      </c>
    </row>
    <row r="31">
      <c r="A31" s="80">
        <v>713.0</v>
      </c>
      <c r="B31" s="23">
        <v>12.0</v>
      </c>
      <c r="C31" s="3" t="s">
        <v>237</v>
      </c>
    </row>
    <row r="32">
      <c r="A32" s="80">
        <v>386.0</v>
      </c>
      <c r="B32" s="23">
        <v>12.0</v>
      </c>
      <c r="C32" s="3" t="s">
        <v>237</v>
      </c>
    </row>
    <row r="33">
      <c r="A33" s="80">
        <v>6.0</v>
      </c>
      <c r="B33" s="23">
        <v>12.0</v>
      </c>
      <c r="C33" s="3" t="s">
        <v>237</v>
      </c>
    </row>
    <row r="34">
      <c r="A34" s="80">
        <v>32.0</v>
      </c>
      <c r="B34" s="23">
        <v>12.0</v>
      </c>
      <c r="C34" s="3" t="s">
        <v>237</v>
      </c>
    </row>
    <row r="35">
      <c r="A35" s="80">
        <v>288.0</v>
      </c>
      <c r="B35" s="23">
        <v>10.0</v>
      </c>
      <c r="C35" s="3" t="s">
        <v>242</v>
      </c>
    </row>
    <row r="36">
      <c r="A36" s="80">
        <v>336.0</v>
      </c>
      <c r="B36" s="23">
        <v>10.0</v>
      </c>
      <c r="C36" s="3" t="s">
        <v>242</v>
      </c>
    </row>
    <row r="37">
      <c r="A37" s="80">
        <v>16.0</v>
      </c>
      <c r="B37" s="23">
        <v>12.0</v>
      </c>
      <c r="C37" s="3" t="s">
        <v>237</v>
      </c>
    </row>
    <row r="38">
      <c r="A38" s="80">
        <v>83.0</v>
      </c>
      <c r="B38" s="23">
        <v>12.0</v>
      </c>
      <c r="C38" s="3" t="s">
        <v>237</v>
      </c>
    </row>
    <row r="39">
      <c r="A39" s="80">
        <v>454.0</v>
      </c>
      <c r="B39" s="23">
        <v>12.0</v>
      </c>
      <c r="C39" s="3" t="s">
        <v>237</v>
      </c>
    </row>
    <row r="40">
      <c r="A40" s="80">
        <v>671.0</v>
      </c>
      <c r="B40" s="23">
        <v>12.0</v>
      </c>
      <c r="C40" s="3" t="s">
        <v>237</v>
      </c>
    </row>
    <row r="41">
      <c r="A41" s="80">
        <v>805.0</v>
      </c>
      <c r="B41" s="23">
        <v>12.0</v>
      </c>
      <c r="C41" s="3" t="s">
        <v>237</v>
      </c>
    </row>
    <row r="42">
      <c r="A42" s="80">
        <v>239.0</v>
      </c>
      <c r="B42" s="23">
        <v>12.0</v>
      </c>
      <c r="C42" s="3" t="s">
        <v>237</v>
      </c>
    </row>
    <row r="43">
      <c r="A43" s="80">
        <v>189.0</v>
      </c>
      <c r="B43" s="23">
        <v>12.0</v>
      </c>
      <c r="C43" s="3" t="s">
        <v>237</v>
      </c>
    </row>
    <row r="44">
      <c r="A44" s="80">
        <v>724.0</v>
      </c>
      <c r="B44" s="23">
        <v>12.0</v>
      </c>
      <c r="C44" s="3" t="s">
        <v>237</v>
      </c>
    </row>
    <row r="45">
      <c r="A45" s="80">
        <v>460.0</v>
      </c>
      <c r="B45" s="23">
        <v>12.0</v>
      </c>
      <c r="C45" s="3" t="s">
        <v>237</v>
      </c>
    </row>
    <row r="46">
      <c r="A46" s="80">
        <v>37.0</v>
      </c>
      <c r="B46" s="23">
        <v>12.0</v>
      </c>
      <c r="C46" s="3" t="s">
        <v>237</v>
      </c>
    </row>
    <row r="47">
      <c r="A47" s="80">
        <v>444.0</v>
      </c>
      <c r="B47" s="23">
        <v>12.0</v>
      </c>
      <c r="C47" s="3" t="s">
        <v>237</v>
      </c>
    </row>
    <row r="48">
      <c r="A48" s="80">
        <v>651.0</v>
      </c>
      <c r="B48" s="23">
        <v>12.0</v>
      </c>
      <c r="C48" s="3" t="s">
        <v>237</v>
      </c>
    </row>
    <row r="49">
      <c r="A49" s="80">
        <v>747.0</v>
      </c>
      <c r="B49" s="23">
        <v>12.0</v>
      </c>
      <c r="C49" s="3" t="s">
        <v>237</v>
      </c>
    </row>
    <row r="50">
      <c r="A50" s="80">
        <v>772.0</v>
      </c>
      <c r="B50" s="23">
        <v>12.0</v>
      </c>
      <c r="C50" s="3" t="s">
        <v>237</v>
      </c>
    </row>
    <row r="51">
      <c r="A51" s="80">
        <v>518.0</v>
      </c>
      <c r="B51" s="23">
        <v>4.0</v>
      </c>
      <c r="C51" s="3" t="s">
        <v>239</v>
      </c>
    </row>
    <row r="52">
      <c r="A52" s="80">
        <v>214.0</v>
      </c>
      <c r="B52" s="23">
        <v>4.0</v>
      </c>
      <c r="C52" s="3" t="s">
        <v>239</v>
      </c>
    </row>
    <row r="53">
      <c r="A53" s="80">
        <v>300.0</v>
      </c>
      <c r="B53" s="23">
        <v>4.0</v>
      </c>
      <c r="C53" s="3" t="s">
        <v>239</v>
      </c>
    </row>
    <row r="54">
      <c r="A54" s="80">
        <v>452.0</v>
      </c>
      <c r="B54" s="23">
        <v>4.0</v>
      </c>
      <c r="C54" s="3" t="s">
        <v>239</v>
      </c>
    </row>
    <row r="55">
      <c r="A55" s="80">
        <v>910.0</v>
      </c>
      <c r="B55" s="23">
        <v>2.0</v>
      </c>
      <c r="C55" s="3" t="s">
        <v>240</v>
      </c>
    </row>
    <row r="56">
      <c r="A56" s="80">
        <v>507.0</v>
      </c>
      <c r="B56" s="23">
        <v>3.0</v>
      </c>
      <c r="C56" s="3" t="s">
        <v>238</v>
      </c>
    </row>
    <row r="57">
      <c r="A57" s="80">
        <v>63.0</v>
      </c>
      <c r="B57" s="23">
        <v>2.0</v>
      </c>
      <c r="C57" s="3" t="s">
        <v>240</v>
      </c>
    </row>
    <row r="58">
      <c r="A58" s="80">
        <v>501.0</v>
      </c>
      <c r="B58" s="23">
        <v>2.0</v>
      </c>
      <c r="C58" s="3" t="s">
        <v>240</v>
      </c>
    </row>
    <row r="59">
      <c r="A59" s="80">
        <v>489.0</v>
      </c>
      <c r="B59" s="23">
        <v>2.0</v>
      </c>
      <c r="C59" s="3" t="s">
        <v>240</v>
      </c>
    </row>
    <row r="60">
      <c r="A60" s="80">
        <v>449.0</v>
      </c>
      <c r="B60" s="23">
        <v>2.0</v>
      </c>
      <c r="C60" s="3" t="s">
        <v>240</v>
      </c>
    </row>
    <row r="61">
      <c r="A61" s="80">
        <v>606.0</v>
      </c>
      <c r="B61" s="23">
        <v>2.0</v>
      </c>
      <c r="C61" s="3" t="s">
        <v>240</v>
      </c>
    </row>
    <row r="62">
      <c r="A62" s="80">
        <v>54.0</v>
      </c>
      <c r="B62" s="23">
        <v>2.0</v>
      </c>
      <c r="C62" s="3" t="s">
        <v>240</v>
      </c>
    </row>
    <row r="63">
      <c r="A63" s="80">
        <v>379.0</v>
      </c>
      <c r="B63" s="23">
        <v>2.0</v>
      </c>
      <c r="C63" s="3" t="s">
        <v>240</v>
      </c>
    </row>
    <row r="64">
      <c r="A64" s="80">
        <v>503.0</v>
      </c>
      <c r="B64" s="23">
        <v>2.0</v>
      </c>
      <c r="C64" s="3" t="s">
        <v>240</v>
      </c>
    </row>
    <row r="65">
      <c r="A65" s="80">
        <v>145.0</v>
      </c>
      <c r="B65" s="23">
        <v>2.0</v>
      </c>
      <c r="C65" s="3" t="s">
        <v>240</v>
      </c>
    </row>
    <row r="66">
      <c r="A66" s="80">
        <v>159.0</v>
      </c>
      <c r="B66" s="23">
        <v>2.0</v>
      </c>
      <c r="C66" s="3" t="s">
        <v>240</v>
      </c>
    </row>
    <row r="67">
      <c r="A67" s="80">
        <v>173.0</v>
      </c>
      <c r="B67" s="23">
        <v>2.0</v>
      </c>
      <c r="C67" s="3" t="s">
        <v>240</v>
      </c>
    </row>
    <row r="68">
      <c r="A68" s="80">
        <v>205.0</v>
      </c>
      <c r="B68" s="23">
        <v>2.0</v>
      </c>
      <c r="C68" s="3" t="s">
        <v>240</v>
      </c>
    </row>
    <row r="69">
      <c r="A69" s="80">
        <v>220.0</v>
      </c>
      <c r="B69" s="23">
        <v>2.0</v>
      </c>
      <c r="C69" s="3" t="s">
        <v>240</v>
      </c>
    </row>
    <row r="70">
      <c r="A70" s="80">
        <v>224.0</v>
      </c>
      <c r="B70" s="23">
        <v>2.0</v>
      </c>
      <c r="C70" s="3" t="s">
        <v>240</v>
      </c>
    </row>
    <row r="71">
      <c r="A71" s="80">
        <v>293.0</v>
      </c>
      <c r="B71" s="23">
        <v>2.0</v>
      </c>
      <c r="C71" s="3" t="s">
        <v>240</v>
      </c>
    </row>
    <row r="72">
      <c r="A72" s="80">
        <v>540.0</v>
      </c>
      <c r="B72" s="23">
        <v>2.0</v>
      </c>
      <c r="C72" s="3" t="s">
        <v>240</v>
      </c>
    </row>
    <row r="73">
      <c r="A73" s="80">
        <v>257.0</v>
      </c>
      <c r="B73" s="23">
        <v>2.0</v>
      </c>
      <c r="C73" s="3" t="s">
        <v>240</v>
      </c>
    </row>
    <row r="74">
      <c r="A74" s="80">
        <v>604.0</v>
      </c>
      <c r="B74" s="23">
        <v>2.0</v>
      </c>
      <c r="C74" s="3" t="s">
        <v>240</v>
      </c>
    </row>
    <row r="75">
      <c r="A75" s="80">
        <v>329.0</v>
      </c>
      <c r="B75" s="23">
        <v>2.0</v>
      </c>
      <c r="C75" s="3" t="s">
        <v>240</v>
      </c>
    </row>
    <row r="76">
      <c r="A76" s="80">
        <v>346.0</v>
      </c>
      <c r="B76" s="23">
        <v>2.0</v>
      </c>
      <c r="C76" s="3" t="s">
        <v>240</v>
      </c>
    </row>
    <row r="77">
      <c r="A77" s="80">
        <v>417.0</v>
      </c>
      <c r="B77" s="23">
        <v>2.0</v>
      </c>
      <c r="C77" s="3" t="s">
        <v>240</v>
      </c>
    </row>
    <row r="78">
      <c r="A78" s="80">
        <v>505.0</v>
      </c>
      <c r="B78" s="23">
        <v>2.0</v>
      </c>
      <c r="C78" s="3" t="s">
        <v>240</v>
      </c>
    </row>
    <row r="79">
      <c r="A79" s="80">
        <v>732.0</v>
      </c>
      <c r="B79" s="23">
        <v>2.0</v>
      </c>
      <c r="C79" s="3" t="s">
        <v>240</v>
      </c>
    </row>
    <row r="80">
      <c r="A80" s="80">
        <v>840.0</v>
      </c>
      <c r="B80" s="23">
        <v>2.0</v>
      </c>
      <c r="C80" s="3" t="s">
        <v>240</v>
      </c>
    </row>
    <row r="81">
      <c r="A81" s="80">
        <v>848.0</v>
      </c>
      <c r="B81" s="23">
        <v>2.0</v>
      </c>
      <c r="C81" s="3" t="s">
        <v>240</v>
      </c>
    </row>
    <row r="82">
      <c r="A82" s="80">
        <v>517.0</v>
      </c>
      <c r="B82" s="23">
        <v>2.0</v>
      </c>
      <c r="C82" s="3" t="s">
        <v>240</v>
      </c>
    </row>
    <row r="83">
      <c r="A83" s="80">
        <v>423.0</v>
      </c>
      <c r="B83" s="23">
        <v>2.0</v>
      </c>
      <c r="C83" s="3" t="s">
        <v>240</v>
      </c>
    </row>
    <row r="84">
      <c r="A84" s="80">
        <v>31.0</v>
      </c>
      <c r="B84" s="23">
        <v>2.0</v>
      </c>
      <c r="C84" s="3" t="s">
        <v>240</v>
      </c>
    </row>
    <row r="85">
      <c r="A85" s="80">
        <v>193.0</v>
      </c>
      <c r="B85" s="23">
        <v>4.0</v>
      </c>
      <c r="C85" s="3" t="s">
        <v>239</v>
      </c>
    </row>
    <row r="86">
      <c r="A86" s="80">
        <v>313.0</v>
      </c>
      <c r="B86" s="23">
        <v>4.0</v>
      </c>
      <c r="C86" s="3" t="s">
        <v>239</v>
      </c>
    </row>
    <row r="87">
      <c r="A87" s="80">
        <v>478.0</v>
      </c>
      <c r="B87" s="23">
        <v>4.0</v>
      </c>
      <c r="C87" s="3" t="s">
        <v>239</v>
      </c>
    </row>
    <row r="88">
      <c r="A88" s="80">
        <v>722.0</v>
      </c>
      <c r="B88" s="23">
        <v>4.0</v>
      </c>
      <c r="C88" s="3" t="s">
        <v>239</v>
      </c>
    </row>
    <row r="89">
      <c r="A89" s="80">
        <v>836.0</v>
      </c>
      <c r="B89" s="23">
        <v>4.0</v>
      </c>
      <c r="C89" s="3" t="s">
        <v>239</v>
      </c>
    </row>
    <row r="90">
      <c r="A90" s="80">
        <v>601.0</v>
      </c>
      <c r="B90" s="23">
        <v>4.0</v>
      </c>
      <c r="C90" s="3" t="s">
        <v>239</v>
      </c>
    </row>
    <row r="91">
      <c r="A91" s="80">
        <v>94.0</v>
      </c>
      <c r="B91" s="23">
        <v>4.0</v>
      </c>
      <c r="C91" s="3" t="s">
        <v>239</v>
      </c>
    </row>
    <row r="92">
      <c r="A92" s="80">
        <v>789.0</v>
      </c>
      <c r="B92" s="23">
        <v>4.0</v>
      </c>
      <c r="C92" s="3" t="s">
        <v>239</v>
      </c>
    </row>
    <row r="93">
      <c r="A93" s="80">
        <v>456.0</v>
      </c>
      <c r="B93" s="23">
        <v>4.0</v>
      </c>
      <c r="C93" s="3" t="s">
        <v>239</v>
      </c>
    </row>
    <row r="94">
      <c r="A94" s="80">
        <v>86.0</v>
      </c>
      <c r="B94" s="23">
        <v>2.0</v>
      </c>
      <c r="C94" s="3" t="s">
        <v>240</v>
      </c>
    </row>
    <row r="95">
      <c r="A95" s="80">
        <v>238.0</v>
      </c>
      <c r="B95" s="23">
        <v>2.0</v>
      </c>
      <c r="C95" s="3" t="s">
        <v>240</v>
      </c>
    </row>
    <row r="96">
      <c r="A96" s="80">
        <v>923.0</v>
      </c>
      <c r="B96" s="23">
        <v>2.0</v>
      </c>
      <c r="C96" s="3" t="s">
        <v>240</v>
      </c>
    </row>
    <row r="97">
      <c r="A97" s="80">
        <v>930.0</v>
      </c>
      <c r="B97" s="23">
        <v>2.0</v>
      </c>
      <c r="C97" s="3" t="s">
        <v>240</v>
      </c>
    </row>
    <row r="98">
      <c r="A98" s="80">
        <v>938.0</v>
      </c>
      <c r="B98" s="23">
        <v>2.0</v>
      </c>
      <c r="C98" s="3" t="s">
        <v>240</v>
      </c>
    </row>
    <row r="99">
      <c r="A99" s="80">
        <v>13.0</v>
      </c>
      <c r="B99" s="23">
        <v>2.0</v>
      </c>
      <c r="C99" s="3" t="s">
        <v>240</v>
      </c>
    </row>
    <row r="100">
      <c r="A100" s="80">
        <v>87.0</v>
      </c>
      <c r="B100" s="23">
        <v>2.0</v>
      </c>
      <c r="C100" s="3" t="s">
        <v>240</v>
      </c>
    </row>
    <row r="101">
      <c r="A101" s="80">
        <v>482.0</v>
      </c>
      <c r="B101" s="23">
        <v>2.0</v>
      </c>
      <c r="C101" s="3" t="s">
        <v>240</v>
      </c>
    </row>
    <row r="102">
      <c r="A102" s="80">
        <v>626.0</v>
      </c>
      <c r="B102" s="23">
        <v>2.0</v>
      </c>
      <c r="C102" s="3" t="s">
        <v>240</v>
      </c>
    </row>
    <row r="103">
      <c r="A103" s="80">
        <v>613.0</v>
      </c>
      <c r="B103" s="23">
        <v>2.0</v>
      </c>
      <c r="C103" s="3" t="s">
        <v>240</v>
      </c>
    </row>
    <row r="104">
      <c r="A104" s="80">
        <v>737.0</v>
      </c>
      <c r="B104" s="23">
        <v>2.0</v>
      </c>
      <c r="C104" s="3" t="s">
        <v>240</v>
      </c>
    </row>
    <row r="105">
      <c r="A105" s="80">
        <v>787.0</v>
      </c>
      <c r="B105" s="23">
        <v>2.0</v>
      </c>
      <c r="C105" s="3" t="s">
        <v>240</v>
      </c>
    </row>
    <row r="106">
      <c r="A106" s="80">
        <v>966.0</v>
      </c>
      <c r="B106" s="23">
        <v>2.0</v>
      </c>
      <c r="C106" s="3" t="s">
        <v>240</v>
      </c>
    </row>
    <row r="107">
      <c r="A107" s="80">
        <v>937.0</v>
      </c>
      <c r="B107" s="23">
        <v>2.0</v>
      </c>
      <c r="C107" s="3" t="s">
        <v>240</v>
      </c>
    </row>
    <row r="108">
      <c r="A108" s="80">
        <v>810.0</v>
      </c>
      <c r="B108" s="23">
        <v>2.0</v>
      </c>
      <c r="C108" s="3" t="s">
        <v>240</v>
      </c>
    </row>
    <row r="109">
      <c r="A109" s="80">
        <v>245.0</v>
      </c>
      <c r="B109" s="23">
        <v>2.0</v>
      </c>
      <c r="C109" s="3" t="s">
        <v>240</v>
      </c>
    </row>
    <row r="110">
      <c r="A110" s="80">
        <v>286.0</v>
      </c>
      <c r="B110" s="23">
        <v>2.0</v>
      </c>
      <c r="C110" s="3" t="s">
        <v>240</v>
      </c>
    </row>
    <row r="111">
      <c r="A111" s="80">
        <v>362.0</v>
      </c>
      <c r="B111" s="23">
        <v>2.0</v>
      </c>
      <c r="C111" s="3" t="s">
        <v>240</v>
      </c>
    </row>
    <row r="112">
      <c r="A112" s="80">
        <v>766.0</v>
      </c>
      <c r="B112" s="23">
        <v>2.0</v>
      </c>
      <c r="C112" s="3" t="s">
        <v>240</v>
      </c>
    </row>
    <row r="113">
      <c r="A113" s="80">
        <v>823.0</v>
      </c>
      <c r="B113" s="23">
        <v>2.0</v>
      </c>
      <c r="C113" s="3" t="s">
        <v>240</v>
      </c>
    </row>
    <row r="114">
      <c r="A114" s="80">
        <v>247.0</v>
      </c>
      <c r="B114" s="23">
        <v>2.0</v>
      </c>
      <c r="C114" s="3" t="s">
        <v>240</v>
      </c>
    </row>
    <row r="115">
      <c r="A115" s="80">
        <v>675.0</v>
      </c>
      <c r="B115" s="23">
        <v>2.0</v>
      </c>
      <c r="C115" s="3" t="s">
        <v>240</v>
      </c>
    </row>
    <row r="116">
      <c r="A116" s="80">
        <v>263.0</v>
      </c>
      <c r="B116" s="23">
        <v>2.0</v>
      </c>
      <c r="C116" s="3" t="s">
        <v>240</v>
      </c>
    </row>
    <row r="117">
      <c r="A117" s="80">
        <v>645.0</v>
      </c>
      <c r="B117" s="23">
        <v>2.0</v>
      </c>
      <c r="C117" s="3" t="s">
        <v>240</v>
      </c>
    </row>
    <row r="118">
      <c r="A118" s="80">
        <v>169.0</v>
      </c>
      <c r="B118" s="23">
        <v>2.0</v>
      </c>
      <c r="C118" s="3" t="s">
        <v>240</v>
      </c>
    </row>
    <row r="119">
      <c r="A119" s="80">
        <v>870.0</v>
      </c>
      <c r="B119" s="23">
        <v>2.0</v>
      </c>
      <c r="C119" s="3" t="s">
        <v>240</v>
      </c>
    </row>
    <row r="120">
      <c r="A120" s="80">
        <v>172.0</v>
      </c>
      <c r="B120" s="23">
        <v>2.0</v>
      </c>
      <c r="C120" s="3" t="s">
        <v>240</v>
      </c>
    </row>
    <row r="121">
      <c r="A121" s="80">
        <v>143.0</v>
      </c>
      <c r="B121" s="23">
        <v>2.0</v>
      </c>
      <c r="C121" s="3" t="s">
        <v>240</v>
      </c>
    </row>
    <row r="122">
      <c r="A122" s="80">
        <v>151.0</v>
      </c>
      <c r="B122" s="23">
        <v>2.0</v>
      </c>
      <c r="C122" s="3" t="s">
        <v>240</v>
      </c>
    </row>
    <row r="123">
      <c r="A123" s="80">
        <v>896.0</v>
      </c>
      <c r="B123" s="23">
        <v>2.0</v>
      </c>
      <c r="C123" s="3" t="s">
        <v>240</v>
      </c>
    </row>
    <row r="124">
      <c r="A124" s="80">
        <v>512.0</v>
      </c>
      <c r="B124" s="23">
        <v>2.0</v>
      </c>
      <c r="C124" s="3" t="s">
        <v>240</v>
      </c>
    </row>
    <row r="125">
      <c r="A125" s="80">
        <v>74.0</v>
      </c>
      <c r="B125" s="23">
        <v>2.0</v>
      </c>
      <c r="C125" s="3" t="s">
        <v>240</v>
      </c>
    </row>
    <row r="126">
      <c r="A126" s="80">
        <v>18.0</v>
      </c>
      <c r="B126" s="23">
        <v>2.0</v>
      </c>
      <c r="C126" s="3" t="s">
        <v>240</v>
      </c>
    </row>
    <row r="127">
      <c r="A127" s="80">
        <v>496.0</v>
      </c>
      <c r="B127" s="23">
        <v>3.0</v>
      </c>
      <c r="C127" s="3" t="s">
        <v>238</v>
      </c>
    </row>
    <row r="128">
      <c r="A128" s="80">
        <v>228.0</v>
      </c>
      <c r="B128" s="23">
        <v>3.0</v>
      </c>
      <c r="C128" s="3" t="s">
        <v>238</v>
      </c>
    </row>
    <row r="129">
      <c r="A129" s="80">
        <v>17.0</v>
      </c>
      <c r="B129" s="23">
        <v>4.0</v>
      </c>
      <c r="C129" s="3" t="s">
        <v>239</v>
      </c>
    </row>
    <row r="130">
      <c r="A130" s="80">
        <v>370.0</v>
      </c>
      <c r="B130" s="23">
        <v>3.0</v>
      </c>
      <c r="C130" s="3" t="s">
        <v>238</v>
      </c>
    </row>
    <row r="131">
      <c r="A131" s="80">
        <v>428.0</v>
      </c>
      <c r="B131" s="23">
        <v>3.0</v>
      </c>
      <c r="C131" s="3" t="s">
        <v>238</v>
      </c>
    </row>
    <row r="132">
      <c r="A132" s="80">
        <v>122.0</v>
      </c>
      <c r="B132" s="23">
        <v>3.0</v>
      </c>
      <c r="C132" s="3" t="s">
        <v>238</v>
      </c>
    </row>
    <row r="133">
      <c r="A133" s="80">
        <v>233.0</v>
      </c>
      <c r="B133" s="23">
        <v>3.0</v>
      </c>
      <c r="C133" s="3" t="s">
        <v>238</v>
      </c>
    </row>
    <row r="134">
      <c r="A134" s="80">
        <v>904.0</v>
      </c>
      <c r="B134" s="23">
        <v>4.0</v>
      </c>
      <c r="C134" s="3" t="s">
        <v>239</v>
      </c>
    </row>
    <row r="135">
      <c r="A135" s="80">
        <v>628.0</v>
      </c>
      <c r="B135" s="23">
        <v>3.0</v>
      </c>
      <c r="C135" s="3" t="s">
        <v>238</v>
      </c>
    </row>
    <row r="136">
      <c r="A136" s="80">
        <v>580.0</v>
      </c>
      <c r="B136" s="23">
        <v>4.0</v>
      </c>
      <c r="C136" s="3" t="s">
        <v>239</v>
      </c>
    </row>
    <row r="137">
      <c r="A137" s="80">
        <v>219.0</v>
      </c>
      <c r="B137" s="23">
        <v>3.0</v>
      </c>
      <c r="C137" s="3" t="s">
        <v>238</v>
      </c>
    </row>
    <row r="138">
      <c r="A138" s="80">
        <v>357.0</v>
      </c>
      <c r="B138" s="23">
        <v>3.0</v>
      </c>
      <c r="C138" s="3" t="s">
        <v>238</v>
      </c>
    </row>
    <row r="139">
      <c r="A139" s="80">
        <v>200.0</v>
      </c>
      <c r="B139" s="23">
        <v>4.0</v>
      </c>
      <c r="C139" s="3" t="s">
        <v>239</v>
      </c>
    </row>
    <row r="140">
      <c r="A140" s="80">
        <v>316.0</v>
      </c>
      <c r="B140" s="23">
        <v>3.0</v>
      </c>
      <c r="C140" s="3" t="s">
        <v>238</v>
      </c>
    </row>
    <row r="141">
      <c r="A141" s="80">
        <v>88.0</v>
      </c>
      <c r="B141" s="23">
        <v>3.0</v>
      </c>
      <c r="C141" s="3" t="s">
        <v>238</v>
      </c>
    </row>
    <row r="142">
      <c r="A142" s="80">
        <v>342.0</v>
      </c>
      <c r="B142" s="23">
        <v>4.0</v>
      </c>
      <c r="C142" s="3" t="s">
        <v>239</v>
      </c>
    </row>
    <row r="143">
      <c r="A143" s="80">
        <v>124.0</v>
      </c>
      <c r="B143" s="23">
        <v>3.0</v>
      </c>
      <c r="C143" s="3" t="s">
        <v>238</v>
      </c>
    </row>
    <row r="144">
      <c r="A144" s="80">
        <v>697.0</v>
      </c>
      <c r="B144" s="23">
        <v>3.0</v>
      </c>
      <c r="C144" s="3" t="s">
        <v>241</v>
      </c>
    </row>
    <row r="145">
      <c r="A145" s="80">
        <v>961.0</v>
      </c>
      <c r="B145" s="23">
        <v>4.0</v>
      </c>
      <c r="C145" s="3" t="s">
        <v>239</v>
      </c>
    </row>
    <row r="146">
      <c r="A146" s="80">
        <v>105.0</v>
      </c>
      <c r="B146" s="23">
        <v>4.0</v>
      </c>
      <c r="C146" s="3" t="s">
        <v>239</v>
      </c>
    </row>
    <row r="147">
      <c r="A147" s="80">
        <v>12.0</v>
      </c>
      <c r="B147" s="23">
        <v>3.0</v>
      </c>
      <c r="C147" s="3" t="s">
        <v>238</v>
      </c>
    </row>
    <row r="148">
      <c r="A148" s="80">
        <v>983.0</v>
      </c>
      <c r="B148" s="23">
        <v>4.0</v>
      </c>
      <c r="C148" s="3" t="s">
        <v>239</v>
      </c>
    </row>
    <row r="149">
      <c r="A149" s="80">
        <v>920.0</v>
      </c>
      <c r="B149" s="23">
        <v>4.0</v>
      </c>
      <c r="C149" s="3" t="s">
        <v>239</v>
      </c>
    </row>
    <row r="150">
      <c r="A150" s="80">
        <v>338.0</v>
      </c>
      <c r="B150" s="23">
        <v>3.0</v>
      </c>
      <c r="C150" s="3" t="s">
        <v>238</v>
      </c>
    </row>
    <row r="151">
      <c r="A151" s="80">
        <v>577.0</v>
      </c>
      <c r="B151" s="23">
        <v>3.0</v>
      </c>
      <c r="C151" s="3" t="s">
        <v>238</v>
      </c>
    </row>
    <row r="152">
      <c r="A152" s="80">
        <v>668.0</v>
      </c>
      <c r="B152" s="23">
        <v>3.0</v>
      </c>
      <c r="C152" s="3" t="s">
        <v>238</v>
      </c>
    </row>
    <row r="153">
      <c r="A153" s="80">
        <v>744.0</v>
      </c>
      <c r="B153" s="23">
        <v>4.0</v>
      </c>
      <c r="C153" s="3" t="s">
        <v>239</v>
      </c>
    </row>
    <row r="154">
      <c r="A154" s="80">
        <v>727.0</v>
      </c>
      <c r="B154" s="23">
        <v>3.0</v>
      </c>
      <c r="C154" s="3" t="s">
        <v>238</v>
      </c>
    </row>
    <row r="155">
      <c r="A155" s="80">
        <v>674.0</v>
      </c>
      <c r="B155" s="23">
        <v>4.0</v>
      </c>
      <c r="C155" s="3" t="s">
        <v>239</v>
      </c>
    </row>
    <row r="156">
      <c r="A156" s="80">
        <v>582.0</v>
      </c>
      <c r="B156" s="23">
        <v>3.0</v>
      </c>
      <c r="C156" s="3" t="s">
        <v>238</v>
      </c>
    </row>
    <row r="157">
      <c r="A157" s="80">
        <v>162.0</v>
      </c>
      <c r="B157" s="23">
        <v>3.0</v>
      </c>
      <c r="C157" s="3" t="s">
        <v>238</v>
      </c>
    </row>
    <row r="158">
      <c r="A158" s="80">
        <v>305.0</v>
      </c>
      <c r="B158" s="23">
        <v>3.0</v>
      </c>
      <c r="C158" s="3" t="s">
        <v>238</v>
      </c>
    </row>
    <row r="159">
      <c r="A159" s="80">
        <v>363.0</v>
      </c>
      <c r="B159" s="23">
        <v>4.0</v>
      </c>
      <c r="C159" s="3" t="s">
        <v>239</v>
      </c>
    </row>
    <row r="160">
      <c r="A160" s="80">
        <v>429.0</v>
      </c>
      <c r="B160" s="23">
        <v>4.0</v>
      </c>
      <c r="C160" s="3" t="s">
        <v>239</v>
      </c>
    </row>
    <row r="161">
      <c r="A161" s="80">
        <v>533.0</v>
      </c>
      <c r="B161" s="23">
        <v>3.0</v>
      </c>
      <c r="C161" s="3" t="s">
        <v>238</v>
      </c>
    </row>
    <row r="162">
      <c r="A162" s="80">
        <v>384.0</v>
      </c>
      <c r="B162" s="23">
        <v>4.0</v>
      </c>
      <c r="C162" s="3" t="s">
        <v>239</v>
      </c>
    </row>
    <row r="163">
      <c r="A163" s="80">
        <v>558.0</v>
      </c>
      <c r="B163" s="23">
        <v>3.0</v>
      </c>
      <c r="C163" s="3" t="s">
        <v>238</v>
      </c>
    </row>
    <row r="164">
      <c r="A164" s="80">
        <v>340.0</v>
      </c>
      <c r="B164" s="23">
        <v>3.0</v>
      </c>
      <c r="C164" s="3" t="s">
        <v>238</v>
      </c>
    </row>
    <row r="165">
      <c r="A165" s="80">
        <v>648.0</v>
      </c>
      <c r="B165" s="23">
        <v>4.0</v>
      </c>
      <c r="C165" s="3" t="s">
        <v>239</v>
      </c>
    </row>
    <row r="166">
      <c r="A166" s="80">
        <v>693.0</v>
      </c>
      <c r="B166" s="23">
        <v>4.0</v>
      </c>
      <c r="C166" s="3" t="s">
        <v>239</v>
      </c>
    </row>
    <row r="167">
      <c r="A167" s="80">
        <v>119.0</v>
      </c>
      <c r="B167" s="23">
        <v>2.0</v>
      </c>
      <c r="C167" s="3" t="s">
        <v>240</v>
      </c>
    </row>
    <row r="168">
      <c r="A168" s="80">
        <v>123.0</v>
      </c>
      <c r="B168" s="23">
        <v>2.0</v>
      </c>
      <c r="C168" s="3" t="s">
        <v>240</v>
      </c>
    </row>
    <row r="169">
      <c r="A169" s="80">
        <v>126.0</v>
      </c>
      <c r="B169" s="23">
        <v>2.0</v>
      </c>
      <c r="C169" s="3" t="s">
        <v>240</v>
      </c>
    </row>
    <row r="170">
      <c r="A170" s="80">
        <v>231.0</v>
      </c>
      <c r="B170" s="23">
        <v>2.0</v>
      </c>
      <c r="C170" s="3" t="s">
        <v>240</v>
      </c>
    </row>
    <row r="171">
      <c r="A171" s="80">
        <v>891.0</v>
      </c>
      <c r="B171" s="23">
        <v>2.0</v>
      </c>
      <c r="C171" s="3" t="s">
        <v>240</v>
      </c>
    </row>
    <row r="172">
      <c r="A172" s="80">
        <v>631.0</v>
      </c>
      <c r="B172" s="23">
        <v>2.0</v>
      </c>
      <c r="C172" s="3" t="s">
        <v>240</v>
      </c>
    </row>
    <row r="173">
      <c r="A173" s="80">
        <v>925.0</v>
      </c>
      <c r="B173" s="23">
        <v>2.0</v>
      </c>
      <c r="C173" s="3" t="s">
        <v>240</v>
      </c>
    </row>
    <row r="174">
      <c r="A174" s="80">
        <v>136.0</v>
      </c>
      <c r="B174" s="23">
        <v>2.0</v>
      </c>
      <c r="C174" s="3" t="s">
        <v>240</v>
      </c>
    </row>
    <row r="175">
      <c r="A175" s="80">
        <v>960.0</v>
      </c>
      <c r="B175" s="23">
        <v>2.0</v>
      </c>
      <c r="C175" s="3" t="s">
        <v>240</v>
      </c>
    </row>
    <row r="176">
      <c r="A176" s="80">
        <v>250.0</v>
      </c>
      <c r="B176" s="23">
        <v>10.0</v>
      </c>
      <c r="C176" s="3" t="s">
        <v>242</v>
      </c>
    </row>
    <row r="177">
      <c r="A177" s="80">
        <v>156.0</v>
      </c>
      <c r="B177" s="23">
        <v>2.0</v>
      </c>
      <c r="C177" s="3" t="s">
        <v>240</v>
      </c>
    </row>
    <row r="178">
      <c r="A178" s="80">
        <v>29.0</v>
      </c>
      <c r="B178" s="23">
        <v>2.0</v>
      </c>
      <c r="C178" s="3" t="s">
        <v>240</v>
      </c>
    </row>
    <row r="179">
      <c r="A179" s="80">
        <v>940.0</v>
      </c>
      <c r="B179" s="23">
        <v>2.0</v>
      </c>
      <c r="C179" s="3" t="s">
        <v>240</v>
      </c>
    </row>
    <row r="180">
      <c r="A180" s="80">
        <v>377.0</v>
      </c>
      <c r="B180" s="23">
        <v>2.0</v>
      </c>
      <c r="C180" s="3" t="s">
        <v>240</v>
      </c>
    </row>
    <row r="181">
      <c r="A181" s="80">
        <v>913.0</v>
      </c>
      <c r="B181" s="23">
        <v>2.0</v>
      </c>
      <c r="C181" s="3" t="s">
        <v>240</v>
      </c>
    </row>
    <row r="182">
      <c r="A182" s="80">
        <v>538.0</v>
      </c>
      <c r="B182" s="23">
        <v>2.0</v>
      </c>
      <c r="C182" s="3" t="s">
        <v>240</v>
      </c>
    </row>
    <row r="183">
      <c r="A183" s="80">
        <v>142.0</v>
      </c>
      <c r="B183" s="23">
        <v>2.0</v>
      </c>
      <c r="C183" s="3" t="s">
        <v>240</v>
      </c>
    </row>
    <row r="184">
      <c r="A184" s="80">
        <v>963.0</v>
      </c>
      <c r="B184" s="23">
        <v>2.0</v>
      </c>
      <c r="C184" s="3" t="s">
        <v>240</v>
      </c>
    </row>
    <row r="185">
      <c r="A185" s="80">
        <v>829.0</v>
      </c>
      <c r="B185" s="23">
        <v>2.0</v>
      </c>
      <c r="C185" s="3" t="s">
        <v>240</v>
      </c>
    </row>
    <row r="186">
      <c r="A186" s="80">
        <v>400.0</v>
      </c>
      <c r="B186" s="23">
        <v>2.0</v>
      </c>
      <c r="C186" s="3" t="s">
        <v>240</v>
      </c>
    </row>
    <row r="187">
      <c r="A187" s="80">
        <v>650.0</v>
      </c>
      <c r="B187" s="23">
        <v>2.0</v>
      </c>
      <c r="C187" s="3" t="s">
        <v>240</v>
      </c>
    </row>
    <row r="188">
      <c r="A188" s="80">
        <v>70.0</v>
      </c>
      <c r="B188" s="23">
        <v>2.0</v>
      </c>
      <c r="C188" s="3" t="s">
        <v>240</v>
      </c>
    </row>
    <row r="189">
      <c r="A189" s="80">
        <v>207.0</v>
      </c>
      <c r="B189" s="23">
        <v>2.0</v>
      </c>
      <c r="C189" s="3" t="s">
        <v>240</v>
      </c>
    </row>
    <row r="190">
      <c r="A190" s="80">
        <v>378.0</v>
      </c>
      <c r="B190" s="23">
        <v>2.0</v>
      </c>
      <c r="C190" s="3" t="s">
        <v>240</v>
      </c>
    </row>
    <row r="191">
      <c r="A191" s="80">
        <v>392.0</v>
      </c>
      <c r="B191" s="23">
        <v>2.0</v>
      </c>
      <c r="C191" s="3" t="s">
        <v>240</v>
      </c>
    </row>
    <row r="192">
      <c r="A192" s="80">
        <v>827.0</v>
      </c>
      <c r="B192" s="23">
        <v>2.0</v>
      </c>
      <c r="C192" s="3" t="s">
        <v>240</v>
      </c>
    </row>
    <row r="193">
      <c r="A193" s="80">
        <v>855.0</v>
      </c>
      <c r="B193" s="23">
        <v>2.0</v>
      </c>
      <c r="C193" s="3" t="s">
        <v>240</v>
      </c>
    </row>
    <row r="194">
      <c r="A194" s="80">
        <v>804.0</v>
      </c>
      <c r="B194" s="23">
        <v>2.0</v>
      </c>
      <c r="C194" s="3" t="s">
        <v>240</v>
      </c>
    </row>
    <row r="195">
      <c r="A195" s="80">
        <v>186.0</v>
      </c>
      <c r="B195" s="23">
        <v>2.0</v>
      </c>
      <c r="C195" s="3" t="s">
        <v>240</v>
      </c>
    </row>
    <row r="196">
      <c r="A196" s="80">
        <v>273.0</v>
      </c>
      <c r="B196" s="23">
        <v>2.0</v>
      </c>
      <c r="C196" s="3" t="s">
        <v>240</v>
      </c>
    </row>
    <row r="197">
      <c r="A197" s="80">
        <v>330.0</v>
      </c>
      <c r="B197" s="23">
        <v>2.0</v>
      </c>
      <c r="C197" s="3" t="s">
        <v>240</v>
      </c>
    </row>
    <row r="198">
      <c r="A198" s="80">
        <v>261.0</v>
      </c>
      <c r="B198" s="23">
        <v>2.0</v>
      </c>
      <c r="C198" s="3" t="s">
        <v>240</v>
      </c>
    </row>
    <row r="199">
      <c r="A199" s="80">
        <v>552.0</v>
      </c>
      <c r="B199" s="23">
        <v>2.0</v>
      </c>
      <c r="C199" s="3" t="s">
        <v>240</v>
      </c>
    </row>
    <row r="200">
      <c r="A200" s="80">
        <v>337.0</v>
      </c>
      <c r="B200" s="23">
        <v>2.0</v>
      </c>
      <c r="C200" s="3" t="s">
        <v>240</v>
      </c>
    </row>
    <row r="201">
      <c r="A201" s="80">
        <v>199.0</v>
      </c>
      <c r="B201" s="23">
        <v>2.0</v>
      </c>
      <c r="C201" s="3" t="s">
        <v>240</v>
      </c>
    </row>
    <row r="202">
      <c r="A202" s="80">
        <v>1000.0</v>
      </c>
      <c r="B202" s="23">
        <v>2.0</v>
      </c>
      <c r="C202" s="3" t="s">
        <v>240</v>
      </c>
    </row>
    <row r="203">
      <c r="A203" s="80">
        <v>665.0</v>
      </c>
      <c r="B203" s="23">
        <v>4.0</v>
      </c>
      <c r="C203" s="3" t="s">
        <v>239</v>
      </c>
    </row>
    <row r="204">
      <c r="A204" s="80">
        <v>615.0</v>
      </c>
      <c r="B204" s="23">
        <v>4.0</v>
      </c>
      <c r="C204" s="3" t="s">
        <v>239</v>
      </c>
    </row>
    <row r="205">
      <c r="A205" s="80">
        <v>750.0</v>
      </c>
      <c r="B205" s="23">
        <v>4.0</v>
      </c>
      <c r="C205" s="3" t="s">
        <v>239</v>
      </c>
    </row>
    <row r="206">
      <c r="A206" s="80">
        <v>457.0</v>
      </c>
      <c r="B206" s="23">
        <v>4.0</v>
      </c>
      <c r="C206" s="3" t="s">
        <v>239</v>
      </c>
    </row>
    <row r="207">
      <c r="A207" s="80">
        <v>594.0</v>
      </c>
      <c r="B207" s="23">
        <v>4.0</v>
      </c>
      <c r="C207" s="3" t="s">
        <v>239</v>
      </c>
    </row>
    <row r="208">
      <c r="A208" s="80">
        <v>416.0</v>
      </c>
      <c r="B208" s="23">
        <v>4.0</v>
      </c>
      <c r="C208" s="3" t="s">
        <v>239</v>
      </c>
    </row>
    <row r="209">
      <c r="A209" s="80">
        <v>185.0</v>
      </c>
      <c r="B209" s="23">
        <v>4.0</v>
      </c>
      <c r="C209" s="3" t="s">
        <v>239</v>
      </c>
    </row>
    <row r="210">
      <c r="A210" s="80">
        <v>520.0</v>
      </c>
      <c r="B210" s="23">
        <v>4.0</v>
      </c>
      <c r="C210" s="3" t="s">
        <v>239</v>
      </c>
    </row>
    <row r="211">
      <c r="A211" s="80">
        <v>934.0</v>
      </c>
      <c r="B211" s="23">
        <v>2.0</v>
      </c>
      <c r="C211" s="3" t="s">
        <v>240</v>
      </c>
    </row>
    <row r="212">
      <c r="A212" s="80">
        <v>244.0</v>
      </c>
      <c r="B212" s="23">
        <v>2.0</v>
      </c>
      <c r="C212" s="3" t="s">
        <v>240</v>
      </c>
    </row>
    <row r="213">
      <c r="A213" s="80">
        <v>770.0</v>
      </c>
      <c r="B213" s="23">
        <v>2.0</v>
      </c>
      <c r="C213" s="3" t="s">
        <v>240</v>
      </c>
    </row>
    <row r="214">
      <c r="A214" s="80">
        <v>758.0</v>
      </c>
      <c r="B214" s="23">
        <v>2.0</v>
      </c>
      <c r="C214" s="3" t="s">
        <v>240</v>
      </c>
    </row>
    <row r="215">
      <c r="A215" s="80">
        <v>355.0</v>
      </c>
      <c r="B215" s="23">
        <v>2.0</v>
      </c>
      <c r="C215" s="3" t="s">
        <v>240</v>
      </c>
    </row>
    <row r="216">
      <c r="A216" s="80">
        <v>243.0</v>
      </c>
      <c r="B216" s="23">
        <v>2.0</v>
      </c>
      <c r="C216" s="3" t="s">
        <v>240</v>
      </c>
    </row>
    <row r="217">
      <c r="A217" s="80">
        <v>368.0</v>
      </c>
      <c r="B217" s="23">
        <v>2.0</v>
      </c>
      <c r="C217" s="3" t="s">
        <v>240</v>
      </c>
    </row>
    <row r="218">
      <c r="A218" s="80">
        <v>374.0</v>
      </c>
      <c r="B218" s="23">
        <v>2.0</v>
      </c>
      <c r="C218" s="3" t="s">
        <v>240</v>
      </c>
    </row>
    <row r="219">
      <c r="A219" s="80">
        <v>765.0</v>
      </c>
      <c r="B219" s="23">
        <v>2.0</v>
      </c>
      <c r="C219" s="3" t="s">
        <v>240</v>
      </c>
    </row>
    <row r="220">
      <c r="A220" s="80">
        <v>354.0</v>
      </c>
      <c r="B220" s="23">
        <v>2.0</v>
      </c>
      <c r="C220" s="3" t="s">
        <v>240</v>
      </c>
    </row>
    <row r="221">
      <c r="A221" s="80">
        <v>14.0</v>
      </c>
      <c r="B221" s="23">
        <v>2.0</v>
      </c>
      <c r="C221" s="3" t="s">
        <v>240</v>
      </c>
    </row>
    <row r="222">
      <c r="A222" s="80">
        <v>132.0</v>
      </c>
      <c r="B222" s="23">
        <v>2.0</v>
      </c>
      <c r="C222" s="3" t="s">
        <v>240</v>
      </c>
    </row>
    <row r="223">
      <c r="A223" s="80">
        <v>134.0</v>
      </c>
      <c r="B223" s="23">
        <v>2.0</v>
      </c>
      <c r="C223" s="3" t="s">
        <v>240</v>
      </c>
    </row>
    <row r="224">
      <c r="A224" s="80">
        <v>191.0</v>
      </c>
      <c r="B224" s="23">
        <v>2.0</v>
      </c>
      <c r="C224" s="3" t="s">
        <v>240</v>
      </c>
    </row>
    <row r="225">
      <c r="A225" s="80">
        <v>281.0</v>
      </c>
      <c r="B225" s="23">
        <v>2.0</v>
      </c>
      <c r="C225" s="3" t="s">
        <v>240</v>
      </c>
    </row>
    <row r="226">
      <c r="A226" s="80">
        <v>345.0</v>
      </c>
      <c r="B226" s="23">
        <v>2.0</v>
      </c>
      <c r="C226" s="3" t="s">
        <v>240</v>
      </c>
    </row>
    <row r="227">
      <c r="A227" s="80">
        <v>791.0</v>
      </c>
      <c r="B227" s="23">
        <v>2.0</v>
      </c>
      <c r="C227" s="3" t="s">
        <v>240</v>
      </c>
    </row>
    <row r="228">
      <c r="A228" s="80">
        <v>47.0</v>
      </c>
      <c r="B228" s="23">
        <v>2.0</v>
      </c>
      <c r="C228" s="3" t="s">
        <v>240</v>
      </c>
    </row>
    <row r="229">
      <c r="A229" s="80">
        <v>901.0</v>
      </c>
      <c r="B229" s="23">
        <v>2.0</v>
      </c>
      <c r="C229" s="3" t="s">
        <v>240</v>
      </c>
    </row>
    <row r="230">
      <c r="A230" s="80">
        <v>570.0</v>
      </c>
      <c r="B230" s="23">
        <v>2.0</v>
      </c>
      <c r="C230" s="3" t="s">
        <v>240</v>
      </c>
    </row>
    <row r="231">
      <c r="A231" s="80">
        <v>390.0</v>
      </c>
      <c r="B231" s="23">
        <v>2.0</v>
      </c>
      <c r="C231" s="3" t="s">
        <v>240</v>
      </c>
    </row>
    <row r="232">
      <c r="A232" s="80">
        <v>955.0</v>
      </c>
      <c r="B232" s="23">
        <v>2.0</v>
      </c>
      <c r="C232" s="3" t="s">
        <v>240</v>
      </c>
    </row>
    <row r="233">
      <c r="A233" s="80">
        <v>726.0</v>
      </c>
      <c r="B233" s="23">
        <v>4.0</v>
      </c>
      <c r="C233" s="3" t="s">
        <v>239</v>
      </c>
    </row>
    <row r="234">
      <c r="A234" s="80">
        <v>622.0</v>
      </c>
      <c r="B234" s="23">
        <v>4.0</v>
      </c>
      <c r="C234" s="3" t="s">
        <v>239</v>
      </c>
    </row>
    <row r="235">
      <c r="A235" s="80">
        <v>216.0</v>
      </c>
      <c r="B235" s="23">
        <v>4.0</v>
      </c>
      <c r="C235" s="3" t="s">
        <v>239</v>
      </c>
    </row>
    <row r="236">
      <c r="A236" s="80">
        <v>463.0</v>
      </c>
      <c r="B236" s="23">
        <v>4.0</v>
      </c>
      <c r="C236" s="3" t="s">
        <v>239</v>
      </c>
    </row>
    <row r="237">
      <c r="A237" s="80">
        <v>58.0</v>
      </c>
      <c r="B237" s="23">
        <v>4.0</v>
      </c>
      <c r="C237" s="3" t="s">
        <v>239</v>
      </c>
    </row>
    <row r="238">
      <c r="A238" s="80">
        <v>931.0</v>
      </c>
      <c r="B238" s="23">
        <v>4.0</v>
      </c>
      <c r="C238" s="3" t="s">
        <v>239</v>
      </c>
    </row>
    <row r="239">
      <c r="A239" s="80">
        <v>432.0</v>
      </c>
      <c r="B239" s="23">
        <v>4.0</v>
      </c>
      <c r="C239" s="3" t="s">
        <v>239</v>
      </c>
    </row>
    <row r="240">
      <c r="A240" s="80">
        <v>471.0</v>
      </c>
      <c r="B240" s="23">
        <v>4.0</v>
      </c>
      <c r="C240" s="3" t="s">
        <v>239</v>
      </c>
    </row>
    <row r="241">
      <c r="A241" s="80">
        <v>514.0</v>
      </c>
      <c r="B241" s="23">
        <v>4.0</v>
      </c>
      <c r="C241" s="3" t="s">
        <v>239</v>
      </c>
    </row>
    <row r="242">
      <c r="A242" s="80">
        <v>246.0</v>
      </c>
      <c r="B242" s="23">
        <v>4.0</v>
      </c>
      <c r="C242" s="3" t="s">
        <v>239</v>
      </c>
    </row>
    <row r="243">
      <c r="A243" s="80">
        <v>194.0</v>
      </c>
      <c r="B243" s="23">
        <v>4.0</v>
      </c>
      <c r="C243" s="3" t="s">
        <v>239</v>
      </c>
    </row>
    <row r="244">
      <c r="A244" s="80">
        <v>686.0</v>
      </c>
      <c r="B244" s="23">
        <v>4.0</v>
      </c>
      <c r="C244" s="3" t="s">
        <v>239</v>
      </c>
    </row>
    <row r="245">
      <c r="A245" s="80">
        <v>748.0</v>
      </c>
      <c r="B245" s="23">
        <v>4.0</v>
      </c>
      <c r="C245" s="3" t="s">
        <v>239</v>
      </c>
    </row>
    <row r="246">
      <c r="A246" s="80">
        <v>547.0</v>
      </c>
      <c r="B246" s="23">
        <v>4.0</v>
      </c>
      <c r="C246" s="3" t="s">
        <v>239</v>
      </c>
    </row>
    <row r="247">
      <c r="A247" s="80">
        <v>335.0</v>
      </c>
      <c r="B247" s="23">
        <v>4.0</v>
      </c>
      <c r="C247" s="3" t="s">
        <v>239</v>
      </c>
    </row>
    <row r="248">
      <c r="A248" s="80">
        <v>312.0</v>
      </c>
      <c r="B248" s="23">
        <v>4.0</v>
      </c>
      <c r="C248" s="3" t="s">
        <v>239</v>
      </c>
    </row>
    <row r="249">
      <c r="A249" s="80">
        <v>408.0</v>
      </c>
      <c r="B249" s="23">
        <v>4.0</v>
      </c>
      <c r="C249" s="3" t="s">
        <v>239</v>
      </c>
    </row>
    <row r="250">
      <c r="A250" s="80">
        <v>115.0</v>
      </c>
      <c r="B250" s="23">
        <v>4.0</v>
      </c>
      <c r="C250" s="3" t="s">
        <v>239</v>
      </c>
    </row>
    <row r="251">
      <c r="A251" s="80">
        <v>431.0</v>
      </c>
      <c r="B251" s="23">
        <v>4.0</v>
      </c>
      <c r="C251" s="3" t="s">
        <v>239</v>
      </c>
    </row>
    <row r="252">
      <c r="A252" s="80">
        <v>114.0</v>
      </c>
      <c r="B252" s="23">
        <v>4.0</v>
      </c>
      <c r="C252" s="3" t="s">
        <v>239</v>
      </c>
    </row>
    <row r="253">
      <c r="A253" s="80">
        <v>633.0</v>
      </c>
      <c r="B253" s="23">
        <v>4.0</v>
      </c>
      <c r="C253" s="3" t="s">
        <v>239</v>
      </c>
    </row>
    <row r="254">
      <c r="A254" s="80">
        <v>391.0</v>
      </c>
      <c r="B254" s="23">
        <v>4.0</v>
      </c>
      <c r="C254" s="3" t="s">
        <v>239</v>
      </c>
    </row>
    <row r="255">
      <c r="A255" s="80">
        <v>617.0</v>
      </c>
      <c r="B255" s="23">
        <v>4.0</v>
      </c>
      <c r="C255" s="3" t="s">
        <v>239</v>
      </c>
    </row>
    <row r="256">
      <c r="A256" s="80">
        <v>409.0</v>
      </c>
      <c r="B256" s="23">
        <v>4.0</v>
      </c>
      <c r="C256" s="3" t="s">
        <v>239</v>
      </c>
    </row>
    <row r="257">
      <c r="A257" s="80">
        <v>817.0</v>
      </c>
      <c r="B257" s="23">
        <v>4.0</v>
      </c>
      <c r="C257" s="3" t="s">
        <v>239</v>
      </c>
    </row>
    <row r="258">
      <c r="A258" s="80">
        <v>289.0</v>
      </c>
      <c r="B258" s="23">
        <v>4.0</v>
      </c>
      <c r="C258" s="3" t="s">
        <v>239</v>
      </c>
    </row>
    <row r="259">
      <c r="A259" s="80">
        <v>822.0</v>
      </c>
      <c r="B259" s="23"/>
      <c r="C259" s="3" t="s">
        <v>239</v>
      </c>
    </row>
    <row r="260">
      <c r="A260" s="80">
        <v>492.0</v>
      </c>
      <c r="B260" s="23">
        <v>4.0</v>
      </c>
      <c r="C260" s="3" t="s">
        <v>239</v>
      </c>
    </row>
    <row r="261">
      <c r="A261" s="80">
        <v>314.0</v>
      </c>
      <c r="B261" s="23">
        <v>4.0</v>
      </c>
      <c r="C261" s="3" t="s">
        <v>239</v>
      </c>
    </row>
    <row r="262">
      <c r="A262" s="80">
        <v>283.0</v>
      </c>
      <c r="B262" s="23">
        <v>4.0</v>
      </c>
      <c r="C262" s="3" t="s">
        <v>239</v>
      </c>
    </row>
    <row r="263">
      <c r="A263" s="80">
        <v>690.0</v>
      </c>
      <c r="B263" s="23">
        <v>4.0</v>
      </c>
      <c r="C263" s="3" t="s">
        <v>239</v>
      </c>
    </row>
    <row r="264">
      <c r="A264" s="80">
        <v>240.0</v>
      </c>
      <c r="B264" s="23">
        <v>4.0</v>
      </c>
      <c r="C264" s="3" t="s">
        <v>239</v>
      </c>
    </row>
    <row r="265">
      <c r="A265" s="80">
        <v>324.0</v>
      </c>
      <c r="B265" s="23">
        <v>4.0</v>
      </c>
      <c r="C265" s="3" t="s">
        <v>239</v>
      </c>
    </row>
    <row r="266">
      <c r="A266" s="80">
        <v>443.0</v>
      </c>
      <c r="B266" s="23">
        <v>4.0</v>
      </c>
      <c r="C266" s="3" t="s">
        <v>239</v>
      </c>
    </row>
    <row r="267">
      <c r="A267" s="80">
        <v>831.0</v>
      </c>
      <c r="B267" s="23">
        <v>4.0</v>
      </c>
      <c r="C267" s="3" t="s">
        <v>239</v>
      </c>
    </row>
    <row r="268">
      <c r="A268" s="80">
        <v>171.0</v>
      </c>
      <c r="B268" s="23">
        <v>4.0</v>
      </c>
      <c r="C268" s="3" t="s">
        <v>239</v>
      </c>
    </row>
    <row r="269">
      <c r="A269" s="80">
        <v>851.0</v>
      </c>
      <c r="B269" s="23">
        <v>4.0</v>
      </c>
      <c r="C269" s="3" t="s">
        <v>239</v>
      </c>
    </row>
    <row r="270">
      <c r="A270" s="80">
        <v>50.0</v>
      </c>
      <c r="B270" s="23">
        <v>4.0</v>
      </c>
      <c r="C270" s="3" t="s">
        <v>239</v>
      </c>
    </row>
    <row r="271">
      <c r="A271" s="80">
        <v>610.0</v>
      </c>
      <c r="B271" s="23">
        <v>4.0</v>
      </c>
      <c r="C271" s="3" t="s">
        <v>239</v>
      </c>
    </row>
    <row r="272">
      <c r="A272" s="80">
        <v>323.0</v>
      </c>
      <c r="B272" s="23">
        <v>4.0</v>
      </c>
      <c r="C272" s="3" t="s">
        <v>239</v>
      </c>
    </row>
    <row r="273">
      <c r="A273" s="80">
        <v>155.0</v>
      </c>
      <c r="B273" s="23">
        <v>4.0</v>
      </c>
      <c r="C273" s="3" t="s">
        <v>239</v>
      </c>
    </row>
    <row r="274">
      <c r="A274" s="80">
        <v>576.0</v>
      </c>
      <c r="B274" s="23">
        <v>4.0</v>
      </c>
      <c r="C274" s="3" t="s">
        <v>239</v>
      </c>
    </row>
    <row r="275">
      <c r="A275" s="80">
        <v>998.0</v>
      </c>
      <c r="B275" s="23">
        <v>4.0</v>
      </c>
      <c r="C275" s="3" t="s">
        <v>239</v>
      </c>
    </row>
    <row r="276">
      <c r="A276" s="80">
        <v>59.0</v>
      </c>
      <c r="B276" s="23">
        <v>4.0</v>
      </c>
      <c r="C276" s="3" t="s">
        <v>239</v>
      </c>
    </row>
    <row r="277">
      <c r="A277" s="80">
        <v>380.0</v>
      </c>
      <c r="B277" s="23">
        <v>4.0</v>
      </c>
      <c r="C277" s="3" t="s">
        <v>239</v>
      </c>
    </row>
    <row r="278">
      <c r="A278" s="80">
        <v>307.0</v>
      </c>
      <c r="B278" s="23">
        <v>4.0</v>
      </c>
      <c r="C278" s="3" t="s">
        <v>239</v>
      </c>
    </row>
    <row r="279">
      <c r="A279" s="80">
        <v>857.0</v>
      </c>
      <c r="B279" s="23">
        <v>2.0</v>
      </c>
      <c r="C279" s="3" t="s">
        <v>240</v>
      </c>
    </row>
    <row r="280">
      <c r="A280" s="80">
        <v>331.0</v>
      </c>
      <c r="B280" s="23">
        <v>2.0</v>
      </c>
      <c r="C280" s="3" t="s">
        <v>240</v>
      </c>
    </row>
    <row r="281">
      <c r="A281" s="80">
        <v>455.0</v>
      </c>
      <c r="B281" s="23">
        <v>2.0</v>
      </c>
      <c r="C281" s="3" t="s">
        <v>240</v>
      </c>
    </row>
    <row r="282">
      <c r="A282" s="80">
        <v>262.0</v>
      </c>
      <c r="B282" s="23">
        <v>2.0</v>
      </c>
      <c r="C282" s="3" t="s">
        <v>240</v>
      </c>
    </row>
    <row r="283">
      <c r="A283" s="80">
        <v>488.0</v>
      </c>
      <c r="B283" s="23">
        <v>2.0</v>
      </c>
      <c r="C283" s="3" t="s">
        <v>240</v>
      </c>
    </row>
    <row r="284">
      <c r="A284" s="80">
        <v>977.0</v>
      </c>
      <c r="B284" s="23">
        <v>2.0</v>
      </c>
      <c r="C284" s="3" t="s">
        <v>240</v>
      </c>
    </row>
    <row r="285">
      <c r="A285" s="80">
        <v>673.0</v>
      </c>
      <c r="B285" s="23">
        <v>2.0</v>
      </c>
      <c r="C285" s="3" t="s">
        <v>240</v>
      </c>
    </row>
    <row r="286">
      <c r="A286" s="80">
        <v>9.0</v>
      </c>
      <c r="B286" s="23">
        <v>2.0</v>
      </c>
      <c r="C286" s="3" t="s">
        <v>240</v>
      </c>
    </row>
    <row r="287">
      <c r="A287" s="80">
        <v>40.0</v>
      </c>
      <c r="B287" s="23">
        <v>3.0</v>
      </c>
      <c r="C287" s="3" t="s">
        <v>238</v>
      </c>
    </row>
    <row r="288">
      <c r="A288" s="80">
        <v>522.0</v>
      </c>
      <c r="B288" s="23">
        <v>3.0</v>
      </c>
      <c r="C288" s="3" t="s">
        <v>238</v>
      </c>
    </row>
    <row r="289">
      <c r="A289" s="80">
        <v>812.0</v>
      </c>
      <c r="B289" s="23">
        <v>3.0</v>
      </c>
      <c r="C289" s="3" t="s">
        <v>238</v>
      </c>
    </row>
    <row r="290">
      <c r="A290" s="80">
        <v>933.0</v>
      </c>
      <c r="B290" s="23">
        <v>3.0</v>
      </c>
      <c r="C290" s="3" t="s">
        <v>238</v>
      </c>
    </row>
    <row r="291">
      <c r="A291" s="80">
        <v>605.0</v>
      </c>
      <c r="B291" s="23">
        <v>3.0</v>
      </c>
      <c r="C291" s="3" t="s">
        <v>238</v>
      </c>
    </row>
    <row r="292">
      <c r="A292" s="80">
        <v>437.0</v>
      </c>
      <c r="B292" s="23">
        <v>3.0</v>
      </c>
      <c r="C292" s="3" t="s">
        <v>238</v>
      </c>
    </row>
    <row r="293">
      <c r="A293" s="80">
        <v>410.0</v>
      </c>
      <c r="B293" s="23">
        <v>3.0</v>
      </c>
      <c r="C293" s="3" t="s">
        <v>238</v>
      </c>
    </row>
    <row r="294">
      <c r="A294" s="80">
        <v>975.0</v>
      </c>
      <c r="B294" s="23">
        <v>3.0</v>
      </c>
      <c r="C294" s="3" t="s">
        <v>238</v>
      </c>
    </row>
    <row r="295">
      <c r="A295" s="80">
        <v>660.0</v>
      </c>
      <c r="B295" s="23">
        <v>3.0</v>
      </c>
      <c r="C295" s="3" t="s">
        <v>238</v>
      </c>
    </row>
    <row r="296">
      <c r="A296" s="80">
        <v>774.0</v>
      </c>
      <c r="B296" s="23">
        <v>3.0</v>
      </c>
      <c r="C296" s="3" t="s">
        <v>238</v>
      </c>
    </row>
    <row r="297">
      <c r="A297" s="80">
        <v>984.0</v>
      </c>
      <c r="B297" s="23">
        <v>3.0</v>
      </c>
      <c r="C297" s="3" t="s">
        <v>238</v>
      </c>
    </row>
    <row r="298">
      <c r="A298" s="80">
        <v>351.0</v>
      </c>
      <c r="B298" s="23">
        <v>3.0</v>
      </c>
      <c r="C298" s="3" t="s">
        <v>238</v>
      </c>
    </row>
    <row r="299">
      <c r="A299" s="80">
        <v>864.0</v>
      </c>
      <c r="B299" s="23">
        <v>3.0</v>
      </c>
      <c r="C299" s="3" t="s">
        <v>238</v>
      </c>
    </row>
    <row r="300">
      <c r="A300" s="80">
        <v>738.0</v>
      </c>
      <c r="B300" s="23">
        <v>3.0</v>
      </c>
      <c r="C300" s="3" t="s">
        <v>241</v>
      </c>
    </row>
    <row r="301">
      <c r="A301" s="80">
        <v>658.0</v>
      </c>
      <c r="B301" s="23">
        <v>3.0</v>
      </c>
      <c r="C301" s="3" t="s">
        <v>238</v>
      </c>
    </row>
    <row r="302">
      <c r="A302" s="80">
        <v>830.0</v>
      </c>
      <c r="B302" s="23">
        <v>3.0</v>
      </c>
      <c r="C302" s="3" t="s">
        <v>241</v>
      </c>
    </row>
    <row r="303">
      <c r="A303" s="80">
        <v>491.0</v>
      </c>
      <c r="B303" s="23">
        <v>3.0</v>
      </c>
      <c r="C303" s="3" t="s">
        <v>238</v>
      </c>
    </row>
    <row r="304">
      <c r="A304" s="80">
        <v>2.0</v>
      </c>
      <c r="B304" s="23">
        <v>3.0</v>
      </c>
      <c r="C304" s="3" t="s">
        <v>238</v>
      </c>
    </row>
    <row r="305">
      <c r="A305" s="80">
        <v>356.0</v>
      </c>
      <c r="B305" s="23">
        <v>3.0</v>
      </c>
      <c r="C305" s="3" t="s">
        <v>238</v>
      </c>
    </row>
    <row r="306">
      <c r="A306" s="80">
        <v>592.0</v>
      </c>
      <c r="B306" s="23">
        <v>3.0</v>
      </c>
      <c r="C306" s="3" t="s">
        <v>238</v>
      </c>
    </row>
    <row r="307">
      <c r="A307" s="80">
        <v>560.0</v>
      </c>
      <c r="B307" s="23">
        <v>3.0</v>
      </c>
      <c r="C307" s="3" t="s">
        <v>238</v>
      </c>
    </row>
    <row r="308">
      <c r="A308" s="80">
        <v>112.0</v>
      </c>
      <c r="B308" s="23">
        <v>3.0</v>
      </c>
      <c r="C308" s="3" t="s">
        <v>238</v>
      </c>
    </row>
    <row r="309">
      <c r="A309" s="80">
        <v>869.0</v>
      </c>
      <c r="B309" s="23">
        <v>4.0</v>
      </c>
      <c r="C309" s="3" t="s">
        <v>239</v>
      </c>
    </row>
    <row r="310">
      <c r="A310" s="80">
        <v>974.0</v>
      </c>
      <c r="B310" s="23">
        <v>4.0</v>
      </c>
      <c r="C310" s="3" t="s">
        <v>239</v>
      </c>
    </row>
    <row r="311">
      <c r="A311" s="80">
        <v>769.0</v>
      </c>
      <c r="B311" s="23">
        <v>4.0</v>
      </c>
      <c r="C311" s="3" t="s">
        <v>239</v>
      </c>
    </row>
    <row r="312">
      <c r="A312" s="80">
        <v>125.0</v>
      </c>
      <c r="B312" s="23">
        <v>2.0</v>
      </c>
      <c r="C312" s="3" t="s">
        <v>240</v>
      </c>
    </row>
    <row r="313">
      <c r="A313" s="80">
        <v>680.0</v>
      </c>
      <c r="B313" s="23">
        <v>2.0</v>
      </c>
      <c r="C313" s="3" t="s">
        <v>240</v>
      </c>
    </row>
    <row r="314">
      <c r="A314" s="80">
        <v>229.0</v>
      </c>
      <c r="B314" s="23">
        <v>10.0</v>
      </c>
      <c r="C314" s="3" t="s">
        <v>244</v>
      </c>
    </row>
    <row r="315">
      <c r="A315" s="80">
        <v>174.0</v>
      </c>
      <c r="B315" s="23">
        <v>4.0</v>
      </c>
      <c r="C315" s="3" t="s">
        <v>239</v>
      </c>
    </row>
    <row r="316">
      <c r="A316" s="80">
        <v>27.0</v>
      </c>
      <c r="B316" s="23">
        <v>4.0</v>
      </c>
      <c r="C316" s="3" t="s">
        <v>239</v>
      </c>
    </row>
    <row r="317">
      <c r="A317" s="80">
        <v>28.0</v>
      </c>
      <c r="B317" s="23">
        <v>4.0</v>
      </c>
      <c r="C317" s="3" t="s">
        <v>239</v>
      </c>
    </row>
    <row r="318">
      <c r="A318" s="80">
        <v>587.0</v>
      </c>
      <c r="B318" s="23">
        <v>4.0</v>
      </c>
      <c r="C318" s="3" t="s">
        <v>239</v>
      </c>
    </row>
    <row r="319">
      <c r="A319" s="80">
        <v>322.0</v>
      </c>
      <c r="B319" s="23">
        <v>12.0</v>
      </c>
      <c r="C319" s="3" t="s">
        <v>237</v>
      </c>
    </row>
    <row r="320">
      <c r="A320" s="80">
        <v>847.0</v>
      </c>
      <c r="B320" s="23">
        <v>12.0</v>
      </c>
      <c r="C320" s="3" t="s">
        <v>237</v>
      </c>
    </row>
    <row r="321">
      <c r="A321" s="80">
        <v>367.0</v>
      </c>
      <c r="B321" s="23">
        <v>12.0</v>
      </c>
      <c r="C321" s="3" t="s">
        <v>237</v>
      </c>
    </row>
    <row r="322">
      <c r="A322" s="80">
        <v>198.0</v>
      </c>
      <c r="B322" s="23">
        <v>12.0</v>
      </c>
      <c r="C322" s="3" t="s">
        <v>237</v>
      </c>
    </row>
    <row r="323">
      <c r="A323" s="80">
        <v>794.0</v>
      </c>
      <c r="B323" s="23">
        <v>12.0</v>
      </c>
      <c r="C323" s="3" t="s">
        <v>237</v>
      </c>
    </row>
    <row r="324">
      <c r="A324" s="80">
        <v>407.0</v>
      </c>
      <c r="B324" s="23">
        <v>12.0</v>
      </c>
      <c r="C324" s="3" t="s">
        <v>237</v>
      </c>
    </row>
    <row r="325">
      <c r="A325" s="80">
        <v>487.0</v>
      </c>
      <c r="B325" s="23">
        <v>4.0</v>
      </c>
      <c r="C325" s="3" t="s">
        <v>239</v>
      </c>
    </row>
    <row r="326">
      <c r="A326" s="80">
        <v>285.0</v>
      </c>
      <c r="B326" s="23">
        <v>4.0</v>
      </c>
      <c r="C326" s="3" t="s">
        <v>239</v>
      </c>
    </row>
    <row r="327">
      <c r="A327" s="80">
        <v>583.0</v>
      </c>
      <c r="B327" s="23">
        <v>4.0</v>
      </c>
      <c r="C327" s="3" t="s">
        <v>239</v>
      </c>
    </row>
    <row r="328">
      <c r="A328" s="80">
        <v>350.0</v>
      </c>
      <c r="B328" s="23">
        <v>4.0</v>
      </c>
      <c r="C328" s="3" t="s">
        <v>239</v>
      </c>
    </row>
    <row r="329">
      <c r="A329" s="80">
        <v>581.0</v>
      </c>
      <c r="B329" s="23">
        <v>4.0</v>
      </c>
      <c r="C329" s="3" t="s">
        <v>239</v>
      </c>
    </row>
    <row r="330">
      <c r="A330" s="80">
        <v>90.0</v>
      </c>
      <c r="B330" s="23">
        <v>4.0</v>
      </c>
      <c r="C330" s="3" t="s">
        <v>239</v>
      </c>
    </row>
    <row r="331">
      <c r="A331" s="80">
        <v>353.0</v>
      </c>
      <c r="B331" s="23">
        <v>4.0</v>
      </c>
      <c r="C331" s="3" t="s">
        <v>239</v>
      </c>
    </row>
    <row r="332">
      <c r="A332" s="80">
        <v>45.0</v>
      </c>
      <c r="B332" s="23">
        <v>4.0</v>
      </c>
      <c r="C332" s="3" t="s">
        <v>239</v>
      </c>
    </row>
    <row r="333">
      <c r="A333" s="80">
        <v>43.0</v>
      </c>
      <c r="B333" s="23">
        <v>4.0</v>
      </c>
      <c r="C333" s="3" t="s">
        <v>239</v>
      </c>
    </row>
    <row r="334">
      <c r="A334" s="80">
        <v>190.0</v>
      </c>
      <c r="B334" s="23">
        <v>4.0</v>
      </c>
      <c r="C334" s="3" t="s">
        <v>239</v>
      </c>
    </row>
    <row r="335">
      <c r="A335" s="80">
        <v>654.0</v>
      </c>
      <c r="B335" s="23">
        <v>4.0</v>
      </c>
      <c r="C335" s="3" t="s">
        <v>239</v>
      </c>
    </row>
    <row r="336">
      <c r="A336" s="80">
        <v>46.0</v>
      </c>
      <c r="B336" s="23">
        <v>4.0</v>
      </c>
      <c r="C336" s="3" t="s">
        <v>239</v>
      </c>
    </row>
    <row r="337">
      <c r="A337" s="80">
        <v>524.0</v>
      </c>
      <c r="B337" s="23">
        <v>4.0</v>
      </c>
      <c r="C337" s="3" t="s">
        <v>239</v>
      </c>
    </row>
    <row r="338">
      <c r="A338" s="80">
        <v>141.0</v>
      </c>
      <c r="B338" s="23">
        <v>4.0</v>
      </c>
      <c r="C338" s="3" t="s">
        <v>239</v>
      </c>
    </row>
    <row r="339">
      <c r="A339" s="80">
        <v>500.0</v>
      </c>
      <c r="B339" s="23">
        <v>4.0</v>
      </c>
      <c r="C339" s="3" t="s">
        <v>239</v>
      </c>
    </row>
    <row r="340">
      <c r="A340" s="80">
        <v>213.0</v>
      </c>
      <c r="B340" s="23">
        <v>4.0</v>
      </c>
      <c r="C340" s="3" t="s">
        <v>239</v>
      </c>
    </row>
    <row r="341">
      <c r="A341" s="80">
        <v>441.0</v>
      </c>
      <c r="B341" s="23">
        <v>4.0</v>
      </c>
      <c r="C341" s="3" t="s">
        <v>239</v>
      </c>
    </row>
    <row r="342">
      <c r="A342" s="80">
        <v>138.0</v>
      </c>
      <c r="B342" s="23">
        <v>4.0</v>
      </c>
      <c r="C342" s="3" t="s">
        <v>239</v>
      </c>
    </row>
    <row r="343">
      <c r="A343" s="80">
        <v>139.0</v>
      </c>
      <c r="B343" s="23">
        <v>4.0</v>
      </c>
      <c r="C343" s="3" t="s">
        <v>239</v>
      </c>
    </row>
    <row r="344">
      <c r="A344" s="80">
        <v>176.0</v>
      </c>
      <c r="B344" s="23">
        <v>4.0</v>
      </c>
      <c r="C344" s="3" t="s">
        <v>239</v>
      </c>
    </row>
    <row r="345">
      <c r="A345" s="80">
        <v>222.0</v>
      </c>
      <c r="B345" s="23">
        <v>4.0</v>
      </c>
      <c r="C345" s="3" t="s">
        <v>239</v>
      </c>
    </row>
    <row r="346">
      <c r="A346" s="80">
        <v>591.0</v>
      </c>
      <c r="B346" s="23">
        <v>4.0</v>
      </c>
      <c r="C346" s="3" t="s">
        <v>239</v>
      </c>
    </row>
    <row r="347">
      <c r="A347" s="80">
        <v>36.0</v>
      </c>
      <c r="B347" s="23">
        <v>4.0</v>
      </c>
      <c r="C347" s="3" t="s">
        <v>239</v>
      </c>
    </row>
    <row r="348">
      <c r="A348" s="80">
        <v>104.0</v>
      </c>
      <c r="B348" s="23">
        <v>4.0</v>
      </c>
      <c r="C348" s="3" t="s">
        <v>239</v>
      </c>
    </row>
    <row r="349">
      <c r="A349" s="80">
        <v>498.0</v>
      </c>
      <c r="B349" s="23">
        <v>4.0</v>
      </c>
      <c r="C349" s="3" t="s">
        <v>239</v>
      </c>
    </row>
    <row r="350">
      <c r="A350" s="80">
        <v>177.0</v>
      </c>
      <c r="B350" s="23">
        <v>4.0</v>
      </c>
      <c r="C350" s="3" t="s">
        <v>239</v>
      </c>
    </row>
    <row r="351">
      <c r="A351" s="80">
        <v>844.0</v>
      </c>
      <c r="B351" s="23">
        <v>4.0</v>
      </c>
      <c r="C351" s="3" t="s">
        <v>239</v>
      </c>
    </row>
    <row r="352">
      <c r="A352" s="80">
        <v>296.0</v>
      </c>
      <c r="B352" s="23">
        <v>4.0</v>
      </c>
      <c r="C352" s="3" t="s">
        <v>239</v>
      </c>
    </row>
    <row r="353">
      <c r="A353" s="80">
        <v>274.0</v>
      </c>
      <c r="B353" s="23">
        <v>4.0</v>
      </c>
      <c r="C353" s="3" t="s">
        <v>239</v>
      </c>
    </row>
    <row r="354">
      <c r="A354" s="80">
        <v>168.0</v>
      </c>
      <c r="B354" s="23">
        <v>4.0</v>
      </c>
      <c r="C354" s="3" t="s">
        <v>239</v>
      </c>
    </row>
    <row r="355">
      <c r="A355" s="80">
        <v>24.0</v>
      </c>
      <c r="B355" s="23">
        <v>4.0</v>
      </c>
      <c r="C355" s="3" t="s">
        <v>239</v>
      </c>
    </row>
    <row r="356">
      <c r="A356" s="80">
        <v>15.0</v>
      </c>
      <c r="B356" s="23">
        <v>4.0</v>
      </c>
      <c r="C356" s="3" t="s">
        <v>239</v>
      </c>
    </row>
    <row r="357">
      <c r="A357" s="80">
        <v>76.0</v>
      </c>
      <c r="B357" s="23">
        <v>4.0</v>
      </c>
      <c r="C357" s="3" t="s">
        <v>239</v>
      </c>
    </row>
    <row r="358">
      <c r="A358" s="80">
        <v>201.0</v>
      </c>
      <c r="B358" s="23">
        <v>2.0</v>
      </c>
      <c r="C358" s="3" t="s">
        <v>240</v>
      </c>
    </row>
    <row r="359">
      <c r="A359" s="80">
        <v>684.0</v>
      </c>
      <c r="B359" s="23">
        <v>2.0</v>
      </c>
      <c r="C359" s="3" t="s">
        <v>240</v>
      </c>
    </row>
    <row r="360">
      <c r="A360" s="80">
        <v>68.0</v>
      </c>
      <c r="B360" s="23">
        <v>2.0</v>
      </c>
      <c r="C360" s="3" t="s">
        <v>240</v>
      </c>
    </row>
    <row r="361">
      <c r="A361" s="80">
        <v>195.0</v>
      </c>
      <c r="B361" s="23">
        <v>2.0</v>
      </c>
      <c r="C361" s="3" t="s">
        <v>240</v>
      </c>
    </row>
    <row r="362">
      <c r="A362" s="80">
        <v>421.0</v>
      </c>
      <c r="B362" s="23">
        <v>2.0</v>
      </c>
      <c r="C362" s="3" t="s">
        <v>240</v>
      </c>
    </row>
    <row r="363">
      <c r="A363" s="80">
        <v>78.0</v>
      </c>
      <c r="B363" s="23">
        <v>4.0</v>
      </c>
      <c r="C363" s="3" t="s">
        <v>239</v>
      </c>
    </row>
    <row r="364">
      <c r="A364" s="80">
        <v>438.0</v>
      </c>
      <c r="B364" s="23">
        <v>4.0</v>
      </c>
      <c r="C364" s="3" t="s">
        <v>239</v>
      </c>
    </row>
    <row r="365">
      <c r="A365" s="80">
        <v>166.0</v>
      </c>
      <c r="B365" s="23">
        <v>4.0</v>
      </c>
      <c r="C365" s="3" t="s">
        <v>239</v>
      </c>
    </row>
    <row r="366">
      <c r="A366" s="80">
        <v>434.0</v>
      </c>
      <c r="B366" s="23">
        <v>4.0</v>
      </c>
      <c r="C366" s="3" t="s">
        <v>239</v>
      </c>
    </row>
    <row r="367">
      <c r="A367" s="80">
        <v>227.0</v>
      </c>
      <c r="B367" s="23">
        <v>2.0</v>
      </c>
      <c r="C367" s="3" t="s">
        <v>240</v>
      </c>
    </row>
    <row r="368">
      <c r="A368" s="80">
        <v>264.0</v>
      </c>
      <c r="B368" s="23">
        <v>2.0</v>
      </c>
      <c r="C368" s="3" t="s">
        <v>240</v>
      </c>
    </row>
    <row r="369">
      <c r="A369" s="80">
        <v>266.0</v>
      </c>
      <c r="B369" s="23">
        <v>2.0</v>
      </c>
      <c r="C369" s="3" t="s">
        <v>240</v>
      </c>
    </row>
    <row r="370">
      <c r="A370" s="80">
        <v>917.0</v>
      </c>
      <c r="B370" s="23">
        <v>2.0</v>
      </c>
      <c r="C370" s="3" t="s">
        <v>240</v>
      </c>
    </row>
    <row r="371">
      <c r="A371" s="80">
        <v>953.0</v>
      </c>
      <c r="B371" s="23">
        <v>2.0</v>
      </c>
      <c r="C371" s="3" t="s">
        <v>240</v>
      </c>
    </row>
    <row r="372">
      <c r="A372" s="80">
        <v>256.0</v>
      </c>
      <c r="B372" s="23">
        <v>2.0</v>
      </c>
      <c r="C372" s="3" t="s">
        <v>240</v>
      </c>
    </row>
    <row r="373">
      <c r="A373" s="80">
        <v>297.0</v>
      </c>
      <c r="B373" s="23">
        <v>2.0</v>
      </c>
      <c r="C373" s="3" t="s">
        <v>240</v>
      </c>
    </row>
    <row r="374">
      <c r="A374" s="80">
        <v>418.0</v>
      </c>
      <c r="B374" s="23">
        <v>2.0</v>
      </c>
      <c r="C374" s="3" t="s">
        <v>240</v>
      </c>
    </row>
    <row r="375">
      <c r="A375" s="80">
        <v>394.0</v>
      </c>
      <c r="B375" s="23">
        <v>2.0</v>
      </c>
      <c r="C375" s="3" t="s">
        <v>240</v>
      </c>
    </row>
    <row r="376">
      <c r="A376" s="80">
        <v>107.0</v>
      </c>
      <c r="B376" s="23">
        <v>2.0</v>
      </c>
      <c r="C376" s="3" t="s">
        <v>240</v>
      </c>
    </row>
    <row r="377">
      <c r="A377" s="80">
        <v>341.0</v>
      </c>
      <c r="B377" s="23">
        <v>2.0</v>
      </c>
      <c r="C377" s="3" t="s">
        <v>240</v>
      </c>
    </row>
    <row r="378">
      <c r="A378" s="80">
        <v>834.0</v>
      </c>
      <c r="B378" s="23">
        <v>2.0</v>
      </c>
      <c r="C378" s="3" t="s">
        <v>240</v>
      </c>
    </row>
    <row r="379">
      <c r="A379" s="80">
        <v>436.0</v>
      </c>
      <c r="B379" s="23">
        <v>2.0</v>
      </c>
      <c r="C379" s="3" t="s">
        <v>240</v>
      </c>
    </row>
    <row r="380">
      <c r="A380" s="80">
        <v>265.0</v>
      </c>
      <c r="B380" s="23">
        <v>2.0</v>
      </c>
      <c r="C380" s="3" t="s">
        <v>240</v>
      </c>
    </row>
    <row r="381">
      <c r="A381" s="80">
        <v>396.0</v>
      </c>
      <c r="B381" s="23">
        <v>2.0</v>
      </c>
      <c r="C381" s="3" t="s">
        <v>240</v>
      </c>
    </row>
    <row r="382">
      <c r="A382" s="80">
        <v>486.0</v>
      </c>
      <c r="B382" s="23">
        <v>4.0</v>
      </c>
      <c r="C382" s="3" t="s">
        <v>239</v>
      </c>
    </row>
    <row r="383">
      <c r="A383" s="80">
        <v>494.0</v>
      </c>
      <c r="B383" s="23">
        <v>4.0</v>
      </c>
      <c r="C383" s="3" t="s">
        <v>239</v>
      </c>
    </row>
    <row r="384">
      <c r="A384" s="80">
        <v>398.0</v>
      </c>
      <c r="B384" s="23">
        <v>2.0</v>
      </c>
      <c r="C384" s="3" t="s">
        <v>240</v>
      </c>
    </row>
    <row r="385">
      <c r="A385" s="80">
        <v>479.0</v>
      </c>
      <c r="B385" s="23">
        <v>2.0</v>
      </c>
      <c r="C385" s="3" t="s">
        <v>240</v>
      </c>
    </row>
    <row r="386">
      <c r="A386" s="80">
        <v>611.0</v>
      </c>
      <c r="B386" s="23">
        <v>2.0</v>
      </c>
      <c r="C386" s="3" t="s">
        <v>240</v>
      </c>
    </row>
    <row r="387">
      <c r="A387" s="80">
        <v>729.0</v>
      </c>
      <c r="B387" s="23">
        <v>2.0</v>
      </c>
      <c r="C387" s="3" t="s">
        <v>240</v>
      </c>
    </row>
    <row r="388">
      <c r="A388" s="80">
        <v>197.0</v>
      </c>
      <c r="B388" s="23">
        <v>2.0</v>
      </c>
      <c r="C388" s="3" t="s">
        <v>240</v>
      </c>
    </row>
    <row r="389">
      <c r="A389" s="80">
        <v>80.0</v>
      </c>
      <c r="B389" s="23">
        <v>2.0</v>
      </c>
      <c r="C389" s="3" t="s">
        <v>240</v>
      </c>
    </row>
    <row r="390">
      <c r="A390" s="80">
        <v>637.0</v>
      </c>
      <c r="B390" s="23">
        <v>2.0</v>
      </c>
      <c r="C390" s="3" t="s">
        <v>240</v>
      </c>
    </row>
    <row r="391">
      <c r="A391" s="80">
        <v>206.0</v>
      </c>
      <c r="B391" s="23">
        <v>2.0</v>
      </c>
      <c r="C391" s="3" t="s">
        <v>240</v>
      </c>
    </row>
    <row r="392">
      <c r="A392" s="80">
        <v>241.0</v>
      </c>
      <c r="B392" s="23">
        <v>2.0</v>
      </c>
      <c r="C392" s="3" t="s">
        <v>240</v>
      </c>
    </row>
    <row r="393">
      <c r="A393" s="80">
        <v>509.0</v>
      </c>
      <c r="B393" s="23">
        <v>2.0</v>
      </c>
      <c r="C393" s="3" t="s">
        <v>240</v>
      </c>
    </row>
    <row r="394">
      <c r="A394" s="80">
        <v>521.0</v>
      </c>
      <c r="B394" s="23">
        <v>4.0</v>
      </c>
      <c r="C394" s="3" t="s">
        <v>239</v>
      </c>
    </row>
    <row r="395">
      <c r="A395" s="80">
        <v>564.0</v>
      </c>
      <c r="B395" s="23">
        <v>4.0</v>
      </c>
      <c r="C395" s="3" t="s">
        <v>239</v>
      </c>
    </row>
    <row r="396">
      <c r="A396" s="80">
        <v>689.0</v>
      </c>
      <c r="B396" s="23">
        <v>4.0</v>
      </c>
      <c r="C396" s="3" t="s">
        <v>239</v>
      </c>
    </row>
    <row r="397">
      <c r="A397" s="80">
        <v>782.0</v>
      </c>
      <c r="B397" s="23">
        <v>4.0</v>
      </c>
      <c r="C397" s="3" t="s">
        <v>239</v>
      </c>
    </row>
    <row r="398">
      <c r="A398" s="80">
        <v>839.0</v>
      </c>
      <c r="B398" s="23">
        <v>4.0</v>
      </c>
      <c r="C398" s="3" t="s">
        <v>239</v>
      </c>
    </row>
    <row r="399">
      <c r="A399" s="80">
        <v>802.0</v>
      </c>
      <c r="B399" s="23">
        <v>4.0</v>
      </c>
      <c r="C399" s="3" t="s">
        <v>239</v>
      </c>
    </row>
    <row r="400">
      <c r="A400" s="80">
        <v>30.0</v>
      </c>
      <c r="B400" s="23">
        <v>4.0</v>
      </c>
      <c r="C400" s="3" t="s">
        <v>239</v>
      </c>
    </row>
    <row r="401">
      <c r="A401" s="80">
        <v>140.0</v>
      </c>
      <c r="B401" s="23">
        <v>4.0</v>
      </c>
      <c r="C401" s="3" t="s">
        <v>239</v>
      </c>
    </row>
    <row r="402">
      <c r="A402" s="80">
        <v>767.0</v>
      </c>
      <c r="B402" s="23">
        <v>4.0</v>
      </c>
      <c r="C402" s="3" t="s">
        <v>239</v>
      </c>
    </row>
    <row r="403">
      <c r="A403" s="80">
        <v>900.0</v>
      </c>
      <c r="B403" s="23">
        <v>3.0</v>
      </c>
      <c r="C403" s="3" t="s">
        <v>238</v>
      </c>
    </row>
    <row r="404">
      <c r="A404" s="80">
        <v>700.0</v>
      </c>
      <c r="B404" s="23">
        <v>12.0</v>
      </c>
      <c r="C404" s="3" t="s">
        <v>237</v>
      </c>
    </row>
    <row r="405">
      <c r="A405" s="80">
        <v>842.0</v>
      </c>
      <c r="B405" s="23">
        <v>12.0</v>
      </c>
      <c r="C405" s="3" t="s">
        <v>237</v>
      </c>
    </row>
    <row r="406">
      <c r="A406" s="80">
        <v>110.0</v>
      </c>
      <c r="B406" s="23">
        <v>12.0</v>
      </c>
      <c r="C406" s="3" t="s">
        <v>237</v>
      </c>
    </row>
    <row r="407">
      <c r="A407" s="80">
        <v>167.0</v>
      </c>
      <c r="B407" s="23">
        <v>3.0</v>
      </c>
      <c r="C407" s="3" t="s">
        <v>238</v>
      </c>
    </row>
    <row r="408">
      <c r="A408" s="80">
        <v>629.0</v>
      </c>
      <c r="B408" s="23">
        <v>12.0</v>
      </c>
      <c r="C408" s="3" t="s">
        <v>237</v>
      </c>
    </row>
    <row r="409">
      <c r="A409" s="80">
        <v>563.0</v>
      </c>
      <c r="B409" s="23">
        <v>3.0</v>
      </c>
      <c r="C409" s="3" t="s">
        <v>238</v>
      </c>
    </row>
    <row r="410">
      <c r="A410" s="80">
        <v>932.0</v>
      </c>
      <c r="B410" s="23">
        <v>3.0</v>
      </c>
      <c r="C410" s="3" t="s">
        <v>238</v>
      </c>
    </row>
    <row r="411">
      <c r="A411" s="80">
        <v>347.0</v>
      </c>
      <c r="B411" s="23">
        <v>3.0</v>
      </c>
      <c r="C411" s="3" t="s">
        <v>238</v>
      </c>
    </row>
    <row r="412">
      <c r="A412" s="80">
        <v>82.0</v>
      </c>
      <c r="B412" s="23">
        <v>3.0</v>
      </c>
      <c r="C412" s="3" t="s">
        <v>238</v>
      </c>
    </row>
    <row r="413">
      <c r="A413" s="80">
        <v>969.0</v>
      </c>
      <c r="B413" s="23">
        <v>3.0</v>
      </c>
      <c r="C413" s="3" t="s">
        <v>238</v>
      </c>
    </row>
    <row r="414">
      <c r="A414" s="80">
        <v>956.0</v>
      </c>
      <c r="B414" s="23">
        <v>3.0</v>
      </c>
      <c r="C414" s="3" t="s">
        <v>238</v>
      </c>
    </row>
    <row r="415">
      <c r="A415" s="80">
        <v>971.0</v>
      </c>
      <c r="B415" s="23">
        <v>3.0</v>
      </c>
      <c r="C415" s="3" t="s">
        <v>238</v>
      </c>
    </row>
    <row r="416">
      <c r="A416" s="80">
        <v>328.0</v>
      </c>
      <c r="B416" s="23">
        <v>3.0</v>
      </c>
      <c r="C416" s="3" t="s">
        <v>238</v>
      </c>
    </row>
    <row r="417">
      <c r="A417" s="80">
        <v>318.0</v>
      </c>
      <c r="B417" s="23">
        <v>3.0</v>
      </c>
      <c r="C417" s="3" t="s">
        <v>243</v>
      </c>
    </row>
    <row r="418">
      <c r="A418" s="80">
        <v>701.0</v>
      </c>
      <c r="B418" s="23">
        <v>12.0</v>
      </c>
      <c r="C418" s="3" t="s">
        <v>237</v>
      </c>
    </row>
    <row r="419">
      <c r="A419" s="80">
        <v>472.0</v>
      </c>
      <c r="B419" s="23">
        <v>12.0</v>
      </c>
      <c r="C419" s="3" t="s">
        <v>237</v>
      </c>
    </row>
    <row r="420">
      <c r="A420" s="80">
        <v>376.0</v>
      </c>
      <c r="B420" s="23">
        <v>2.0</v>
      </c>
      <c r="C420" s="3" t="s">
        <v>240</v>
      </c>
    </row>
    <row r="421">
      <c r="A421" s="80">
        <v>935.0</v>
      </c>
      <c r="B421" s="23">
        <v>4.0</v>
      </c>
      <c r="C421" s="3" t="s">
        <v>239</v>
      </c>
    </row>
    <row r="422">
      <c r="A422" s="80">
        <v>736.0</v>
      </c>
      <c r="B422" s="23">
        <v>12.0</v>
      </c>
      <c r="C422" s="3" t="s">
        <v>237</v>
      </c>
    </row>
    <row r="423">
      <c r="A423" s="80">
        <v>600.0</v>
      </c>
      <c r="B423" s="23">
        <v>12.0</v>
      </c>
      <c r="C423" s="3" t="s">
        <v>237</v>
      </c>
    </row>
    <row r="424">
      <c r="A424" s="80">
        <v>5.0</v>
      </c>
      <c r="B424" s="23">
        <v>12.0</v>
      </c>
      <c r="C424" s="3" t="s">
        <v>237</v>
      </c>
    </row>
    <row r="425">
      <c r="A425" s="80">
        <v>636.0</v>
      </c>
      <c r="B425" s="23">
        <v>12.0</v>
      </c>
      <c r="C425" s="3" t="s">
        <v>237</v>
      </c>
    </row>
    <row r="426">
      <c r="A426" s="80">
        <v>599.0</v>
      </c>
      <c r="B426" s="23">
        <v>12.0</v>
      </c>
      <c r="C426" s="3" t="s">
        <v>237</v>
      </c>
    </row>
    <row r="427">
      <c r="A427" s="80">
        <v>598.0</v>
      </c>
      <c r="B427" s="23">
        <v>12.0</v>
      </c>
      <c r="C427" s="3" t="s">
        <v>237</v>
      </c>
    </row>
    <row r="428">
      <c r="A428" s="80">
        <v>799.0</v>
      </c>
      <c r="B428" s="23">
        <v>12.0</v>
      </c>
      <c r="C428" s="3" t="s">
        <v>237</v>
      </c>
    </row>
    <row r="429">
      <c r="A429" s="80">
        <v>781.0</v>
      </c>
      <c r="B429" s="23">
        <v>12.0</v>
      </c>
      <c r="C429" s="3" t="s">
        <v>237</v>
      </c>
    </row>
    <row r="430">
      <c r="A430" s="80">
        <v>625.0</v>
      </c>
      <c r="B430" s="23">
        <v>12.0</v>
      </c>
      <c r="C430" s="3" t="s">
        <v>237</v>
      </c>
    </row>
    <row r="431">
      <c r="A431" s="80">
        <v>67.0</v>
      </c>
      <c r="B431" s="23">
        <v>10.0</v>
      </c>
      <c r="C431" s="3" t="s">
        <v>242</v>
      </c>
    </row>
    <row r="432">
      <c r="A432" s="80">
        <v>731.0</v>
      </c>
      <c r="B432" s="23">
        <v>12.0</v>
      </c>
      <c r="C432" s="3" t="s">
        <v>237</v>
      </c>
    </row>
    <row r="433">
      <c r="A433" s="80">
        <v>375.0</v>
      </c>
      <c r="B433" s="23">
        <v>3.0</v>
      </c>
      <c r="C433" s="3" t="s">
        <v>238</v>
      </c>
    </row>
    <row r="434">
      <c r="A434" s="80">
        <v>756.0</v>
      </c>
      <c r="B434" s="23">
        <v>3.0</v>
      </c>
      <c r="C434" s="3" t="s">
        <v>243</v>
      </c>
    </row>
    <row r="435">
      <c r="A435" s="80">
        <v>534.0</v>
      </c>
      <c r="B435" s="23">
        <v>3.0</v>
      </c>
      <c r="C435" s="3" t="s">
        <v>243</v>
      </c>
    </row>
    <row r="436">
      <c r="A436" s="80">
        <v>630.0</v>
      </c>
      <c r="B436" s="23">
        <v>3.0</v>
      </c>
      <c r="C436" s="3" t="s">
        <v>243</v>
      </c>
    </row>
    <row r="437">
      <c r="A437" s="80">
        <v>422.0</v>
      </c>
      <c r="B437" s="23">
        <v>3.0</v>
      </c>
      <c r="C437" s="3" t="s">
        <v>243</v>
      </c>
    </row>
    <row r="438">
      <c r="A438" s="80">
        <v>477.0</v>
      </c>
      <c r="B438" s="23">
        <v>3.0</v>
      </c>
      <c r="C438" s="3" t="s">
        <v>243</v>
      </c>
    </row>
    <row r="439">
      <c r="A439" s="80">
        <v>52.0</v>
      </c>
      <c r="B439" s="23">
        <v>3.0</v>
      </c>
      <c r="C439" s="3" t="s">
        <v>243</v>
      </c>
    </row>
    <row r="440">
      <c r="A440" s="80">
        <v>226.0</v>
      </c>
      <c r="B440" s="23">
        <v>3.0</v>
      </c>
      <c r="C440" s="3" t="s">
        <v>243</v>
      </c>
    </row>
    <row r="441">
      <c r="A441" s="80">
        <v>53.0</v>
      </c>
      <c r="B441" s="23">
        <v>3.0</v>
      </c>
      <c r="C441" s="3" t="s">
        <v>238</v>
      </c>
    </row>
    <row r="442">
      <c r="A442" s="80">
        <v>255.0</v>
      </c>
      <c r="B442" s="23">
        <v>3.0</v>
      </c>
      <c r="C442" s="3" t="s">
        <v>243</v>
      </c>
    </row>
    <row r="443">
      <c r="A443" s="80">
        <v>295.0</v>
      </c>
      <c r="B443" s="23">
        <v>3.0</v>
      </c>
      <c r="C443" s="3" t="s">
        <v>243</v>
      </c>
    </row>
    <row r="444">
      <c r="A444" s="80">
        <v>106.0</v>
      </c>
      <c r="B444" s="23">
        <v>3.0</v>
      </c>
      <c r="C444" s="3" t="s">
        <v>243</v>
      </c>
    </row>
    <row r="445">
      <c r="A445" s="80">
        <v>485.0</v>
      </c>
      <c r="B445" s="23">
        <v>3.0</v>
      </c>
      <c r="C445" s="3" t="s">
        <v>243</v>
      </c>
    </row>
    <row r="446">
      <c r="A446" s="80">
        <v>706.0</v>
      </c>
      <c r="B446" s="23">
        <v>3.0</v>
      </c>
      <c r="C446" s="3" t="s">
        <v>243</v>
      </c>
    </row>
    <row r="447">
      <c r="A447" s="80">
        <v>573.0</v>
      </c>
      <c r="B447" s="23">
        <v>3.0</v>
      </c>
      <c r="C447" s="3" t="s">
        <v>243</v>
      </c>
    </row>
    <row r="448">
      <c r="A448" s="80">
        <v>584.0</v>
      </c>
      <c r="B448" s="23">
        <v>3.0</v>
      </c>
      <c r="C448" s="3" t="s">
        <v>243</v>
      </c>
    </row>
    <row r="449">
      <c r="A449" s="80">
        <v>258.0</v>
      </c>
      <c r="B449" s="23">
        <v>3.0</v>
      </c>
      <c r="C449" s="3" t="s">
        <v>243</v>
      </c>
    </row>
    <row r="450">
      <c r="A450" s="80">
        <v>49.0</v>
      </c>
      <c r="B450" s="23">
        <v>3.0</v>
      </c>
      <c r="C450" s="3" t="s">
        <v>243</v>
      </c>
    </row>
    <row r="451">
      <c r="A451" s="80">
        <v>597.0</v>
      </c>
      <c r="B451" s="23">
        <v>3.0</v>
      </c>
      <c r="C451" s="3" t="s">
        <v>243</v>
      </c>
    </row>
    <row r="452">
      <c r="A452" s="80">
        <v>585.0</v>
      </c>
      <c r="B452" s="23">
        <v>3.0</v>
      </c>
      <c r="C452" s="3" t="s">
        <v>243</v>
      </c>
    </row>
    <row r="453">
      <c r="A453" s="80">
        <v>530.0</v>
      </c>
      <c r="B453" s="23">
        <v>3.0</v>
      </c>
      <c r="C453" s="3" t="s">
        <v>243</v>
      </c>
    </row>
    <row r="454">
      <c r="A454" s="80">
        <v>546.0</v>
      </c>
      <c r="B454" s="23">
        <v>3.0</v>
      </c>
      <c r="C454" s="3" t="s">
        <v>243</v>
      </c>
    </row>
    <row r="455">
      <c r="A455" s="80">
        <v>470.0</v>
      </c>
      <c r="B455" s="23">
        <v>4.0</v>
      </c>
      <c r="C455" s="3" t="s">
        <v>239</v>
      </c>
    </row>
    <row r="456">
      <c r="A456" s="80">
        <v>187.0</v>
      </c>
      <c r="B456" s="23">
        <v>4.0</v>
      </c>
      <c r="C456" s="3" t="s">
        <v>239</v>
      </c>
    </row>
    <row r="457">
      <c r="A457" s="80">
        <v>34.0</v>
      </c>
      <c r="B457" s="23">
        <v>4.0</v>
      </c>
      <c r="C457" s="3" t="s">
        <v>239</v>
      </c>
    </row>
    <row r="458">
      <c r="A458" s="80">
        <v>588.0</v>
      </c>
      <c r="B458" s="23">
        <v>4.0</v>
      </c>
      <c r="C458" s="3" t="s">
        <v>239</v>
      </c>
    </row>
    <row r="459">
      <c r="A459" s="80">
        <v>711.0</v>
      </c>
      <c r="B459" s="23">
        <v>4.0</v>
      </c>
      <c r="C459" s="3" t="s">
        <v>239</v>
      </c>
    </row>
    <row r="460">
      <c r="A460" s="80">
        <v>852.0</v>
      </c>
      <c r="B460" s="23">
        <v>4.0</v>
      </c>
      <c r="C460" s="3" t="s">
        <v>239</v>
      </c>
    </row>
    <row r="461">
      <c r="A461" s="80">
        <v>309.0</v>
      </c>
      <c r="B461" s="23">
        <v>2.0</v>
      </c>
      <c r="C461" s="3" t="s">
        <v>240</v>
      </c>
    </row>
    <row r="462">
      <c r="A462" s="80">
        <v>987.0</v>
      </c>
      <c r="B462" s="23">
        <v>4.0</v>
      </c>
      <c r="C462" s="3" t="s">
        <v>239</v>
      </c>
    </row>
    <row r="463">
      <c r="A463" s="80">
        <v>694.0</v>
      </c>
      <c r="B463" s="23">
        <v>3.0</v>
      </c>
      <c r="C463" s="3" t="s">
        <v>243</v>
      </c>
    </row>
    <row r="464">
      <c r="A464" s="80">
        <v>64.0</v>
      </c>
      <c r="B464" s="23">
        <v>3.0</v>
      </c>
      <c r="C464" s="3" t="s">
        <v>243</v>
      </c>
    </row>
    <row r="465">
      <c r="A465" s="80">
        <v>531.0</v>
      </c>
      <c r="B465" s="23">
        <v>3.0</v>
      </c>
      <c r="C465" s="3" t="s">
        <v>243</v>
      </c>
    </row>
    <row r="466">
      <c r="A466" s="80">
        <v>557.0</v>
      </c>
      <c r="B466" s="23">
        <v>3.0</v>
      </c>
      <c r="C466" s="3" t="s">
        <v>243</v>
      </c>
    </row>
    <row r="467">
      <c r="A467" s="80">
        <v>562.0</v>
      </c>
      <c r="B467" s="23">
        <v>3.0</v>
      </c>
      <c r="C467" s="3" t="s">
        <v>243</v>
      </c>
    </row>
    <row r="468">
      <c r="A468" s="80">
        <v>358.0</v>
      </c>
      <c r="B468" s="23">
        <v>3.0</v>
      </c>
      <c r="C468" s="3" t="s">
        <v>243</v>
      </c>
    </row>
    <row r="469">
      <c r="A469" s="80">
        <v>745.0</v>
      </c>
      <c r="B469" s="23">
        <v>3.0</v>
      </c>
      <c r="C469" s="3" t="s">
        <v>243</v>
      </c>
    </row>
    <row r="470">
      <c r="A470" s="80">
        <v>93.0</v>
      </c>
      <c r="B470" s="23">
        <v>3.0</v>
      </c>
      <c r="C470" s="3" t="s">
        <v>243</v>
      </c>
    </row>
    <row r="471">
      <c r="A471" s="80">
        <v>302.0</v>
      </c>
      <c r="B471" s="23">
        <v>4.0</v>
      </c>
      <c r="C471" s="3" t="s">
        <v>239</v>
      </c>
    </row>
    <row r="472">
      <c r="A472" s="80">
        <v>909.0</v>
      </c>
      <c r="B472" s="23">
        <v>4.0</v>
      </c>
      <c r="C472" s="3" t="s">
        <v>239</v>
      </c>
    </row>
    <row r="473">
      <c r="A473" s="80">
        <v>705.0</v>
      </c>
      <c r="B473" s="23">
        <v>4.0</v>
      </c>
      <c r="C473" s="3" t="s">
        <v>239</v>
      </c>
    </row>
    <row r="474">
      <c r="A474" s="80">
        <v>102.0</v>
      </c>
      <c r="B474" s="23">
        <v>4.0</v>
      </c>
      <c r="C474" s="3" t="s">
        <v>239</v>
      </c>
    </row>
    <row r="475">
      <c r="A475" s="80">
        <v>682.0</v>
      </c>
      <c r="B475" s="23">
        <v>4.0</v>
      </c>
      <c r="C475" s="3" t="s">
        <v>239</v>
      </c>
    </row>
    <row r="476">
      <c r="A476" s="80">
        <v>419.0</v>
      </c>
      <c r="B476" s="23">
        <v>4.0</v>
      </c>
      <c r="C476" s="3" t="s">
        <v>239</v>
      </c>
    </row>
    <row r="477">
      <c r="A477" s="80">
        <v>939.0</v>
      </c>
      <c r="B477" s="23">
        <v>4.0</v>
      </c>
      <c r="C477" s="3" t="s">
        <v>239</v>
      </c>
    </row>
    <row r="478">
      <c r="A478" s="80">
        <v>962.0</v>
      </c>
      <c r="B478" s="23">
        <v>4.0</v>
      </c>
      <c r="C478" s="3" t="s">
        <v>239</v>
      </c>
    </row>
    <row r="479">
      <c r="A479" s="80">
        <v>752.0</v>
      </c>
      <c r="B479" s="23">
        <v>4.0</v>
      </c>
      <c r="C479" s="3" t="s">
        <v>239</v>
      </c>
    </row>
    <row r="480">
      <c r="A480" s="80">
        <v>707.0</v>
      </c>
      <c r="B480" s="23">
        <v>4.0</v>
      </c>
      <c r="C480" s="3" t="s">
        <v>239</v>
      </c>
    </row>
    <row r="481">
      <c r="A481" s="80">
        <v>466.0</v>
      </c>
      <c r="B481" s="23">
        <v>4.0</v>
      </c>
      <c r="C481" s="3" t="s">
        <v>239</v>
      </c>
    </row>
    <row r="482">
      <c r="A482" s="80">
        <v>433.0</v>
      </c>
      <c r="B482" s="23">
        <v>4.0</v>
      </c>
      <c r="C482" s="3" t="s">
        <v>239</v>
      </c>
    </row>
    <row r="483">
      <c r="A483" s="80">
        <v>824.0</v>
      </c>
      <c r="B483" s="23">
        <v>4.0</v>
      </c>
      <c r="C483" s="3" t="s">
        <v>239</v>
      </c>
    </row>
    <row r="484">
      <c r="A484" s="80">
        <v>632.0</v>
      </c>
      <c r="B484" s="23">
        <v>4.0</v>
      </c>
      <c r="C484" s="3" t="s">
        <v>239</v>
      </c>
    </row>
    <row r="485">
      <c r="A485" s="80">
        <v>397.0</v>
      </c>
      <c r="B485" s="23">
        <v>4.0</v>
      </c>
      <c r="C485" s="3" t="s">
        <v>239</v>
      </c>
    </row>
    <row r="486">
      <c r="A486" s="80">
        <v>510.0</v>
      </c>
      <c r="B486" s="23">
        <v>4.0</v>
      </c>
      <c r="C486" s="3" t="s">
        <v>239</v>
      </c>
    </row>
    <row r="487">
      <c r="A487" s="80">
        <v>687.0</v>
      </c>
      <c r="B487" s="23">
        <v>4.0</v>
      </c>
      <c r="C487" s="3" t="s">
        <v>239</v>
      </c>
    </row>
    <row r="488">
      <c r="A488" s="80">
        <v>100.0</v>
      </c>
      <c r="B488" s="23">
        <v>4.0</v>
      </c>
      <c r="C488" s="3" t="s">
        <v>239</v>
      </c>
    </row>
    <row r="489">
      <c r="A489" s="80">
        <v>1002.0</v>
      </c>
      <c r="B489" s="23">
        <v>4.0</v>
      </c>
      <c r="C489" s="3" t="s">
        <v>239</v>
      </c>
    </row>
    <row r="490">
      <c r="A490" s="80">
        <v>698.0</v>
      </c>
      <c r="B490" s="23">
        <v>4.0</v>
      </c>
      <c r="C490" s="3" t="s">
        <v>239</v>
      </c>
    </row>
    <row r="491">
      <c r="A491" s="80">
        <v>84.0</v>
      </c>
      <c r="B491" s="23">
        <v>10.0</v>
      </c>
      <c r="C491" s="3" t="s">
        <v>242</v>
      </c>
    </row>
    <row r="492">
      <c r="A492" s="80">
        <v>976.0</v>
      </c>
      <c r="B492" s="23">
        <v>2.0</v>
      </c>
      <c r="C492" s="3" t="s">
        <v>240</v>
      </c>
    </row>
    <row r="493">
      <c r="A493" s="80">
        <v>865.0</v>
      </c>
      <c r="B493" s="23">
        <v>2.0</v>
      </c>
      <c r="C493" s="3" t="s">
        <v>240</v>
      </c>
    </row>
    <row r="494">
      <c r="A494" s="80">
        <v>609.0</v>
      </c>
      <c r="B494" s="23">
        <v>4.0</v>
      </c>
      <c r="C494" s="3" t="s">
        <v>239</v>
      </c>
    </row>
    <row r="495">
      <c r="A495" s="80">
        <v>571.0</v>
      </c>
      <c r="B495" s="23">
        <v>10.0</v>
      </c>
      <c r="C495" s="3" t="s">
        <v>242</v>
      </c>
    </row>
    <row r="496">
      <c r="A496" s="80">
        <v>978.0</v>
      </c>
      <c r="B496" s="23">
        <v>3.0</v>
      </c>
      <c r="C496" s="3" t="s">
        <v>238</v>
      </c>
    </row>
    <row r="497">
      <c r="A497" s="80">
        <v>853.0</v>
      </c>
      <c r="B497" s="23">
        <v>12.0</v>
      </c>
      <c r="C497" s="3" t="s">
        <v>237</v>
      </c>
    </row>
    <row r="498">
      <c r="A498" s="80">
        <v>762.0</v>
      </c>
      <c r="B498" s="23">
        <v>12.0</v>
      </c>
      <c r="C498" s="3" t="s">
        <v>237</v>
      </c>
    </row>
    <row r="499">
      <c r="A499" s="80">
        <v>988.0</v>
      </c>
      <c r="B499" s="23">
        <v>12.0</v>
      </c>
      <c r="C499" s="3" t="s">
        <v>237</v>
      </c>
    </row>
    <row r="500">
      <c r="A500" s="80">
        <v>945.0</v>
      </c>
      <c r="B500" s="23">
        <v>12.0</v>
      </c>
      <c r="C500" s="3" t="s">
        <v>237</v>
      </c>
    </row>
    <row r="501">
      <c r="A501" s="80">
        <v>248.0</v>
      </c>
      <c r="B501" s="23">
        <v>12.0</v>
      </c>
      <c r="C501" s="3" t="s">
        <v>237</v>
      </c>
    </row>
    <row r="502">
      <c r="A502" s="80">
        <v>504.0</v>
      </c>
      <c r="B502" s="23">
        <v>12.0</v>
      </c>
      <c r="C502" s="3" t="s">
        <v>237</v>
      </c>
    </row>
    <row r="503">
      <c r="A503" s="80">
        <v>8.0</v>
      </c>
      <c r="B503" s="23">
        <v>12.0</v>
      </c>
      <c r="C503" s="3" t="s">
        <v>237</v>
      </c>
    </row>
    <row r="504">
      <c r="A504" s="80">
        <v>725.0</v>
      </c>
      <c r="B504" s="23">
        <v>12.0</v>
      </c>
      <c r="C504" s="3" t="s">
        <v>237</v>
      </c>
    </row>
    <row r="505">
      <c r="A505" s="80">
        <v>806.0</v>
      </c>
      <c r="B505" s="23">
        <v>12.0</v>
      </c>
      <c r="C505" s="3" t="s">
        <v>237</v>
      </c>
    </row>
    <row r="506">
      <c r="A506" s="80">
        <v>359.0</v>
      </c>
      <c r="B506" s="23">
        <v>12.0</v>
      </c>
      <c r="C506" s="3" t="s">
        <v>237</v>
      </c>
    </row>
    <row r="507">
      <c r="A507" s="80">
        <v>942.0</v>
      </c>
      <c r="B507" s="23">
        <v>12.0</v>
      </c>
      <c r="C507" s="3" t="s">
        <v>237</v>
      </c>
    </row>
    <row r="508">
      <c r="A508" s="80">
        <v>755.0</v>
      </c>
      <c r="B508" s="23">
        <v>12.0</v>
      </c>
      <c r="C508" s="3" t="s">
        <v>237</v>
      </c>
    </row>
    <row r="509">
      <c r="A509" s="80">
        <v>215.0</v>
      </c>
      <c r="B509" s="23">
        <v>12.0</v>
      </c>
      <c r="C509" s="3" t="s">
        <v>237</v>
      </c>
    </row>
    <row r="510">
      <c r="A510" s="80">
        <v>413.0</v>
      </c>
      <c r="B510" s="23">
        <v>12.0</v>
      </c>
      <c r="C510" s="3" t="s">
        <v>237</v>
      </c>
    </row>
    <row r="511">
      <c r="A511" s="80">
        <v>918.0</v>
      </c>
      <c r="B511" s="23">
        <v>12.0</v>
      </c>
      <c r="C511" s="3" t="s">
        <v>237</v>
      </c>
    </row>
    <row r="512">
      <c r="A512" s="80">
        <v>981.0</v>
      </c>
      <c r="B512" s="23">
        <v>12.0</v>
      </c>
      <c r="C512" s="3" t="s">
        <v>237</v>
      </c>
    </row>
    <row r="513">
      <c r="A513" s="80">
        <v>751.0</v>
      </c>
      <c r="B513" s="23">
        <v>12.0</v>
      </c>
      <c r="C513" s="3" t="s">
        <v>237</v>
      </c>
    </row>
    <row r="514">
      <c r="A514" s="80">
        <v>723.0</v>
      </c>
      <c r="B514" s="23">
        <v>12.0</v>
      </c>
      <c r="C514" s="3" t="s">
        <v>237</v>
      </c>
    </row>
    <row r="515">
      <c r="A515" s="80">
        <v>529.0</v>
      </c>
      <c r="B515" s="23">
        <v>12.0</v>
      </c>
      <c r="C515" s="3" t="s">
        <v>237</v>
      </c>
    </row>
    <row r="516">
      <c r="A516" s="80">
        <v>656.0</v>
      </c>
      <c r="B516" s="23">
        <v>12.0</v>
      </c>
      <c r="C516" s="3" t="s">
        <v>237</v>
      </c>
    </row>
    <row r="517">
      <c r="A517" s="80">
        <v>506.0</v>
      </c>
      <c r="B517" s="23">
        <v>12.0</v>
      </c>
      <c r="C517" s="3" t="s">
        <v>237</v>
      </c>
    </row>
    <row r="518">
      <c r="A518" s="80">
        <v>777.0</v>
      </c>
      <c r="B518" s="23">
        <v>12.0</v>
      </c>
      <c r="C518" s="3" t="s">
        <v>237</v>
      </c>
    </row>
    <row r="519">
      <c r="A519" s="80">
        <v>807.0</v>
      </c>
      <c r="B519" s="23">
        <v>12.0</v>
      </c>
      <c r="C519" s="3" t="s">
        <v>237</v>
      </c>
    </row>
    <row r="520">
      <c r="A520" s="80">
        <v>657.0</v>
      </c>
      <c r="B520" s="23">
        <v>12.0</v>
      </c>
      <c r="C520" s="3" t="s">
        <v>237</v>
      </c>
    </row>
    <row r="521">
      <c r="A521" s="80">
        <v>306.0</v>
      </c>
      <c r="B521" s="23">
        <v>12.0</v>
      </c>
      <c r="C521" s="3" t="s">
        <v>237</v>
      </c>
    </row>
    <row r="522">
      <c r="A522" s="80">
        <v>639.0</v>
      </c>
      <c r="B522" s="23">
        <v>12.0</v>
      </c>
      <c r="C522" s="3" t="s">
        <v>237</v>
      </c>
    </row>
    <row r="523">
      <c r="A523" s="80">
        <v>382.0</v>
      </c>
      <c r="B523" s="23">
        <v>12.0</v>
      </c>
      <c r="C523" s="3" t="s">
        <v>237</v>
      </c>
    </row>
    <row r="524">
      <c r="A524" s="80">
        <v>614.0</v>
      </c>
      <c r="B524" s="23">
        <v>12.0</v>
      </c>
      <c r="C524" s="3" t="s">
        <v>237</v>
      </c>
    </row>
    <row r="525">
      <c r="A525" s="80">
        <v>753.0</v>
      </c>
      <c r="B525" s="23">
        <v>12.0</v>
      </c>
      <c r="C525" s="3" t="s">
        <v>237</v>
      </c>
    </row>
    <row r="526">
      <c r="A526" s="80">
        <v>783.0</v>
      </c>
      <c r="B526" s="23">
        <v>12.0</v>
      </c>
      <c r="C526" s="3" t="s">
        <v>237</v>
      </c>
    </row>
    <row r="527">
      <c r="A527" s="80">
        <v>130.0</v>
      </c>
      <c r="B527" s="23">
        <v>12.0</v>
      </c>
      <c r="C527" s="3" t="s">
        <v>237</v>
      </c>
    </row>
    <row r="528">
      <c r="A528" s="80">
        <v>721.0</v>
      </c>
      <c r="B528" s="23">
        <v>12.0</v>
      </c>
      <c r="C528" s="3" t="s">
        <v>237</v>
      </c>
    </row>
    <row r="529">
      <c r="A529" s="80">
        <v>749.0</v>
      </c>
      <c r="B529" s="23">
        <v>12.0</v>
      </c>
      <c r="C529" s="3" t="s">
        <v>237</v>
      </c>
    </row>
    <row r="530">
      <c r="A530" s="80">
        <v>832.0</v>
      </c>
      <c r="B530" s="23"/>
      <c r="C530" s="3" t="s">
        <v>237</v>
      </c>
    </row>
    <row r="531">
      <c r="A531" s="80">
        <v>619.0</v>
      </c>
      <c r="B531" s="23">
        <v>12.0</v>
      </c>
      <c r="C531" s="3" t="s">
        <v>237</v>
      </c>
    </row>
    <row r="532">
      <c r="A532" s="80">
        <v>389.0</v>
      </c>
      <c r="B532" s="23">
        <v>12.0</v>
      </c>
      <c r="C532" s="3" t="s">
        <v>237</v>
      </c>
    </row>
    <row r="533">
      <c r="A533" s="80">
        <v>903.0</v>
      </c>
      <c r="B533" s="23">
        <v>12.0</v>
      </c>
      <c r="C533" s="3" t="s">
        <v>237</v>
      </c>
    </row>
    <row r="534">
      <c r="A534" s="80">
        <v>395.0</v>
      </c>
      <c r="B534" s="23">
        <v>3.0</v>
      </c>
      <c r="C534" s="3" t="s">
        <v>238</v>
      </c>
    </row>
    <row r="535">
      <c r="A535" s="80">
        <v>292.0</v>
      </c>
      <c r="B535" s="23">
        <v>12.0</v>
      </c>
      <c r="C535" s="3" t="s">
        <v>237</v>
      </c>
    </row>
    <row r="536">
      <c r="A536" s="80">
        <v>567.0</v>
      </c>
      <c r="B536" s="23">
        <v>12.0</v>
      </c>
      <c r="C536" s="3" t="s">
        <v>237</v>
      </c>
    </row>
    <row r="537">
      <c r="A537" s="80">
        <v>944.0</v>
      </c>
      <c r="B537" s="23">
        <v>12.0</v>
      </c>
      <c r="C537" s="3" t="s">
        <v>237</v>
      </c>
    </row>
    <row r="538">
      <c r="A538" s="80">
        <v>718.0</v>
      </c>
      <c r="B538" s="23">
        <v>12.0</v>
      </c>
      <c r="C538" s="3" t="s">
        <v>237</v>
      </c>
    </row>
    <row r="539">
      <c r="A539" s="80">
        <v>549.0</v>
      </c>
      <c r="B539" s="23">
        <v>3.0</v>
      </c>
      <c r="C539" s="3" t="s">
        <v>238</v>
      </c>
    </row>
    <row r="540">
      <c r="A540" s="80">
        <v>936.0</v>
      </c>
      <c r="B540" s="23">
        <v>12.0</v>
      </c>
      <c r="C540" s="3" t="s">
        <v>237</v>
      </c>
    </row>
    <row r="541">
      <c r="A541" s="80">
        <v>715.0</v>
      </c>
      <c r="B541" s="23">
        <v>12.0</v>
      </c>
      <c r="C541" s="3" t="s">
        <v>237</v>
      </c>
    </row>
    <row r="542">
      <c r="A542" s="80">
        <v>103.0</v>
      </c>
      <c r="B542" s="23">
        <v>12.0</v>
      </c>
      <c r="C542" s="3" t="s">
        <v>237</v>
      </c>
    </row>
    <row r="543">
      <c r="A543" s="80">
        <v>919.0</v>
      </c>
      <c r="B543" s="23">
        <v>12.0</v>
      </c>
      <c r="C543" s="3" t="s">
        <v>237</v>
      </c>
    </row>
    <row r="544">
      <c r="A544" s="80">
        <v>775.0</v>
      </c>
      <c r="B544" s="23">
        <v>12.0</v>
      </c>
      <c r="C544" s="3" t="s">
        <v>237</v>
      </c>
    </row>
    <row r="545">
      <c r="A545" s="80">
        <v>98.0</v>
      </c>
      <c r="B545" s="23">
        <v>12.0</v>
      </c>
      <c r="C545" s="3" t="s">
        <v>237</v>
      </c>
    </row>
    <row r="546">
      <c r="A546" s="80">
        <v>430.0</v>
      </c>
      <c r="B546" s="23">
        <v>3.0</v>
      </c>
      <c r="C546" s="3" t="s">
        <v>241</v>
      </c>
    </row>
    <row r="547">
      <c r="A547" s="80">
        <v>425.0</v>
      </c>
      <c r="B547" s="23">
        <v>3.0</v>
      </c>
      <c r="C547" s="3" t="s">
        <v>238</v>
      </c>
    </row>
    <row r="548">
      <c r="A548" s="80">
        <v>943.0</v>
      </c>
      <c r="B548" s="23">
        <v>3.0</v>
      </c>
      <c r="C548" s="3" t="s">
        <v>238</v>
      </c>
    </row>
    <row r="549">
      <c r="A549" s="80">
        <v>627.0</v>
      </c>
      <c r="B549" s="23">
        <v>3.0</v>
      </c>
      <c r="C549" s="3" t="s">
        <v>238</v>
      </c>
    </row>
    <row r="550">
      <c r="A550" s="80">
        <v>818.0</v>
      </c>
      <c r="B550" s="23">
        <v>3.0</v>
      </c>
      <c r="C550" s="3" t="s">
        <v>238</v>
      </c>
    </row>
    <row r="551">
      <c r="A551" s="80">
        <v>548.0</v>
      </c>
      <c r="B551" s="23">
        <v>3.0</v>
      </c>
      <c r="C551" s="3" t="s">
        <v>238</v>
      </c>
    </row>
    <row r="552">
      <c r="A552" s="80">
        <v>446.0</v>
      </c>
      <c r="B552" s="23">
        <v>3.0</v>
      </c>
      <c r="C552" s="3" t="s">
        <v>238</v>
      </c>
    </row>
    <row r="553">
      <c r="A553" s="80">
        <v>249.0</v>
      </c>
      <c r="B553" s="23">
        <v>12.0</v>
      </c>
      <c r="C553" s="3" t="s">
        <v>237</v>
      </c>
    </row>
    <row r="554">
      <c r="A554" s="80">
        <v>232.0</v>
      </c>
      <c r="B554" s="23">
        <v>3.0</v>
      </c>
      <c r="C554" s="3" t="s">
        <v>238</v>
      </c>
    </row>
    <row r="555">
      <c r="A555" s="80">
        <v>360.0</v>
      </c>
      <c r="B555" s="23">
        <v>3.0</v>
      </c>
      <c r="C555" s="3" t="s">
        <v>238</v>
      </c>
    </row>
    <row r="556">
      <c r="A556" s="80">
        <v>730.0</v>
      </c>
      <c r="B556" s="23">
        <v>12.0</v>
      </c>
      <c r="C556" s="3" t="s">
        <v>237</v>
      </c>
    </row>
    <row r="557">
      <c r="A557" s="80">
        <v>618.0</v>
      </c>
      <c r="B557" s="23">
        <v>3.0</v>
      </c>
      <c r="C557" s="3" t="s">
        <v>238</v>
      </c>
    </row>
    <row r="558">
      <c r="A558" s="80">
        <v>672.0</v>
      </c>
      <c r="B558" s="23">
        <v>3.0</v>
      </c>
      <c r="C558" s="3" t="s">
        <v>238</v>
      </c>
    </row>
    <row r="559">
      <c r="A559" s="80">
        <v>773.0</v>
      </c>
      <c r="B559" s="23">
        <v>3.0</v>
      </c>
      <c r="C559" s="3" t="s">
        <v>238</v>
      </c>
    </row>
    <row r="560">
      <c r="A560" s="80">
        <v>741.0</v>
      </c>
      <c r="B560" s="23">
        <v>3.0</v>
      </c>
      <c r="C560" s="3" t="s">
        <v>241</v>
      </c>
    </row>
    <row r="561">
      <c r="A561" s="80">
        <v>612.0</v>
      </c>
      <c r="B561" s="23">
        <v>3.0</v>
      </c>
      <c r="C561" s="3" t="s">
        <v>238</v>
      </c>
    </row>
    <row r="562">
      <c r="A562" s="80">
        <v>941.0</v>
      </c>
      <c r="B562" s="23">
        <v>3.0</v>
      </c>
      <c r="C562" s="3" t="s">
        <v>238</v>
      </c>
    </row>
    <row r="563">
      <c r="A563" s="80">
        <v>405.0</v>
      </c>
      <c r="B563" s="23">
        <v>3.0</v>
      </c>
      <c r="C563" s="3" t="s">
        <v>238</v>
      </c>
    </row>
    <row r="564">
      <c r="A564" s="80">
        <v>184.0</v>
      </c>
      <c r="B564" s="23">
        <v>3.0</v>
      </c>
      <c r="C564" s="3" t="s">
        <v>238</v>
      </c>
    </row>
    <row r="565">
      <c r="A565" s="80">
        <v>989.0</v>
      </c>
      <c r="B565" s="23">
        <v>3.0</v>
      </c>
      <c r="C565" s="3" t="s">
        <v>238</v>
      </c>
    </row>
    <row r="566">
      <c r="A566" s="80">
        <v>56.0</v>
      </c>
      <c r="B566" s="23">
        <v>12.0</v>
      </c>
      <c r="C566" s="3" t="s">
        <v>237</v>
      </c>
    </row>
    <row r="567">
      <c r="A567" s="80">
        <v>670.0</v>
      </c>
      <c r="B567" s="23">
        <v>12.0</v>
      </c>
      <c r="C567" s="3" t="s">
        <v>237</v>
      </c>
    </row>
    <row r="568">
      <c r="A568" s="80">
        <v>902.0</v>
      </c>
      <c r="B568" s="23">
        <v>12.0</v>
      </c>
      <c r="C568" s="3" t="s">
        <v>237</v>
      </c>
    </row>
    <row r="569">
      <c r="A569" s="80">
        <v>826.0</v>
      </c>
      <c r="B569" s="23">
        <v>12.0</v>
      </c>
      <c r="C569" s="3" t="s">
        <v>237</v>
      </c>
    </row>
    <row r="570">
      <c r="A570" s="80">
        <v>825.0</v>
      </c>
      <c r="B570" s="23">
        <v>12.0</v>
      </c>
      <c r="C570" s="3" t="s">
        <v>237</v>
      </c>
    </row>
    <row r="571">
      <c r="A571" s="80">
        <v>7.0</v>
      </c>
      <c r="B571" s="23">
        <v>12.0</v>
      </c>
      <c r="C571" s="3" t="s">
        <v>237</v>
      </c>
    </row>
    <row r="572">
      <c r="A572" s="80">
        <v>536.0</v>
      </c>
      <c r="B572" s="23">
        <v>12.0</v>
      </c>
      <c r="C572" s="3" t="s">
        <v>237</v>
      </c>
    </row>
    <row r="573">
      <c r="A573" s="80">
        <v>72.0</v>
      </c>
      <c r="B573" s="23">
        <v>12.0</v>
      </c>
      <c r="C573" s="3" t="s">
        <v>237</v>
      </c>
    </row>
    <row r="574">
      <c r="A574" s="80">
        <v>537.0</v>
      </c>
      <c r="B574" s="23">
        <v>12.0</v>
      </c>
      <c r="C574" s="3" t="s">
        <v>237</v>
      </c>
    </row>
    <row r="575">
      <c r="A575" s="80">
        <v>282.0</v>
      </c>
      <c r="B575" s="23">
        <v>12.0</v>
      </c>
      <c r="C575" s="3" t="s">
        <v>237</v>
      </c>
    </row>
    <row r="576">
      <c r="A576" s="80">
        <v>484.0</v>
      </c>
      <c r="B576" s="23">
        <v>12.0</v>
      </c>
      <c r="C576" s="3" t="s">
        <v>237</v>
      </c>
    </row>
    <row r="577">
      <c r="A577" s="80">
        <v>260.0</v>
      </c>
      <c r="B577" s="23">
        <v>12.0</v>
      </c>
      <c r="C577" s="3" t="s">
        <v>237</v>
      </c>
    </row>
    <row r="578">
      <c r="A578" s="80">
        <v>676.0</v>
      </c>
      <c r="B578" s="23">
        <v>12.0</v>
      </c>
      <c r="C578" s="3" t="s">
        <v>237</v>
      </c>
    </row>
    <row r="579">
      <c r="A579" s="80">
        <v>800.0</v>
      </c>
      <c r="B579" s="23">
        <v>12.0</v>
      </c>
      <c r="C579" s="3" t="s">
        <v>237</v>
      </c>
    </row>
    <row r="580">
      <c r="A580" s="80">
        <v>373.0</v>
      </c>
      <c r="B580" s="23">
        <v>12.0</v>
      </c>
      <c r="C580" s="3" t="s">
        <v>237</v>
      </c>
    </row>
    <row r="581">
      <c r="A581" s="80">
        <v>464.0</v>
      </c>
      <c r="B581" s="23">
        <v>12.0</v>
      </c>
      <c r="C581" s="3" t="s">
        <v>237</v>
      </c>
    </row>
    <row r="582">
      <c r="A582" s="80">
        <v>761.0</v>
      </c>
      <c r="B582" s="23">
        <v>12.0</v>
      </c>
      <c r="C582" s="3" t="s">
        <v>237</v>
      </c>
    </row>
    <row r="583">
      <c r="A583" s="80">
        <v>235.0</v>
      </c>
      <c r="B583" s="23">
        <v>12.0</v>
      </c>
      <c r="C583" s="3" t="s">
        <v>237</v>
      </c>
    </row>
    <row r="584">
      <c r="A584" s="80">
        <v>77.0</v>
      </c>
      <c r="B584" s="23">
        <v>12.0</v>
      </c>
      <c r="C584" s="3" t="s">
        <v>237</v>
      </c>
    </row>
    <row r="585">
      <c r="A585" s="80">
        <v>218.0</v>
      </c>
      <c r="B585" s="23">
        <v>12.0</v>
      </c>
      <c r="C585" s="3" t="s">
        <v>237</v>
      </c>
    </row>
    <row r="586">
      <c r="A586" s="80">
        <v>490.0</v>
      </c>
      <c r="B586" s="23">
        <v>12.0</v>
      </c>
      <c r="C586" s="3" t="s">
        <v>237</v>
      </c>
    </row>
    <row r="587">
      <c r="A587" s="80">
        <v>181.0</v>
      </c>
      <c r="B587" s="23">
        <v>10.0</v>
      </c>
      <c r="C587" s="3" t="s">
        <v>242</v>
      </c>
    </row>
    <row r="588">
      <c r="A588" s="80">
        <v>315.0</v>
      </c>
      <c r="B588" s="23">
        <v>10.0</v>
      </c>
      <c r="C588" s="3" t="s">
        <v>242</v>
      </c>
    </row>
    <row r="589">
      <c r="A589" s="80">
        <v>643.0</v>
      </c>
      <c r="B589" s="23">
        <v>10.0</v>
      </c>
      <c r="C589" s="3" t="s">
        <v>242</v>
      </c>
    </row>
    <row r="590">
      <c r="A590" s="80">
        <v>279.0</v>
      </c>
      <c r="B590" s="23">
        <v>3.0</v>
      </c>
      <c r="C590" s="3" t="s">
        <v>238</v>
      </c>
    </row>
    <row r="591">
      <c r="A591" s="80">
        <v>926.0</v>
      </c>
      <c r="B591" s="23">
        <v>3.0</v>
      </c>
      <c r="C591" s="3" t="s">
        <v>238</v>
      </c>
    </row>
    <row r="592">
      <c r="A592" s="80">
        <v>383.0</v>
      </c>
      <c r="B592" s="23">
        <v>3.0</v>
      </c>
      <c r="C592" s="3" t="s">
        <v>238</v>
      </c>
    </row>
    <row r="593">
      <c r="A593" s="80">
        <v>757.0</v>
      </c>
      <c r="B593" s="23">
        <v>3.0</v>
      </c>
      <c r="C593" s="3" t="s">
        <v>238</v>
      </c>
    </row>
    <row r="594">
      <c r="A594" s="80">
        <v>996.0</v>
      </c>
      <c r="B594" s="23">
        <v>3.0</v>
      </c>
      <c r="C594" s="3" t="s">
        <v>238</v>
      </c>
    </row>
    <row r="595">
      <c r="A595" s="80">
        <v>888.0</v>
      </c>
      <c r="B595" s="23">
        <v>3.0</v>
      </c>
      <c r="C595" s="3" t="s">
        <v>241</v>
      </c>
    </row>
    <row r="596">
      <c r="A596" s="80">
        <v>393.0</v>
      </c>
      <c r="B596" s="23">
        <v>12.0</v>
      </c>
      <c r="C596" s="3" t="s">
        <v>237</v>
      </c>
    </row>
    <row r="597">
      <c r="A597" s="80">
        <v>699.0</v>
      </c>
      <c r="B597" s="23">
        <v>3.0</v>
      </c>
      <c r="C597" s="3" t="s">
        <v>238</v>
      </c>
    </row>
    <row r="598">
      <c r="A598" s="80">
        <v>527.0</v>
      </c>
      <c r="B598" s="23">
        <v>3.0</v>
      </c>
      <c r="C598" s="3" t="s">
        <v>238</v>
      </c>
    </row>
    <row r="599">
      <c r="A599" s="80">
        <v>712.0</v>
      </c>
      <c r="B599" s="23">
        <v>3.0</v>
      </c>
      <c r="C599" s="3" t="s">
        <v>238</v>
      </c>
    </row>
    <row r="600">
      <c r="A600" s="80">
        <v>779.0</v>
      </c>
      <c r="B600" s="23">
        <v>3.0</v>
      </c>
      <c r="C600" s="3" t="s">
        <v>238</v>
      </c>
    </row>
    <row r="601">
      <c r="A601" s="80">
        <v>254.0</v>
      </c>
      <c r="B601" s="23">
        <v>12.0</v>
      </c>
      <c r="C601" s="3" t="s">
        <v>237</v>
      </c>
    </row>
    <row r="602">
      <c r="A602" s="80">
        <v>453.0</v>
      </c>
      <c r="B602" s="23">
        <v>3.0</v>
      </c>
      <c r="C602" s="3" t="s">
        <v>238</v>
      </c>
    </row>
    <row r="603">
      <c r="A603" s="80">
        <v>704.0</v>
      </c>
      <c r="B603" s="23">
        <v>12.0</v>
      </c>
      <c r="C603" s="3" t="s">
        <v>237</v>
      </c>
    </row>
    <row r="604">
      <c r="A604" s="80">
        <v>703.0</v>
      </c>
      <c r="B604" s="23">
        <v>12.0</v>
      </c>
      <c r="C604" s="3" t="s">
        <v>237</v>
      </c>
    </row>
    <row r="605">
      <c r="A605" s="80">
        <v>999.0</v>
      </c>
      <c r="B605" s="23">
        <v>3.0</v>
      </c>
      <c r="C605" s="3" t="s">
        <v>238</v>
      </c>
    </row>
    <row r="606">
      <c r="A606" s="80">
        <v>997.0</v>
      </c>
      <c r="B606" s="23">
        <v>3.0</v>
      </c>
      <c r="C606" s="3" t="s">
        <v>238</v>
      </c>
    </row>
    <row r="607">
      <c r="A607" s="80">
        <v>905.0</v>
      </c>
      <c r="B607" s="23">
        <v>12.0</v>
      </c>
      <c r="C607" s="3" t="s">
        <v>237</v>
      </c>
    </row>
    <row r="608">
      <c r="A608" s="80">
        <v>131.0</v>
      </c>
      <c r="B608" s="23">
        <v>12.0</v>
      </c>
      <c r="C608" s="3" t="s">
        <v>237</v>
      </c>
    </row>
    <row r="609">
      <c r="A609" s="80">
        <v>759.0</v>
      </c>
      <c r="B609" s="23">
        <v>12.0</v>
      </c>
      <c r="C609" s="3" t="s">
        <v>237</v>
      </c>
    </row>
    <row r="610">
      <c r="A610" s="80">
        <v>798.0</v>
      </c>
      <c r="B610" s="23">
        <v>12.0</v>
      </c>
      <c r="C610" s="3" t="s">
        <v>237</v>
      </c>
    </row>
    <row r="611">
      <c r="A611" s="80">
        <v>212.0</v>
      </c>
      <c r="B611" s="23">
        <v>12.0</v>
      </c>
      <c r="C611" s="3" t="s">
        <v>237</v>
      </c>
    </row>
    <row r="612">
      <c r="A612" s="80">
        <v>719.0</v>
      </c>
      <c r="B612" s="23">
        <v>12.0</v>
      </c>
      <c r="C612" s="3" t="s">
        <v>237</v>
      </c>
    </row>
    <row r="613">
      <c r="A613" s="80">
        <v>819.0</v>
      </c>
      <c r="B613" s="23">
        <v>12.0</v>
      </c>
      <c r="C613" s="3" t="s">
        <v>237</v>
      </c>
    </row>
    <row r="614">
      <c r="A614" s="80">
        <v>821.0</v>
      </c>
      <c r="B614" s="23">
        <v>2.0</v>
      </c>
      <c r="C614" s="3" t="s">
        <v>240</v>
      </c>
    </row>
    <row r="615">
      <c r="A615" s="80">
        <v>957.0</v>
      </c>
      <c r="B615" s="23">
        <v>4.0</v>
      </c>
      <c r="C615" s="3" t="s">
        <v>239</v>
      </c>
    </row>
    <row r="616">
      <c r="A616" s="80">
        <v>451.0</v>
      </c>
      <c r="B616" s="23">
        <v>4.0</v>
      </c>
      <c r="C616" s="3" t="s">
        <v>239</v>
      </c>
    </row>
    <row r="617">
      <c r="A617" s="80">
        <v>814.0</v>
      </c>
      <c r="B617" s="23">
        <v>4.0</v>
      </c>
      <c r="C617" s="3" t="s">
        <v>239</v>
      </c>
    </row>
    <row r="618">
      <c r="A618" s="80">
        <v>21.0</v>
      </c>
      <c r="B618" s="23">
        <v>2.0</v>
      </c>
      <c r="C618" s="3" t="s">
        <v>240</v>
      </c>
    </row>
    <row r="619">
      <c r="A619" s="80">
        <v>308.0</v>
      </c>
      <c r="B619" s="23">
        <v>2.0</v>
      </c>
      <c r="C619" s="3" t="s">
        <v>240</v>
      </c>
    </row>
    <row r="620">
      <c r="A620" s="80">
        <v>252.0</v>
      </c>
      <c r="B620" s="23">
        <v>2.0</v>
      </c>
      <c r="C620" s="3" t="s">
        <v>240</v>
      </c>
    </row>
    <row r="621">
      <c r="A621" s="80">
        <v>369.0</v>
      </c>
      <c r="B621" s="23">
        <v>2.0</v>
      </c>
      <c r="C621" s="3" t="s">
        <v>240</v>
      </c>
    </row>
    <row r="622">
      <c r="A622" s="80">
        <v>372.0</v>
      </c>
      <c r="B622" s="23">
        <v>2.0</v>
      </c>
      <c r="C622" s="3" t="s">
        <v>240</v>
      </c>
    </row>
    <row r="623">
      <c r="A623" s="80">
        <v>640.0</v>
      </c>
      <c r="B623" s="23">
        <v>2.0</v>
      </c>
      <c r="C623" s="3" t="s">
        <v>240</v>
      </c>
    </row>
    <row r="624">
      <c r="A624" s="80">
        <v>321.0</v>
      </c>
      <c r="B624" s="23">
        <v>2.0</v>
      </c>
      <c r="C624" s="3" t="s">
        <v>240</v>
      </c>
    </row>
    <row r="625">
      <c r="A625" s="80">
        <v>113.0</v>
      </c>
      <c r="B625" s="23">
        <v>2.0</v>
      </c>
      <c r="C625" s="3" t="s">
        <v>240</v>
      </c>
    </row>
    <row r="626">
      <c r="A626" s="80">
        <v>311.0</v>
      </c>
      <c r="B626" s="23">
        <v>2.0</v>
      </c>
      <c r="C626" s="3" t="s">
        <v>240</v>
      </c>
    </row>
    <row r="627">
      <c r="A627" s="80">
        <v>164.0</v>
      </c>
      <c r="B627" s="23">
        <v>2.0</v>
      </c>
      <c r="C627" s="3" t="s">
        <v>240</v>
      </c>
    </row>
    <row r="628">
      <c r="A628" s="80">
        <v>427.0</v>
      </c>
      <c r="B628" s="23">
        <v>2.0</v>
      </c>
      <c r="C628" s="3" t="s">
        <v>240</v>
      </c>
    </row>
    <row r="629">
      <c r="A629" s="80">
        <v>127.0</v>
      </c>
      <c r="B629" s="23">
        <v>2.0</v>
      </c>
      <c r="C629" s="3" t="s">
        <v>240</v>
      </c>
    </row>
    <row r="630">
      <c r="A630" s="80">
        <v>513.0</v>
      </c>
      <c r="B630" s="23">
        <v>2.0</v>
      </c>
      <c r="C630" s="3" t="s">
        <v>240</v>
      </c>
    </row>
    <row r="631">
      <c r="A631" s="80">
        <v>153.0</v>
      </c>
      <c r="B631" s="23">
        <v>2.0</v>
      </c>
      <c r="C631" s="3" t="s">
        <v>240</v>
      </c>
    </row>
    <row r="632">
      <c r="A632" s="80">
        <v>532.0</v>
      </c>
      <c r="B632" s="23">
        <v>2.0</v>
      </c>
      <c r="C632" s="3" t="s">
        <v>240</v>
      </c>
    </row>
    <row r="633">
      <c r="A633" s="80">
        <v>223.0</v>
      </c>
      <c r="B633" s="23">
        <v>2.0</v>
      </c>
      <c r="C633" s="3" t="s">
        <v>240</v>
      </c>
    </row>
    <row r="634">
      <c r="A634" s="80">
        <v>348.0</v>
      </c>
      <c r="B634" s="23">
        <v>2.0</v>
      </c>
      <c r="C634" s="3" t="s">
        <v>240</v>
      </c>
    </row>
    <row r="635">
      <c r="A635" s="80">
        <v>415.0</v>
      </c>
      <c r="B635" s="23">
        <v>2.0</v>
      </c>
      <c r="C635" s="3" t="s">
        <v>240</v>
      </c>
    </row>
    <row r="636">
      <c r="A636" s="80">
        <v>515.0</v>
      </c>
      <c r="B636" s="23">
        <v>2.0</v>
      </c>
      <c r="C636" s="3" t="s">
        <v>240</v>
      </c>
    </row>
    <row r="637">
      <c r="A637" s="80">
        <v>516.0</v>
      </c>
      <c r="B637" s="23">
        <v>2.0</v>
      </c>
      <c r="C637" s="3" t="s">
        <v>240</v>
      </c>
    </row>
    <row r="638">
      <c r="A638" s="80">
        <v>559.0</v>
      </c>
      <c r="B638" s="23">
        <v>2.0</v>
      </c>
      <c r="C638" s="3" t="s">
        <v>240</v>
      </c>
    </row>
    <row r="639">
      <c r="A639" s="80">
        <v>572.0</v>
      </c>
      <c r="B639" s="23">
        <v>2.0</v>
      </c>
      <c r="C639" s="3" t="s">
        <v>240</v>
      </c>
    </row>
    <row r="640">
      <c r="A640" s="80">
        <v>796.0</v>
      </c>
      <c r="B640" s="23">
        <v>2.0</v>
      </c>
      <c r="C640" s="3" t="s">
        <v>240</v>
      </c>
    </row>
    <row r="641">
      <c r="A641" s="80">
        <v>511.0</v>
      </c>
      <c r="B641" s="23">
        <v>2.0</v>
      </c>
      <c r="C641" s="3" t="s">
        <v>240</v>
      </c>
    </row>
    <row r="642">
      <c r="A642" s="80">
        <v>655.0</v>
      </c>
      <c r="B642" s="23">
        <v>2.0</v>
      </c>
      <c r="C642" s="3" t="s">
        <v>240</v>
      </c>
    </row>
    <row r="643">
      <c r="A643" s="80">
        <v>990.0</v>
      </c>
      <c r="B643" s="23">
        <v>2.0</v>
      </c>
      <c r="C643" s="3" t="s">
        <v>240</v>
      </c>
    </row>
    <row r="644">
      <c r="A644" s="80">
        <v>980.0</v>
      </c>
      <c r="B644" s="23">
        <v>4.0</v>
      </c>
      <c r="C644" s="3" t="s">
        <v>239</v>
      </c>
    </row>
    <row r="645">
      <c r="A645" s="80">
        <v>915.0</v>
      </c>
      <c r="B645" s="23">
        <v>2.0</v>
      </c>
      <c r="C645" s="3" t="s">
        <v>240</v>
      </c>
    </row>
    <row r="646">
      <c r="A646" s="80">
        <v>916.0</v>
      </c>
      <c r="B646" s="23">
        <v>2.0</v>
      </c>
      <c r="C646" s="3" t="s">
        <v>240</v>
      </c>
    </row>
    <row r="647">
      <c r="A647" s="80">
        <v>590.0</v>
      </c>
      <c r="B647" s="23">
        <v>3.0</v>
      </c>
      <c r="C647" s="3" t="s">
        <v>238</v>
      </c>
    </row>
    <row r="648">
      <c r="A648" s="80">
        <v>339.0</v>
      </c>
      <c r="B648" s="23">
        <v>4.0</v>
      </c>
      <c r="C648" s="3" t="s">
        <v>239</v>
      </c>
    </row>
    <row r="649">
      <c r="A649" s="80">
        <v>519.0</v>
      </c>
      <c r="B649" s="23">
        <v>4.0</v>
      </c>
      <c r="C649" s="3" t="s">
        <v>239</v>
      </c>
    </row>
    <row r="650">
      <c r="A650" s="80">
        <v>467.0</v>
      </c>
      <c r="B650" s="23">
        <v>4.0</v>
      </c>
      <c r="C650" s="3" t="s">
        <v>239</v>
      </c>
    </row>
    <row r="651">
      <c r="A651" s="80">
        <v>543.0</v>
      </c>
      <c r="B651" s="23">
        <v>4.0</v>
      </c>
      <c r="C651" s="3" t="s">
        <v>239</v>
      </c>
    </row>
    <row r="652">
      <c r="A652" s="80">
        <v>361.0</v>
      </c>
      <c r="B652" s="23">
        <v>2.0</v>
      </c>
      <c r="C652" s="3" t="s">
        <v>240</v>
      </c>
    </row>
    <row r="653">
      <c r="A653" s="80">
        <v>447.0</v>
      </c>
      <c r="B653" s="23">
        <v>2.0</v>
      </c>
      <c r="C653" s="3" t="s">
        <v>240</v>
      </c>
    </row>
    <row r="654">
      <c r="A654" s="80">
        <v>381.0</v>
      </c>
      <c r="B654" s="23">
        <v>2.0</v>
      </c>
      <c r="C654" s="3" t="s">
        <v>240</v>
      </c>
    </row>
    <row r="655">
      <c r="A655" s="80">
        <v>221.0</v>
      </c>
      <c r="B655" s="23">
        <v>2.0</v>
      </c>
      <c r="C655" s="3" t="s">
        <v>240</v>
      </c>
    </row>
    <row r="656">
      <c r="A656" s="80">
        <v>764.0</v>
      </c>
      <c r="B656" s="23">
        <v>2.0</v>
      </c>
      <c r="C656" s="3" t="s">
        <v>240</v>
      </c>
    </row>
    <row r="657">
      <c r="A657" s="80">
        <v>776.0</v>
      </c>
      <c r="B657" s="23">
        <v>2.0</v>
      </c>
      <c r="C657" s="3" t="s">
        <v>240</v>
      </c>
    </row>
    <row r="658">
      <c r="A658" s="80">
        <v>952.0</v>
      </c>
      <c r="B658" s="23">
        <v>2.0</v>
      </c>
      <c r="C658" s="3" t="s">
        <v>240</v>
      </c>
    </row>
    <row r="659">
      <c r="A659" s="80">
        <v>366.0</v>
      </c>
      <c r="B659" s="23">
        <v>2.0</v>
      </c>
      <c r="C659" s="3" t="s">
        <v>240</v>
      </c>
    </row>
    <row r="660">
      <c r="A660" s="80">
        <v>121.0</v>
      </c>
      <c r="B660" s="23">
        <v>2.0</v>
      </c>
      <c r="C660" s="3" t="s">
        <v>240</v>
      </c>
    </row>
    <row r="661">
      <c r="A661" s="80">
        <v>508.0</v>
      </c>
      <c r="B661" s="23">
        <v>2.0</v>
      </c>
      <c r="C661" s="3" t="s">
        <v>240</v>
      </c>
    </row>
    <row r="662">
      <c r="A662" s="80">
        <v>760.0</v>
      </c>
      <c r="B662" s="23">
        <v>2.0</v>
      </c>
      <c r="C662" s="3" t="s">
        <v>240</v>
      </c>
    </row>
    <row r="663">
      <c r="A663" s="80">
        <v>849.0</v>
      </c>
      <c r="B663" s="23">
        <v>2.0</v>
      </c>
      <c r="C663" s="3" t="s">
        <v>240</v>
      </c>
    </row>
    <row r="664">
      <c r="A664" s="80">
        <v>816.0</v>
      </c>
      <c r="B664" s="23">
        <v>2.0</v>
      </c>
      <c r="C664" s="3" t="s">
        <v>240</v>
      </c>
    </row>
    <row r="665">
      <c r="A665" s="80">
        <v>679.0</v>
      </c>
      <c r="B665" s="23">
        <v>2.0</v>
      </c>
      <c r="C665" s="3" t="s">
        <v>240</v>
      </c>
    </row>
    <row r="666">
      <c r="A666" s="80">
        <v>3.0</v>
      </c>
      <c r="B666" s="23">
        <v>2.0</v>
      </c>
      <c r="C666" s="3" t="s">
        <v>240</v>
      </c>
    </row>
    <row r="667">
      <c r="A667" s="80">
        <v>364.0</v>
      </c>
      <c r="B667" s="23">
        <v>2.0</v>
      </c>
      <c r="C667" s="3" t="s">
        <v>240</v>
      </c>
    </row>
    <row r="668">
      <c r="A668" s="80">
        <v>575.0</v>
      </c>
      <c r="B668" s="23">
        <v>2.0</v>
      </c>
      <c r="C668" s="3" t="s">
        <v>240</v>
      </c>
    </row>
    <row r="669">
      <c r="A669" s="80">
        <v>135.0</v>
      </c>
      <c r="B669" s="23">
        <v>2.0</v>
      </c>
      <c r="C669" s="3" t="s">
        <v>240</v>
      </c>
    </row>
    <row r="670">
      <c r="A670" s="80">
        <v>343.0</v>
      </c>
      <c r="B670" s="23">
        <v>2.0</v>
      </c>
      <c r="C670" s="3" t="s">
        <v>240</v>
      </c>
    </row>
    <row r="671">
      <c r="A671" s="3">
        <v>586.0</v>
      </c>
      <c r="B671" s="3">
        <v>2.0</v>
      </c>
      <c r="C671" s="3" t="s">
        <v>240</v>
      </c>
    </row>
    <row r="672">
      <c r="A672" s="3">
        <v>771.0</v>
      </c>
      <c r="B672" s="3">
        <v>2.0</v>
      </c>
      <c r="C672" s="3" t="s">
        <v>240</v>
      </c>
    </row>
    <row r="673">
      <c r="A673" s="3">
        <v>22.0</v>
      </c>
      <c r="B673" s="3">
        <v>2.0</v>
      </c>
      <c r="C673" s="3" t="s">
        <v>240</v>
      </c>
    </row>
    <row r="674">
      <c r="A674" s="3">
        <v>388.0</v>
      </c>
      <c r="B674" s="3">
        <v>2.0</v>
      </c>
      <c r="C674" s="3" t="s">
        <v>240</v>
      </c>
    </row>
    <row r="675">
      <c r="A675" s="3">
        <v>445.0</v>
      </c>
      <c r="B675" s="3">
        <v>2.0</v>
      </c>
      <c r="C675" s="3" t="s">
        <v>240</v>
      </c>
    </row>
    <row r="676">
      <c r="A676" s="3">
        <v>426.0</v>
      </c>
      <c r="B676" s="3">
        <v>2.0</v>
      </c>
      <c r="C676" s="3" t="s">
        <v>240</v>
      </c>
    </row>
    <row r="677">
      <c r="A677" s="3">
        <v>985.0</v>
      </c>
      <c r="B677" s="3">
        <v>2.0</v>
      </c>
      <c r="C677" s="3" t="s">
        <v>240</v>
      </c>
    </row>
    <row r="678">
      <c r="A678" s="3">
        <v>1004.0</v>
      </c>
      <c r="B678" s="3">
        <v>2.0</v>
      </c>
      <c r="C678" s="3" t="s">
        <v>240</v>
      </c>
    </row>
    <row r="679">
      <c r="A679" s="3">
        <v>669.0</v>
      </c>
      <c r="B679" s="3">
        <v>2.0</v>
      </c>
      <c r="C679" s="3" t="s">
        <v>240</v>
      </c>
    </row>
    <row r="680">
      <c r="A680" s="3">
        <v>621.0</v>
      </c>
      <c r="B680" s="3">
        <v>2.0</v>
      </c>
      <c r="C680" s="3" t="s">
        <v>240</v>
      </c>
    </row>
    <row r="681">
      <c r="A681" s="3">
        <v>474.0</v>
      </c>
      <c r="B681" s="3">
        <v>4.0</v>
      </c>
      <c r="C681" s="3" t="s">
        <v>239</v>
      </c>
    </row>
    <row r="682">
      <c r="A682" s="3">
        <v>278.0</v>
      </c>
      <c r="B682" s="3">
        <v>4.0</v>
      </c>
      <c r="C682" s="3" t="s">
        <v>239</v>
      </c>
    </row>
    <row r="683">
      <c r="A683" s="3">
        <v>217.0</v>
      </c>
      <c r="B683" s="3">
        <v>4.0</v>
      </c>
      <c r="C683" s="3" t="s">
        <v>239</v>
      </c>
    </row>
    <row r="684">
      <c r="A684" s="3">
        <v>284.0</v>
      </c>
      <c r="B684" s="3">
        <v>4.0</v>
      </c>
      <c r="C684" s="3" t="s">
        <v>239</v>
      </c>
    </row>
    <row r="685">
      <c r="A685" s="3">
        <v>148.0</v>
      </c>
      <c r="B685" s="3">
        <v>4.0</v>
      </c>
      <c r="C685" s="3" t="s">
        <v>239</v>
      </c>
    </row>
    <row r="686">
      <c r="A686" s="3">
        <v>714.0</v>
      </c>
      <c r="B686" s="3">
        <v>4.0</v>
      </c>
      <c r="C686" s="3" t="s">
        <v>239</v>
      </c>
    </row>
    <row r="687">
      <c r="A687" s="3">
        <v>476.0</v>
      </c>
      <c r="B687" s="3">
        <v>4.0</v>
      </c>
      <c r="C687" s="3" t="s">
        <v>239</v>
      </c>
    </row>
    <row r="688">
      <c r="A688" s="3">
        <v>740.0</v>
      </c>
      <c r="B688" s="3">
        <v>4.0</v>
      </c>
      <c r="C688" s="3" t="s">
        <v>239</v>
      </c>
    </row>
    <row r="689">
      <c r="A689" s="3">
        <v>929.0</v>
      </c>
      <c r="B689" s="3">
        <v>4.0</v>
      </c>
      <c r="C689" s="3" t="s">
        <v>239</v>
      </c>
    </row>
    <row r="690">
      <c r="A690" s="3">
        <v>702.0</v>
      </c>
      <c r="B690" s="3">
        <v>4.0</v>
      </c>
      <c r="C690" s="3" t="s">
        <v>239</v>
      </c>
    </row>
    <row r="691">
      <c r="A691" s="3">
        <v>493.0</v>
      </c>
      <c r="B691" s="3">
        <v>4.0</v>
      </c>
      <c r="C691" s="3" t="s">
        <v>239</v>
      </c>
    </row>
    <row r="692">
      <c r="A692" s="3">
        <v>542.0</v>
      </c>
      <c r="B692" s="3">
        <v>4.0</v>
      </c>
      <c r="C692" s="3" t="s">
        <v>239</v>
      </c>
    </row>
    <row r="693">
      <c r="A693" s="3">
        <v>55.0</v>
      </c>
      <c r="B693" s="3">
        <v>4.0</v>
      </c>
      <c r="C693" s="3" t="s">
        <v>239</v>
      </c>
    </row>
    <row r="694">
      <c r="A694" s="3">
        <v>596.0</v>
      </c>
      <c r="B694" s="3">
        <v>4.0</v>
      </c>
      <c r="C694" s="3" t="s">
        <v>239</v>
      </c>
    </row>
    <row r="695">
      <c r="A695" s="3">
        <v>763.0</v>
      </c>
      <c r="B695" s="3">
        <v>4.0</v>
      </c>
      <c r="C695" s="3" t="s">
        <v>239</v>
      </c>
    </row>
    <row r="696">
      <c r="A696" s="3">
        <v>743.0</v>
      </c>
      <c r="B696" s="3">
        <v>4.0</v>
      </c>
      <c r="C696" s="3" t="s">
        <v>239</v>
      </c>
    </row>
    <row r="697">
      <c r="A697" s="3">
        <v>921.0</v>
      </c>
      <c r="B697" s="3">
        <v>4.0</v>
      </c>
      <c r="C697" s="3" t="s">
        <v>239</v>
      </c>
    </row>
    <row r="698">
      <c r="A698" s="3">
        <v>785.0</v>
      </c>
      <c r="B698" s="3">
        <v>4.0</v>
      </c>
      <c r="C698" s="3" t="s">
        <v>239</v>
      </c>
    </row>
    <row r="699">
      <c r="A699" s="3">
        <v>236.0</v>
      </c>
      <c r="B699" s="3">
        <v>4.0</v>
      </c>
      <c r="C699" s="3" t="s">
        <v>239</v>
      </c>
    </row>
    <row r="700">
      <c r="A700" s="3">
        <v>458.0</v>
      </c>
      <c r="B700" s="3">
        <v>4.0</v>
      </c>
      <c r="C700" s="3" t="s">
        <v>239</v>
      </c>
    </row>
    <row r="701">
      <c r="A701" s="3">
        <v>717.0</v>
      </c>
      <c r="B701" s="3">
        <v>4.0</v>
      </c>
      <c r="C701" s="3" t="s">
        <v>239</v>
      </c>
    </row>
    <row r="702">
      <c r="A702" s="3">
        <v>210.0</v>
      </c>
      <c r="B702" s="3">
        <v>4.0</v>
      </c>
      <c r="C702" s="3" t="s">
        <v>239</v>
      </c>
    </row>
    <row r="703">
      <c r="A703" s="3">
        <v>475.0</v>
      </c>
      <c r="B703" s="3">
        <v>4.0</v>
      </c>
      <c r="C703" s="3" t="s">
        <v>239</v>
      </c>
    </row>
    <row r="704">
      <c r="A704" s="3">
        <v>144.0</v>
      </c>
      <c r="B704" s="3">
        <v>4.0</v>
      </c>
      <c r="C704" s="3" t="s">
        <v>239</v>
      </c>
    </row>
    <row r="705">
      <c r="A705" s="3">
        <v>499.0</v>
      </c>
      <c r="B705" s="3">
        <v>4.0</v>
      </c>
      <c r="C705" s="3" t="s">
        <v>239</v>
      </c>
    </row>
    <row r="706">
      <c r="A706" s="3">
        <v>638.0</v>
      </c>
      <c r="B706" s="3">
        <v>4.0</v>
      </c>
      <c r="C706" s="3" t="s">
        <v>239</v>
      </c>
    </row>
    <row r="707">
      <c r="A707" s="3">
        <v>728.0</v>
      </c>
      <c r="B707" s="3">
        <v>4.0</v>
      </c>
      <c r="C707" s="3" t="s">
        <v>239</v>
      </c>
    </row>
    <row r="708">
      <c r="A708" s="3">
        <v>75.0</v>
      </c>
      <c r="B708" s="3">
        <v>4.0</v>
      </c>
      <c r="C708" s="3" t="s">
        <v>239</v>
      </c>
    </row>
    <row r="709">
      <c r="A709" s="3">
        <v>803.0</v>
      </c>
      <c r="B709" s="3">
        <v>4.0</v>
      </c>
      <c r="C709" s="3" t="s">
        <v>239</v>
      </c>
    </row>
    <row r="710">
      <c r="A710" s="3">
        <v>420.0</v>
      </c>
      <c r="B710" s="3">
        <v>4.0</v>
      </c>
      <c r="C710" s="3" t="s">
        <v>239</v>
      </c>
    </row>
    <row r="711">
      <c r="A711" s="3">
        <v>578.0</v>
      </c>
      <c r="B711" s="3">
        <v>4.0</v>
      </c>
      <c r="C711" s="3" t="s">
        <v>239</v>
      </c>
    </row>
    <row r="712">
      <c r="A712" s="3">
        <v>158.0</v>
      </c>
      <c r="B712" s="3">
        <v>4.0</v>
      </c>
      <c r="C712" s="3" t="s">
        <v>239</v>
      </c>
    </row>
    <row r="713">
      <c r="A713" s="3">
        <v>298.0</v>
      </c>
      <c r="B713" s="3">
        <v>4.0</v>
      </c>
      <c r="C713" s="3" t="s">
        <v>239</v>
      </c>
    </row>
    <row r="714">
      <c r="A714" s="3">
        <v>602.0</v>
      </c>
      <c r="B714" s="3">
        <v>4.0</v>
      </c>
      <c r="C714" s="3" t="s">
        <v>239</v>
      </c>
    </row>
    <row r="715">
      <c r="A715" s="3">
        <v>716.0</v>
      </c>
      <c r="B715" s="3">
        <v>4.0</v>
      </c>
      <c r="C715" s="3" t="s">
        <v>239</v>
      </c>
    </row>
    <row r="716">
      <c r="A716" s="3">
        <v>768.0</v>
      </c>
      <c r="B716" s="3">
        <v>4.0</v>
      </c>
      <c r="C716" s="3" t="s">
        <v>239</v>
      </c>
    </row>
    <row r="717">
      <c r="A717" s="3">
        <v>661.0</v>
      </c>
      <c r="B717" s="3">
        <v>4.0</v>
      </c>
      <c r="C717" s="3" t="s">
        <v>239</v>
      </c>
    </row>
    <row r="718">
      <c r="A718" s="3">
        <v>892.0</v>
      </c>
      <c r="B718" s="3">
        <v>4.0</v>
      </c>
      <c r="C718" s="3" t="s">
        <v>239</v>
      </c>
    </row>
    <row r="719">
      <c r="A719" s="3">
        <v>914.0</v>
      </c>
      <c r="B719" s="3">
        <v>3.0</v>
      </c>
      <c r="C719" s="3" t="s">
        <v>238</v>
      </c>
    </row>
    <row r="720">
      <c r="A720" s="3">
        <v>89.0</v>
      </c>
      <c r="B720" s="3">
        <v>2.0</v>
      </c>
      <c r="C720" s="3" t="s">
        <v>240</v>
      </c>
    </row>
    <row r="721">
      <c r="A721" s="3">
        <v>97.0</v>
      </c>
      <c r="B721" s="3">
        <v>2.0</v>
      </c>
      <c r="C721" s="3" t="s">
        <v>240</v>
      </c>
    </row>
    <row r="722">
      <c r="A722" s="3">
        <v>954.0</v>
      </c>
      <c r="B722" s="3">
        <v>4.0</v>
      </c>
      <c r="C722" s="3" t="s">
        <v>239</v>
      </c>
    </row>
    <row r="723">
      <c r="A723" s="3">
        <v>965.0</v>
      </c>
      <c r="B723" s="3">
        <v>4.0</v>
      </c>
      <c r="C723" s="3" t="s">
        <v>239</v>
      </c>
    </row>
    <row r="724">
      <c r="A724" s="3">
        <v>967.0</v>
      </c>
      <c r="B724" s="3">
        <v>12.0</v>
      </c>
      <c r="C724" s="3" t="s">
        <v>237</v>
      </c>
    </row>
    <row r="725">
      <c r="A725" s="3">
        <v>906.0</v>
      </c>
      <c r="B725" s="3">
        <v>12.0</v>
      </c>
      <c r="C725" s="3" t="s">
        <v>237</v>
      </c>
    </row>
    <row r="726">
      <c r="A726" s="3">
        <v>959.0</v>
      </c>
      <c r="B726" s="3">
        <v>12.0</v>
      </c>
      <c r="C726" s="3" t="s">
        <v>237</v>
      </c>
    </row>
    <row r="727">
      <c r="A727" s="3">
        <v>972.0</v>
      </c>
      <c r="B727" s="3">
        <v>12.0</v>
      </c>
      <c r="C727" s="3" t="s">
        <v>237</v>
      </c>
    </row>
    <row r="728">
      <c r="A728" s="3">
        <v>20.0</v>
      </c>
      <c r="B728" s="3">
        <v>4.0</v>
      </c>
      <c r="C728" s="3" t="s">
        <v>239</v>
      </c>
    </row>
    <row r="729">
      <c r="A729" s="3">
        <v>92.0</v>
      </c>
      <c r="B729" s="3">
        <v>4.0</v>
      </c>
      <c r="C729" s="3" t="s">
        <v>239</v>
      </c>
    </row>
    <row r="730">
      <c r="A730" s="3">
        <v>137.0</v>
      </c>
      <c r="B730" s="3">
        <v>4.0</v>
      </c>
      <c r="C730" s="3" t="s">
        <v>239</v>
      </c>
    </row>
    <row r="731">
      <c r="A731" s="3">
        <v>203.0</v>
      </c>
      <c r="B731" s="3">
        <v>4.0</v>
      </c>
      <c r="C731" s="3" t="s">
        <v>239</v>
      </c>
    </row>
    <row r="732">
      <c r="A732" s="3">
        <v>399.0</v>
      </c>
      <c r="B732" s="3">
        <v>4.0</v>
      </c>
      <c r="C732" s="3" t="s">
        <v>239</v>
      </c>
    </row>
    <row r="733">
      <c r="A733" s="3">
        <v>525.0</v>
      </c>
      <c r="B733" s="3">
        <v>4.0</v>
      </c>
      <c r="C733" s="3" t="s">
        <v>239</v>
      </c>
    </row>
    <row r="734">
      <c r="A734" s="3">
        <v>734.0</v>
      </c>
      <c r="B734" s="3">
        <v>4.0</v>
      </c>
      <c r="C734" s="3" t="s">
        <v>239</v>
      </c>
    </row>
    <row r="735">
      <c r="A735" s="3">
        <v>35.0</v>
      </c>
      <c r="B735" s="3">
        <v>4.0</v>
      </c>
      <c r="C735" s="3" t="s">
        <v>239</v>
      </c>
    </row>
    <row r="736">
      <c r="A736" s="3">
        <v>163.0</v>
      </c>
      <c r="B736" s="3">
        <v>4.0</v>
      </c>
      <c r="C736" s="3" t="s">
        <v>239</v>
      </c>
    </row>
    <row r="737">
      <c r="A737" s="3">
        <v>204.0</v>
      </c>
      <c r="B737" s="3">
        <v>4.0</v>
      </c>
      <c r="C737" s="3" t="s">
        <v>239</v>
      </c>
    </row>
    <row r="738">
      <c r="A738" s="3">
        <v>237.0</v>
      </c>
      <c r="B738" s="3">
        <v>4.0</v>
      </c>
      <c r="C738" s="3" t="s">
        <v>239</v>
      </c>
    </row>
    <row r="739">
      <c r="A739" s="3">
        <v>958.0</v>
      </c>
      <c r="B739" s="3">
        <v>12.0</v>
      </c>
      <c r="C739" s="3" t="s">
        <v>237</v>
      </c>
    </row>
    <row r="740">
      <c r="A740" s="3">
        <v>349.0</v>
      </c>
      <c r="B740" s="3">
        <v>4.0</v>
      </c>
      <c r="C740" s="3" t="s">
        <v>239</v>
      </c>
    </row>
    <row r="741">
      <c r="A741" s="3">
        <v>662.0</v>
      </c>
      <c r="B741" s="3">
        <v>4.0</v>
      </c>
      <c r="C741" s="3" t="s">
        <v>239</v>
      </c>
    </row>
    <row r="742">
      <c r="A742" s="3">
        <v>677.0</v>
      </c>
      <c r="B742" s="3">
        <v>4.0</v>
      </c>
      <c r="C742" s="3" t="s">
        <v>239</v>
      </c>
    </row>
    <row r="743">
      <c r="A743" s="3">
        <v>808.0</v>
      </c>
      <c r="B743" s="3">
        <v>4.0</v>
      </c>
      <c r="C743" s="3" t="s">
        <v>239</v>
      </c>
    </row>
  </sheetData>
  <drawing r:id="rId1"/>
</worksheet>
</file>